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ichael\L_T internship\concrete_recon\"/>
    </mc:Choice>
  </mc:AlternateContent>
  <xr:revisionPtr revIDLastSave="0" documentId="13_ncr:1_{B726C94D-9332-4580-83D8-A823F67B795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ummary Sheet" sheetId="1" r:id="rId1"/>
    <sheet name="Process Flow" sheetId="2" r:id="rId2"/>
    <sheet name="Dashboard" sheetId="3" r:id="rId3"/>
    <sheet name="Production Team" sheetId="4" r:id="rId4"/>
    <sheet name="Input 1" sheetId="5" r:id="rId5"/>
    <sheet name="Site Engineers" sheetId="6" r:id="rId6"/>
    <sheet name="CSB ID" sheetId="7" r:id="rId7"/>
    <sheet name="TAB ID" sheetId="8" r:id="rId8"/>
    <sheet name="Input 2" sheetId="9" r:id="rId9"/>
    <sheet name="Data Validation" sheetId="10" r:id="rId10"/>
    <sheet name="Location Tracker" sheetId="11" r:id="rId11"/>
    <sheet name="Substructure ID" sheetId="12" r:id="rId12"/>
    <sheet name="Staff List" sheetId="13" r:id="rId13"/>
    <sheet name="MCW Segment ID" sheetId="14" r:id="rId14"/>
    <sheet name="IC Merger Segment" sheetId="15" r:id="rId15"/>
    <sheet name="IC Girder" sheetId="16" r:id="rId16"/>
    <sheet name="MCW Substruture" sheetId="17" state="hidden" r:id="rId17"/>
  </sheets>
  <definedNames>
    <definedName name="_xlnm._FilterDatabase" localSheetId="15" hidden="1">'IC Girder'!$B$2:$G$644</definedName>
    <definedName name="_xlnm._FilterDatabase" localSheetId="16" hidden="1">'MCW Substruture'!$B$2:$E$982</definedName>
    <definedName name="_xlnm._FilterDatabase" localSheetId="11" hidden="1">'Substructure ID'!$B$3:$G$1789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78" i="17" l="1"/>
  <c r="C977" i="17"/>
  <c r="C971" i="17"/>
  <c r="C970" i="17"/>
  <c r="C964" i="17"/>
  <c r="C963" i="17"/>
  <c r="C957" i="17"/>
  <c r="C956" i="17"/>
  <c r="C930" i="17"/>
  <c r="C929" i="17"/>
  <c r="C923" i="17"/>
  <c r="C922" i="17"/>
  <c r="C916" i="17"/>
  <c r="C915" i="17"/>
  <c r="C909" i="17"/>
  <c r="C908" i="17"/>
  <c r="C902" i="17"/>
  <c r="C901" i="17"/>
  <c r="C895" i="17"/>
  <c r="C894" i="17"/>
  <c r="C705" i="17"/>
  <c r="C704" i="17"/>
  <c r="C698" i="17"/>
  <c r="C697" i="17"/>
  <c r="C596" i="17"/>
  <c r="C595" i="17"/>
  <c r="C589" i="17"/>
  <c r="C588" i="17"/>
  <c r="C582" i="17"/>
  <c r="C581" i="17"/>
  <c r="C575" i="17"/>
  <c r="C574" i="17"/>
  <c r="C543" i="17"/>
  <c r="C542" i="17"/>
  <c r="C487" i="17"/>
  <c r="C486" i="17"/>
  <c r="C480" i="17"/>
  <c r="C479" i="17"/>
  <c r="C473" i="17"/>
  <c r="C472" i="17"/>
  <c r="C466" i="17"/>
  <c r="C465" i="17"/>
  <c r="C459" i="17"/>
  <c r="C458" i="17"/>
  <c r="C452" i="17"/>
  <c r="C451" i="17"/>
  <c r="C435" i="17"/>
  <c r="C434" i="17"/>
  <c r="C428" i="17"/>
  <c r="C427" i="17"/>
  <c r="C421" i="17"/>
  <c r="C420" i="17"/>
  <c r="C414" i="17"/>
  <c r="C413" i="17"/>
  <c r="C214" i="17"/>
  <c r="C213" i="17"/>
  <c r="C207" i="17"/>
  <c r="C206" i="17"/>
  <c r="C100" i="17"/>
  <c r="C99" i="17"/>
  <c r="C93" i="17"/>
  <c r="C92" i="17"/>
  <c r="C86" i="17"/>
  <c r="C85" i="17"/>
  <c r="C79" i="17"/>
  <c r="C78" i="17"/>
  <c r="D1785" i="12"/>
  <c r="D1784" i="12"/>
  <c r="D1778" i="12"/>
  <c r="D1777" i="12"/>
  <c r="D1771" i="12"/>
  <c r="D1770" i="12"/>
  <c r="D1764" i="12"/>
  <c r="D1763" i="12"/>
  <c r="D1737" i="12"/>
  <c r="D1736" i="12"/>
  <c r="D1730" i="12"/>
  <c r="D1729" i="12"/>
  <c r="D1723" i="12"/>
  <c r="D1722" i="12"/>
  <c r="D1716" i="12"/>
  <c r="D1715" i="12"/>
  <c r="D1709" i="12"/>
  <c r="D1708" i="12"/>
  <c r="D1702" i="12"/>
  <c r="D1701" i="12"/>
  <c r="D1512" i="12"/>
  <c r="D1511" i="12"/>
  <c r="D1505" i="12"/>
  <c r="D1504" i="12"/>
  <c r="D1403" i="12"/>
  <c r="D1402" i="12"/>
  <c r="D1396" i="12"/>
  <c r="D1395" i="12"/>
  <c r="D1389" i="12"/>
  <c r="D1388" i="12"/>
  <c r="D1382" i="12"/>
  <c r="D1381" i="12"/>
  <c r="D1350" i="12"/>
  <c r="D1349" i="12"/>
  <c r="D1294" i="12"/>
  <c r="D1293" i="12"/>
  <c r="D1287" i="12"/>
  <c r="D1286" i="12"/>
  <c r="D1280" i="12"/>
  <c r="D1279" i="12"/>
  <c r="D1273" i="12"/>
  <c r="D1272" i="12"/>
  <c r="D1266" i="12"/>
  <c r="D1265" i="12"/>
  <c r="D1259" i="12"/>
  <c r="D1258" i="12"/>
  <c r="D1242" i="12"/>
  <c r="D1241" i="12"/>
  <c r="D1235" i="12"/>
  <c r="D1234" i="12"/>
  <c r="D1228" i="12"/>
  <c r="D1227" i="12"/>
  <c r="D1221" i="12"/>
  <c r="D1220" i="12"/>
  <c r="D1021" i="12"/>
  <c r="D1020" i="12"/>
  <c r="D1014" i="12"/>
  <c r="D1013" i="12"/>
  <c r="D907" i="12"/>
  <c r="D906" i="12"/>
  <c r="D900" i="12"/>
  <c r="D899" i="12"/>
  <c r="D893" i="12"/>
  <c r="D892" i="12"/>
  <c r="D886" i="12"/>
  <c r="D885" i="12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3" i="11"/>
  <c r="G162" i="11"/>
  <c r="G161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2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5" i="11"/>
  <c r="G74" i="11"/>
  <c r="G73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4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E21" i="9"/>
  <c r="E22" i="9" s="1"/>
  <c r="E25" i="9" s="1"/>
  <c r="E14" i="9"/>
  <c r="E15" i="9" s="1"/>
  <c r="E23" i="9" s="1"/>
  <c r="B4" i="9"/>
  <c r="B5" i="9" s="1"/>
  <c r="B6" i="9" s="1"/>
  <c r="B7" i="9" s="1"/>
  <c r="B8" i="9" s="1"/>
  <c r="B9" i="9" s="1"/>
  <c r="D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I130" i="8"/>
  <c r="C130" i="8"/>
  <c r="H129" i="8"/>
  <c r="C129" i="8"/>
  <c r="H128" i="8"/>
  <c r="C128" i="8"/>
  <c r="H127" i="8"/>
  <c r="C127" i="8"/>
  <c r="H126" i="8"/>
  <c r="C126" i="8"/>
  <c r="H125" i="8"/>
  <c r="C125" i="8"/>
  <c r="H124" i="8"/>
  <c r="C124" i="8"/>
  <c r="H123" i="8"/>
  <c r="C123" i="8"/>
  <c r="H122" i="8"/>
  <c r="C122" i="8"/>
  <c r="M121" i="8"/>
  <c r="H121" i="8"/>
  <c r="C121" i="8"/>
  <c r="L120" i="8"/>
  <c r="H120" i="8"/>
  <c r="C120" i="8"/>
  <c r="L119" i="8"/>
  <c r="H119" i="8"/>
  <c r="C119" i="8"/>
  <c r="L118" i="8"/>
  <c r="H118" i="8"/>
  <c r="C118" i="8"/>
  <c r="L117" i="8"/>
  <c r="H117" i="8"/>
  <c r="C117" i="8"/>
  <c r="L116" i="8"/>
  <c r="H116" i="8"/>
  <c r="C116" i="8"/>
  <c r="L115" i="8"/>
  <c r="H115" i="8"/>
  <c r="C115" i="8"/>
  <c r="L114" i="8"/>
  <c r="H114" i="8"/>
  <c r="C114" i="8"/>
  <c r="L113" i="8"/>
  <c r="H113" i="8"/>
  <c r="C113" i="8"/>
  <c r="L112" i="8"/>
  <c r="H112" i="8"/>
  <c r="C112" i="8"/>
  <c r="L111" i="8"/>
  <c r="H111" i="8"/>
  <c r="C111" i="8"/>
  <c r="L110" i="8"/>
  <c r="H110" i="8"/>
  <c r="C110" i="8"/>
  <c r="L109" i="8"/>
  <c r="H109" i="8"/>
  <c r="C109" i="8"/>
  <c r="L108" i="8"/>
  <c r="H108" i="8"/>
  <c r="C108" i="8"/>
  <c r="L107" i="8"/>
  <c r="H107" i="8"/>
  <c r="C107" i="8"/>
  <c r="L106" i="8"/>
  <c r="H106" i="8"/>
  <c r="C106" i="8"/>
  <c r="L105" i="8"/>
  <c r="H105" i="8"/>
  <c r="C105" i="8"/>
  <c r="L104" i="8"/>
  <c r="H104" i="8"/>
  <c r="C104" i="8"/>
  <c r="L103" i="8"/>
  <c r="H103" i="8"/>
  <c r="C103" i="8"/>
  <c r="L102" i="8"/>
  <c r="H102" i="8"/>
  <c r="C102" i="8"/>
  <c r="L101" i="8"/>
  <c r="H101" i="8"/>
  <c r="C101" i="8"/>
  <c r="L100" i="8"/>
  <c r="H100" i="8"/>
  <c r="C100" i="8"/>
  <c r="L99" i="8"/>
  <c r="H99" i="8"/>
  <c r="C99" i="8"/>
  <c r="L98" i="8"/>
  <c r="H98" i="8"/>
  <c r="C98" i="8"/>
  <c r="L97" i="8"/>
  <c r="H97" i="8"/>
  <c r="C97" i="8"/>
  <c r="L96" i="8"/>
  <c r="H96" i="8"/>
  <c r="C96" i="8"/>
  <c r="L95" i="8"/>
  <c r="H95" i="8"/>
  <c r="C95" i="8"/>
  <c r="L94" i="8"/>
  <c r="H94" i="8"/>
  <c r="C94" i="8"/>
  <c r="L93" i="8"/>
  <c r="H93" i="8"/>
  <c r="C93" i="8"/>
  <c r="L92" i="8"/>
  <c r="H92" i="8"/>
  <c r="C92" i="8"/>
  <c r="L91" i="8"/>
  <c r="H91" i="8"/>
  <c r="C91" i="8"/>
  <c r="L90" i="8"/>
  <c r="H90" i="8"/>
  <c r="C90" i="8"/>
  <c r="L89" i="8"/>
  <c r="H89" i="8"/>
  <c r="C89" i="8"/>
  <c r="L88" i="8"/>
  <c r="H88" i="8"/>
  <c r="C88" i="8"/>
  <c r="L87" i="8"/>
  <c r="H87" i="8"/>
  <c r="C87" i="8"/>
  <c r="L86" i="8"/>
  <c r="H86" i="8"/>
  <c r="C86" i="8"/>
  <c r="L85" i="8"/>
  <c r="H85" i="8"/>
  <c r="C85" i="8"/>
  <c r="L84" i="8"/>
  <c r="H84" i="8"/>
  <c r="C84" i="8"/>
  <c r="L83" i="8"/>
  <c r="H83" i="8"/>
  <c r="L82" i="8"/>
  <c r="H82" i="8"/>
  <c r="L81" i="8"/>
  <c r="H81" i="8"/>
  <c r="C81" i="8"/>
  <c r="L80" i="8"/>
  <c r="H80" i="8"/>
  <c r="C80" i="8"/>
  <c r="L79" i="8"/>
  <c r="H79" i="8"/>
  <c r="C79" i="8"/>
  <c r="L78" i="8"/>
  <c r="H78" i="8"/>
  <c r="C78" i="8"/>
  <c r="L77" i="8"/>
  <c r="H77" i="8"/>
  <c r="C77" i="8"/>
  <c r="L76" i="8"/>
  <c r="H76" i="8"/>
  <c r="C76" i="8"/>
  <c r="L75" i="8"/>
  <c r="H75" i="8"/>
  <c r="C75" i="8"/>
  <c r="L74" i="8"/>
  <c r="H74" i="8"/>
  <c r="C74" i="8"/>
  <c r="L73" i="8"/>
  <c r="H73" i="8"/>
  <c r="C73" i="8"/>
  <c r="L72" i="8"/>
  <c r="H72" i="8"/>
  <c r="C72" i="8"/>
  <c r="L71" i="8"/>
  <c r="H71" i="8"/>
  <c r="C71" i="8"/>
  <c r="L70" i="8"/>
  <c r="H70" i="8"/>
  <c r="C70" i="8"/>
  <c r="L69" i="8"/>
  <c r="H69" i="8"/>
  <c r="C69" i="8"/>
  <c r="L68" i="8"/>
  <c r="H68" i="8"/>
  <c r="C68" i="8"/>
  <c r="L67" i="8"/>
  <c r="H67" i="8"/>
  <c r="C67" i="8"/>
  <c r="L66" i="8"/>
  <c r="H66" i="8"/>
  <c r="C66" i="8"/>
  <c r="L65" i="8"/>
  <c r="H65" i="8"/>
  <c r="C65" i="8"/>
  <c r="L64" i="8"/>
  <c r="H64" i="8"/>
  <c r="C64" i="8"/>
  <c r="L63" i="8"/>
  <c r="H63" i="8"/>
  <c r="C63" i="8"/>
  <c r="L62" i="8"/>
  <c r="H62" i="8"/>
  <c r="C62" i="8"/>
  <c r="L61" i="8"/>
  <c r="H61" i="8"/>
  <c r="C61" i="8"/>
  <c r="L60" i="8"/>
  <c r="H60" i="8"/>
  <c r="C60" i="8"/>
  <c r="L59" i="8"/>
  <c r="H59" i="8"/>
  <c r="C59" i="8"/>
  <c r="L58" i="8"/>
  <c r="H58" i="8"/>
  <c r="C58" i="8"/>
  <c r="L57" i="8"/>
  <c r="H57" i="8"/>
  <c r="C57" i="8"/>
  <c r="L56" i="8"/>
  <c r="H56" i="8"/>
  <c r="C56" i="8"/>
  <c r="L55" i="8"/>
  <c r="H55" i="8"/>
  <c r="C55" i="8"/>
  <c r="L54" i="8"/>
  <c r="H54" i="8"/>
  <c r="C54" i="8"/>
  <c r="L53" i="8"/>
  <c r="H53" i="8"/>
  <c r="C53" i="8"/>
  <c r="L52" i="8"/>
  <c r="H52" i="8"/>
  <c r="C52" i="8"/>
  <c r="L51" i="8"/>
  <c r="H51" i="8"/>
  <c r="C51" i="8"/>
  <c r="L50" i="8"/>
  <c r="H50" i="8"/>
  <c r="C50" i="8"/>
  <c r="L49" i="8"/>
  <c r="H49" i="8"/>
  <c r="C49" i="8"/>
  <c r="L48" i="8"/>
  <c r="H48" i="8"/>
  <c r="C48" i="8"/>
  <c r="L47" i="8"/>
  <c r="H47" i="8"/>
  <c r="C47" i="8"/>
  <c r="L46" i="8"/>
  <c r="H46" i="8"/>
  <c r="C46" i="8"/>
  <c r="Q45" i="8"/>
  <c r="L45" i="8"/>
  <c r="H45" i="8"/>
  <c r="C45" i="8"/>
  <c r="P44" i="8"/>
  <c r="L44" i="8"/>
  <c r="H44" i="8"/>
  <c r="C44" i="8"/>
  <c r="P43" i="8"/>
  <c r="L43" i="8"/>
  <c r="H43" i="8"/>
  <c r="C43" i="8"/>
  <c r="P42" i="8"/>
  <c r="L42" i="8"/>
  <c r="C42" i="8"/>
  <c r="P41" i="8"/>
  <c r="L41" i="8"/>
  <c r="I41" i="8"/>
  <c r="I1" i="8" s="1"/>
  <c r="C41" i="8"/>
  <c r="P40" i="8"/>
  <c r="H40" i="8"/>
  <c r="C40" i="8"/>
  <c r="P39" i="8"/>
  <c r="H39" i="8"/>
  <c r="C39" i="8"/>
  <c r="P38" i="8"/>
  <c r="M38" i="8"/>
  <c r="M1" i="8" s="1"/>
  <c r="H38" i="8"/>
  <c r="C38" i="8"/>
  <c r="P37" i="8"/>
  <c r="L37" i="8"/>
  <c r="H37" i="8"/>
  <c r="C37" i="8"/>
  <c r="P36" i="8"/>
  <c r="L36" i="8"/>
  <c r="H36" i="8"/>
  <c r="C36" i="8"/>
  <c r="P35" i="8"/>
  <c r="L35" i="8"/>
  <c r="H35" i="8"/>
  <c r="C35" i="8"/>
  <c r="P34" i="8"/>
  <c r="L34" i="8"/>
  <c r="H34" i="8"/>
  <c r="C34" i="8"/>
  <c r="P33" i="8"/>
  <c r="L33" i="8"/>
  <c r="H33" i="8"/>
  <c r="C33" i="8"/>
  <c r="P32" i="8"/>
  <c r="L32" i="8"/>
  <c r="H32" i="8"/>
  <c r="C32" i="8"/>
  <c r="P31" i="8"/>
  <c r="L31" i="8"/>
  <c r="H31" i="8"/>
  <c r="C31" i="8"/>
  <c r="P30" i="8"/>
  <c r="L30" i="8"/>
  <c r="H30" i="8"/>
  <c r="C30" i="8"/>
  <c r="P29" i="8"/>
  <c r="L29" i="8"/>
  <c r="H29" i="8"/>
  <c r="C29" i="8"/>
  <c r="P28" i="8"/>
  <c r="L28" i="8"/>
  <c r="H28" i="8"/>
  <c r="C28" i="8"/>
  <c r="P27" i="8"/>
  <c r="L27" i="8"/>
  <c r="H27" i="8"/>
  <c r="C27" i="8"/>
  <c r="P26" i="8"/>
  <c r="L26" i="8"/>
  <c r="H26" i="8"/>
  <c r="C26" i="8"/>
  <c r="P25" i="8"/>
  <c r="L25" i="8"/>
  <c r="H25" i="8"/>
  <c r="C25" i="8"/>
  <c r="P24" i="8"/>
  <c r="L24" i="8"/>
  <c r="H24" i="8"/>
  <c r="C24" i="8"/>
  <c r="P23" i="8"/>
  <c r="L23" i="8"/>
  <c r="H23" i="8"/>
  <c r="C23" i="8"/>
  <c r="P22" i="8"/>
  <c r="L22" i="8"/>
  <c r="H22" i="8"/>
  <c r="C22" i="8"/>
  <c r="P21" i="8"/>
  <c r="L21" i="8"/>
  <c r="H21" i="8"/>
  <c r="C21" i="8"/>
  <c r="P20" i="8"/>
  <c r="L20" i="8"/>
  <c r="H20" i="8"/>
  <c r="C20" i="8"/>
  <c r="P19" i="8"/>
  <c r="L19" i="8"/>
  <c r="I19" i="8"/>
  <c r="H19" i="8"/>
  <c r="C19" i="8"/>
  <c r="P18" i="8"/>
  <c r="L18" i="8"/>
  <c r="H18" i="8"/>
  <c r="C18" i="8"/>
  <c r="P17" i="8"/>
  <c r="L17" i="8"/>
  <c r="H17" i="8"/>
  <c r="C17" i="8"/>
  <c r="P16" i="8"/>
  <c r="L16" i="8"/>
  <c r="H16" i="8"/>
  <c r="C16" i="8"/>
  <c r="P15" i="8"/>
  <c r="L15" i="8"/>
  <c r="H15" i="8"/>
  <c r="C15" i="8"/>
  <c r="P14" i="8"/>
  <c r="L14" i="8"/>
  <c r="H14" i="8"/>
  <c r="C14" i="8"/>
  <c r="P13" i="8"/>
  <c r="L13" i="8"/>
  <c r="I13" i="8"/>
  <c r="H13" i="8"/>
  <c r="C13" i="8"/>
  <c r="P12" i="8"/>
  <c r="L12" i="8"/>
  <c r="H12" i="8"/>
  <c r="C12" i="8"/>
  <c r="P11" i="8"/>
  <c r="L11" i="8"/>
  <c r="H11" i="8"/>
  <c r="C11" i="8"/>
  <c r="P10" i="8"/>
  <c r="L10" i="8"/>
  <c r="H10" i="8"/>
  <c r="C10" i="8"/>
  <c r="P9" i="8"/>
  <c r="L9" i="8"/>
  <c r="H9" i="8"/>
  <c r="C9" i="8"/>
  <c r="P8" i="8"/>
  <c r="L8" i="8"/>
  <c r="H8" i="8"/>
  <c r="C8" i="8"/>
  <c r="P7" i="8"/>
  <c r="L7" i="8"/>
  <c r="I7" i="8"/>
  <c r="H7" i="8"/>
  <c r="C7" i="8"/>
  <c r="P6" i="8"/>
  <c r="L6" i="8"/>
  <c r="H6" i="8"/>
  <c r="C6" i="8"/>
  <c r="Q1" i="8"/>
  <c r="D1" i="8"/>
  <c r="D22" i="5"/>
  <c r="D20" i="5"/>
  <c r="D4" i="5"/>
  <c r="B4" i="1" s="1"/>
  <c r="C5" i="4" s="1"/>
  <c r="B4" i="5"/>
  <c r="B5" i="5" s="1"/>
  <c r="B6" i="5" s="1"/>
  <c r="B7" i="5" s="1"/>
  <c r="B8" i="5" s="1"/>
  <c r="B9" i="5" s="1"/>
  <c r="B10" i="5" s="1"/>
  <c r="B11" i="5" s="1"/>
  <c r="B12" i="5" s="1"/>
  <c r="N5" i="4"/>
  <c r="L5" i="4"/>
  <c r="G5" i="4"/>
  <c r="F5" i="4"/>
  <c r="U10" i="3"/>
  <c r="A10" i="3"/>
  <c r="A9" i="3"/>
  <c r="A6" i="3"/>
  <c r="A7" i="3" s="1"/>
  <c r="A8" i="3" s="1"/>
  <c r="A11" i="3" s="1"/>
  <c r="J11" i="1"/>
  <c r="L4" i="1"/>
  <c r="M5" i="4" s="1"/>
  <c r="K4" i="1"/>
  <c r="J4" i="1"/>
  <c r="K5" i="4" s="1"/>
  <c r="I4" i="1"/>
  <c r="J5" i="4" s="1"/>
  <c r="H4" i="1"/>
  <c r="I5" i="4" s="1"/>
  <c r="G4" i="1"/>
  <c r="H5" i="4" s="1"/>
  <c r="F4" i="1"/>
  <c r="E4" i="1"/>
  <c r="D4" i="1"/>
  <c r="E5" i="4" s="1"/>
  <c r="C4" i="1"/>
  <c r="D5" i="4" s="1"/>
  <c r="B15" i="9" l="1"/>
  <c r="B10" i="9"/>
  <c r="B11" i="9" s="1"/>
  <c r="B12" i="9" s="1"/>
  <c r="B13" i="9" s="1"/>
  <c r="B14" i="9" s="1"/>
  <c r="B15" i="5"/>
  <c r="B13" i="5"/>
  <c r="B14" i="5" s="1"/>
  <c r="B16" i="5" l="1"/>
  <c r="B17" i="5" s="1"/>
  <c r="B18" i="5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2" i="9"/>
  <c r="B23" i="9" s="1"/>
  <c r="B24" i="9" s="1"/>
  <c r="B25" i="9" s="1"/>
  <c r="B26" i="9" s="1"/>
  <c r="B27" i="9" s="1"/>
  <c r="B28" i="9" s="1"/>
  <c r="B29" i="9" s="1"/>
  <c r="B30" i="9" s="1"/>
  <c r="B16" i="9"/>
  <c r="B17" i="9" s="1"/>
  <c r="B18" i="9" s="1"/>
  <c r="B19" i="9" s="1"/>
  <c r="B20" i="9" s="1"/>
  <c r="B21" i="9" s="1"/>
</calcChain>
</file>

<file path=xl/sharedStrings.xml><?xml version="1.0" encoding="utf-8"?>
<sst xmlns="http://schemas.openxmlformats.org/spreadsheetml/2006/main" count="29969" uniqueCount="3352">
  <si>
    <t>Sort by Time</t>
  </si>
  <si>
    <t>Date</t>
  </si>
  <si>
    <t>Supply ID</t>
  </si>
  <si>
    <t>Location</t>
  </si>
  <si>
    <t>In-charge</t>
  </si>
  <si>
    <t>Engineer</t>
  </si>
  <si>
    <t>Structure Name</t>
  </si>
  <si>
    <t>Structure ID</t>
  </si>
  <si>
    <t>Grade</t>
  </si>
  <si>
    <t>QTY</t>
  </si>
  <si>
    <t>Time</t>
  </si>
  <si>
    <t>Placement By</t>
  </si>
  <si>
    <t>Planning Remarks</t>
  </si>
  <si>
    <t>Send Back</t>
  </si>
  <si>
    <t>Total</t>
  </si>
  <si>
    <t>ADD</t>
  </si>
  <si>
    <t>Hold</t>
  </si>
  <si>
    <t>FINAL SEND</t>
  </si>
  <si>
    <t>Requistion to site planning by 5:30 p.m.</t>
  </si>
  <si>
    <t>Site planning validates the entries</t>
  </si>
  <si>
    <t>To be validated and sent to production team by 7:30 p.m.</t>
  </si>
  <si>
    <t>Send for Production</t>
  </si>
  <si>
    <t>Concrete Requisition</t>
  </si>
  <si>
    <t>Stakeholder</t>
  </si>
  <si>
    <t>Execution Team</t>
  </si>
  <si>
    <t>Planning Team</t>
  </si>
  <si>
    <t>Production Team</t>
  </si>
  <si>
    <t>Final Report</t>
  </si>
  <si>
    <t>Responsibilities</t>
  </si>
  <si>
    <t>Data input</t>
  </si>
  <si>
    <t>Data validation</t>
  </si>
  <si>
    <t>Dispatch as per Validation</t>
  </si>
  <si>
    <t>Input actual production</t>
  </si>
  <si>
    <t>Dashboard</t>
  </si>
  <si>
    <t>Once validated,
a compiled mail of approved IDs sent to production team</t>
  </si>
  <si>
    <t>Intimation to execution team
about dispatch plan</t>
  </si>
  <si>
    <t>Input TM nos</t>
  </si>
  <si>
    <t>Production Summary
Material usage summary
Reconciliation of mix vs actual</t>
  </si>
  <si>
    <t>Update time for concrete delivery</t>
  </si>
  <si>
    <t>Link plant production report to the excel for direct input</t>
  </si>
  <si>
    <t>Activity</t>
  </si>
  <si>
    <t>Theoratical</t>
  </si>
  <si>
    <t>Production</t>
  </si>
  <si>
    <t>Wastage</t>
  </si>
  <si>
    <t>Batch Wise Report</t>
  </si>
  <si>
    <t>Input from Planning team</t>
  </si>
  <si>
    <t>Input from Production team</t>
  </si>
  <si>
    <t>Instruction from Planning</t>
  </si>
  <si>
    <t>Batching Plant ID</t>
  </si>
  <si>
    <t>Allocated vehicle</t>
  </si>
  <si>
    <t>Quantity Desptached</t>
  </si>
  <si>
    <t>Despatch time</t>
  </si>
  <si>
    <t>Receipt location</t>
  </si>
  <si>
    <t>Receipt at site</t>
  </si>
  <si>
    <t>Release from site</t>
  </si>
  <si>
    <t>Return to Plant</t>
  </si>
  <si>
    <t>Concrete Requisition Slip</t>
  </si>
  <si>
    <t>Refference Details</t>
  </si>
  <si>
    <t>RFI no.</t>
  </si>
  <si>
    <t>---------</t>
  </si>
  <si>
    <t>Input by site engineer</t>
  </si>
  <si>
    <t>Gorai IC</t>
  </si>
  <si>
    <t>Structure Type</t>
  </si>
  <si>
    <t>Permanent</t>
  </si>
  <si>
    <t>Pier</t>
  </si>
  <si>
    <t>Structure</t>
  </si>
  <si>
    <t>Structure Part</t>
  </si>
  <si>
    <t>Casting ID</t>
  </si>
  <si>
    <t>VGP24</t>
  </si>
  <si>
    <t>CDP35-CDP36</t>
  </si>
  <si>
    <t>Pile</t>
  </si>
  <si>
    <t>PL 78</t>
  </si>
  <si>
    <t>PL 78-1</t>
  </si>
  <si>
    <t>Pile ID/Lift ID/Girder ID/Segment ID</t>
  </si>
  <si>
    <t>Lift 1</t>
  </si>
  <si>
    <t>Pile Cap</t>
  </si>
  <si>
    <t>Concrete Grade</t>
  </si>
  <si>
    <t>M-45</t>
  </si>
  <si>
    <t>Starter/L1/L2/L3</t>
  </si>
  <si>
    <t>Drawing No.</t>
  </si>
  <si>
    <t>O23089-Q-BR-CM-GA-1026(R0)</t>
  </si>
  <si>
    <t>Pier Cap</t>
  </si>
  <si>
    <t>Precast/CIS</t>
  </si>
  <si>
    <t>Dimension as per Drawing</t>
  </si>
  <si>
    <t>Precast Yard</t>
  </si>
  <si>
    <t>Segment</t>
  </si>
  <si>
    <t>PL 78-79</t>
  </si>
  <si>
    <t>S1</t>
  </si>
  <si>
    <t>Length of Structure (in m)</t>
  </si>
  <si>
    <t>Deck Slab/Voided Slab</t>
  </si>
  <si>
    <t>Pl 1B-1A</t>
  </si>
  <si>
    <t>CIS</t>
  </si>
  <si>
    <t>Diameter of Pile/Pier (in m)</t>
  </si>
  <si>
    <t>May not be rquird</t>
  </si>
  <si>
    <t>Diaphragm</t>
  </si>
  <si>
    <t>VC P8</t>
  </si>
  <si>
    <t>Theoritical Qty (in cum)</t>
  </si>
  <si>
    <t>Girder</t>
  </si>
  <si>
    <t>VC P8-P9</t>
  </si>
  <si>
    <t>G2</t>
  </si>
  <si>
    <t>Dimension as per Actual at site</t>
  </si>
  <si>
    <t>pier cap?</t>
  </si>
  <si>
    <t>Stiching Concrete</t>
  </si>
  <si>
    <t>Direct input till JQE is fixed</t>
  </si>
  <si>
    <t>Expansion Joint</t>
  </si>
  <si>
    <t>MCW</t>
  </si>
  <si>
    <t>Crash Barrier</t>
  </si>
  <si>
    <t>Right Side</t>
  </si>
  <si>
    <t>Actual Qty (in cum)</t>
  </si>
  <si>
    <t>CSB</t>
  </si>
  <si>
    <t>Lower Pylon</t>
  </si>
  <si>
    <t>Qty Difference (in cum)</t>
  </si>
  <si>
    <t>Reason for difference</t>
  </si>
  <si>
    <t>Concrete for Boom placer</t>
  </si>
  <si>
    <t>Order Quantity (in cum)</t>
  </si>
  <si>
    <t>Time of Pour</t>
  </si>
  <si>
    <t>Boom placer</t>
  </si>
  <si>
    <t>In-charge Name</t>
  </si>
  <si>
    <t>Mr. A</t>
  </si>
  <si>
    <t>Manual input</t>
  </si>
  <si>
    <t>Contact Person / Engineer</t>
  </si>
  <si>
    <t>Mr. B</t>
  </si>
  <si>
    <t>Contact Number</t>
  </si>
  <si>
    <t>MVDP/GIC/Per/Pier/001</t>
  </si>
  <si>
    <t>Generate by System</t>
  </si>
  <si>
    <t>Sample== MVDP/GIC/Per/Pier/001</t>
  </si>
  <si>
    <t>Pier ID</t>
  </si>
  <si>
    <t>Side</t>
  </si>
  <si>
    <t>Lift No</t>
  </si>
  <si>
    <t>PL 63</t>
  </si>
  <si>
    <t>Left</t>
  </si>
  <si>
    <t>1/2/3/4</t>
  </si>
  <si>
    <t>Right</t>
  </si>
  <si>
    <t>PL 64</t>
  </si>
  <si>
    <t>PR 63</t>
  </si>
  <si>
    <t>PR 64</t>
  </si>
  <si>
    <t>Upper Pylon</t>
  </si>
  <si>
    <t>1 to 12</t>
  </si>
  <si>
    <t>Pier Table</t>
  </si>
  <si>
    <t>Main Alignment</t>
  </si>
  <si>
    <t>Charkop Intrchange</t>
  </si>
  <si>
    <t>Gorai Intrchange</t>
  </si>
  <si>
    <t>Jetty</t>
  </si>
  <si>
    <t>Span ID</t>
  </si>
  <si>
    <t>Length (m)</t>
  </si>
  <si>
    <t>A</t>
  </si>
  <si>
    <t>Platform In Mangrove Area</t>
  </si>
  <si>
    <t>Platform In Marine / Creek</t>
  </si>
  <si>
    <t>A1</t>
  </si>
  <si>
    <t>C1</t>
  </si>
  <si>
    <t>G1</t>
  </si>
  <si>
    <t>J1</t>
  </si>
  <si>
    <t>A2</t>
  </si>
  <si>
    <t>Left/Right</t>
  </si>
  <si>
    <t>C2</t>
  </si>
  <si>
    <t>J2</t>
  </si>
  <si>
    <t>A3</t>
  </si>
  <si>
    <t>C3</t>
  </si>
  <si>
    <t>G3</t>
  </si>
  <si>
    <t>J3</t>
  </si>
  <si>
    <t>A4</t>
  </si>
  <si>
    <t>C4</t>
  </si>
  <si>
    <t>G4</t>
  </si>
  <si>
    <t>J4</t>
  </si>
  <si>
    <t>A5</t>
  </si>
  <si>
    <t>C5</t>
  </si>
  <si>
    <t>G5</t>
  </si>
  <si>
    <t>J5</t>
  </si>
  <si>
    <t>A6</t>
  </si>
  <si>
    <t>C6</t>
  </si>
  <si>
    <t>G6</t>
  </si>
  <si>
    <t>J6</t>
  </si>
  <si>
    <t>A7</t>
  </si>
  <si>
    <t>C7</t>
  </si>
  <si>
    <t>G7</t>
  </si>
  <si>
    <t>J7</t>
  </si>
  <si>
    <t>A8</t>
  </si>
  <si>
    <t>C8</t>
  </si>
  <si>
    <t>G8</t>
  </si>
  <si>
    <t>J8</t>
  </si>
  <si>
    <t>A9</t>
  </si>
  <si>
    <t>C9</t>
  </si>
  <si>
    <t>G9</t>
  </si>
  <si>
    <t>J9</t>
  </si>
  <si>
    <t>A10</t>
  </si>
  <si>
    <t>C10</t>
  </si>
  <si>
    <t>G10</t>
  </si>
  <si>
    <t>J10</t>
  </si>
  <si>
    <t>A11</t>
  </si>
  <si>
    <t>C11</t>
  </si>
  <si>
    <t>G11</t>
  </si>
  <si>
    <t>J11</t>
  </si>
  <si>
    <t>A12</t>
  </si>
  <si>
    <t>C12</t>
  </si>
  <si>
    <t>G12</t>
  </si>
  <si>
    <t>J12</t>
  </si>
  <si>
    <t>A13</t>
  </si>
  <si>
    <t>C13</t>
  </si>
  <si>
    <t>G13</t>
  </si>
  <si>
    <t>J13</t>
  </si>
  <si>
    <t>A14</t>
  </si>
  <si>
    <t>C14</t>
  </si>
  <si>
    <t>G14</t>
  </si>
  <si>
    <t>J14</t>
  </si>
  <si>
    <t>A15</t>
  </si>
  <si>
    <t>C15</t>
  </si>
  <si>
    <t>G15</t>
  </si>
  <si>
    <t>J15</t>
  </si>
  <si>
    <t>A16</t>
  </si>
  <si>
    <t>C16</t>
  </si>
  <si>
    <t>G16</t>
  </si>
  <si>
    <t>J16</t>
  </si>
  <si>
    <t>A17</t>
  </si>
  <si>
    <t>C17</t>
  </si>
  <si>
    <t>G17</t>
  </si>
  <si>
    <t>J17</t>
  </si>
  <si>
    <t>A18</t>
  </si>
  <si>
    <t>C18</t>
  </si>
  <si>
    <t>G18</t>
  </si>
  <si>
    <t>J18</t>
  </si>
  <si>
    <t>A19</t>
  </si>
  <si>
    <t>C19</t>
  </si>
  <si>
    <t>G19</t>
  </si>
  <si>
    <t>J19</t>
  </si>
  <si>
    <t>A20</t>
  </si>
  <si>
    <t>C20</t>
  </si>
  <si>
    <t>G20</t>
  </si>
  <si>
    <t>J20</t>
  </si>
  <si>
    <t>A21</t>
  </si>
  <si>
    <t>C21</t>
  </si>
  <si>
    <t>G21</t>
  </si>
  <si>
    <t>J21</t>
  </si>
  <si>
    <t>A22</t>
  </si>
  <si>
    <t>C22</t>
  </si>
  <si>
    <t>G22</t>
  </si>
  <si>
    <t>J22</t>
  </si>
  <si>
    <t>A23</t>
  </si>
  <si>
    <t>C23</t>
  </si>
  <si>
    <t>G23</t>
  </si>
  <si>
    <t>J23</t>
  </si>
  <si>
    <t>A24</t>
  </si>
  <si>
    <t>C24</t>
  </si>
  <si>
    <t>G24</t>
  </si>
  <si>
    <t>J24</t>
  </si>
  <si>
    <t>A25</t>
  </si>
  <si>
    <t>C25</t>
  </si>
  <si>
    <t>G25</t>
  </si>
  <si>
    <t>J25</t>
  </si>
  <si>
    <t>A26</t>
  </si>
  <si>
    <t>C26</t>
  </si>
  <si>
    <t>G26</t>
  </si>
  <si>
    <t>J26</t>
  </si>
  <si>
    <t>A27</t>
  </si>
  <si>
    <t>C27</t>
  </si>
  <si>
    <t>G27</t>
  </si>
  <si>
    <t>J27</t>
  </si>
  <si>
    <t>A28</t>
  </si>
  <si>
    <t>C28</t>
  </si>
  <si>
    <t>G28</t>
  </si>
  <si>
    <t>J28</t>
  </si>
  <si>
    <t>A29</t>
  </si>
  <si>
    <t>C29</t>
  </si>
  <si>
    <t>G29</t>
  </si>
  <si>
    <t>J29</t>
  </si>
  <si>
    <t>A30</t>
  </si>
  <si>
    <t>C30</t>
  </si>
  <si>
    <t>G30</t>
  </si>
  <si>
    <t>J30</t>
  </si>
  <si>
    <t>A31</t>
  </si>
  <si>
    <t>C31</t>
  </si>
  <si>
    <t>G31</t>
  </si>
  <si>
    <t>J31</t>
  </si>
  <si>
    <t>A32</t>
  </si>
  <si>
    <t>C32</t>
  </si>
  <si>
    <t>G32</t>
  </si>
  <si>
    <t>J32</t>
  </si>
  <si>
    <t>A33</t>
  </si>
  <si>
    <t>C33</t>
  </si>
  <si>
    <t>G33</t>
  </si>
  <si>
    <t>J33</t>
  </si>
  <si>
    <t>A34</t>
  </si>
  <si>
    <t>C34</t>
  </si>
  <si>
    <t>Total  (Rm)</t>
  </si>
  <si>
    <t>J34</t>
  </si>
  <si>
    <t>A35</t>
  </si>
  <si>
    <t>C35</t>
  </si>
  <si>
    <t>B</t>
  </si>
  <si>
    <t>Temporary Jetty</t>
  </si>
  <si>
    <t>J35</t>
  </si>
  <si>
    <t>A36</t>
  </si>
  <si>
    <t>C36</t>
  </si>
  <si>
    <t>G34</t>
  </si>
  <si>
    <t>J36</t>
  </si>
  <si>
    <t>A37</t>
  </si>
  <si>
    <t>G35</t>
  </si>
  <si>
    <t>J37</t>
  </si>
  <si>
    <t>A38</t>
  </si>
  <si>
    <t>G36</t>
  </si>
  <si>
    <t>J38</t>
  </si>
  <si>
    <t>A39</t>
  </si>
  <si>
    <t>C37</t>
  </si>
  <si>
    <t>G37</t>
  </si>
  <si>
    <t>J39</t>
  </si>
  <si>
    <t>A40</t>
  </si>
  <si>
    <t>C38</t>
  </si>
  <si>
    <t>G38</t>
  </si>
  <si>
    <t>J40</t>
  </si>
  <si>
    <t>A41</t>
  </si>
  <si>
    <t>C39</t>
  </si>
  <si>
    <t>G39</t>
  </si>
  <si>
    <t>A42</t>
  </si>
  <si>
    <t>C40</t>
  </si>
  <si>
    <t>G40</t>
  </si>
  <si>
    <t>A43</t>
  </si>
  <si>
    <t>C41</t>
  </si>
  <si>
    <t>G41</t>
  </si>
  <si>
    <t>A44</t>
  </si>
  <si>
    <t>C42</t>
  </si>
  <si>
    <t>G42</t>
  </si>
  <si>
    <t>A45</t>
  </si>
  <si>
    <t>C43</t>
  </si>
  <si>
    <t>G43</t>
  </si>
  <si>
    <t>A46</t>
  </si>
  <si>
    <t>C44</t>
  </si>
  <si>
    <t>G44</t>
  </si>
  <si>
    <t>A47</t>
  </si>
  <si>
    <t>C45</t>
  </si>
  <si>
    <t>G45</t>
  </si>
  <si>
    <t>A48</t>
  </si>
  <si>
    <t>C46</t>
  </si>
  <si>
    <t>G46</t>
  </si>
  <si>
    <t>A49</t>
  </si>
  <si>
    <t>C47</t>
  </si>
  <si>
    <t>G47</t>
  </si>
  <si>
    <t>A50</t>
  </si>
  <si>
    <t>C48</t>
  </si>
  <si>
    <t>G48</t>
  </si>
  <si>
    <t>A51</t>
  </si>
  <si>
    <t>C49</t>
  </si>
  <si>
    <t>G49</t>
  </si>
  <si>
    <t>A52</t>
  </si>
  <si>
    <t>C50</t>
  </si>
  <si>
    <t>G50</t>
  </si>
  <si>
    <t>A53</t>
  </si>
  <si>
    <t>C51</t>
  </si>
  <si>
    <t>G51</t>
  </si>
  <si>
    <t>A54</t>
  </si>
  <si>
    <t>C52</t>
  </si>
  <si>
    <t>G52</t>
  </si>
  <si>
    <t>A55</t>
  </si>
  <si>
    <t>C53</t>
  </si>
  <si>
    <t>G53</t>
  </si>
  <si>
    <t>A56</t>
  </si>
  <si>
    <t>C54</t>
  </si>
  <si>
    <t>G54</t>
  </si>
  <si>
    <t>A57</t>
  </si>
  <si>
    <t>C55</t>
  </si>
  <si>
    <t>G55</t>
  </si>
  <si>
    <t>A58</t>
  </si>
  <si>
    <t>C56</t>
  </si>
  <si>
    <t>G56</t>
  </si>
  <si>
    <t>A59</t>
  </si>
  <si>
    <t>C57</t>
  </si>
  <si>
    <t>G57</t>
  </si>
  <si>
    <t>A60</t>
  </si>
  <si>
    <t>C58</t>
  </si>
  <si>
    <t>G58</t>
  </si>
  <si>
    <t>A61</t>
  </si>
  <si>
    <t>C59</t>
  </si>
  <si>
    <t>G59</t>
  </si>
  <si>
    <t>A62</t>
  </si>
  <si>
    <t>C60</t>
  </si>
  <si>
    <t>G60</t>
  </si>
  <si>
    <t>A63</t>
  </si>
  <si>
    <t>C61</t>
  </si>
  <si>
    <t>G61</t>
  </si>
  <si>
    <t>A64</t>
  </si>
  <si>
    <t>C62</t>
  </si>
  <si>
    <t>G62</t>
  </si>
  <si>
    <t>A65</t>
  </si>
  <si>
    <t>C63</t>
  </si>
  <si>
    <t>G63</t>
  </si>
  <si>
    <t>A66</t>
  </si>
  <si>
    <t>C64</t>
  </si>
  <si>
    <t>G64</t>
  </si>
  <si>
    <t>A67</t>
  </si>
  <si>
    <t>C65</t>
  </si>
  <si>
    <t>G65</t>
  </si>
  <si>
    <t>A68</t>
  </si>
  <si>
    <t>C66</t>
  </si>
  <si>
    <t>G66</t>
  </si>
  <si>
    <t>A69</t>
  </si>
  <si>
    <t>C67</t>
  </si>
  <si>
    <t>G67</t>
  </si>
  <si>
    <t>A70</t>
  </si>
  <si>
    <t>C68</t>
  </si>
  <si>
    <t>G68</t>
  </si>
  <si>
    <t>A71</t>
  </si>
  <si>
    <t>C69</t>
  </si>
  <si>
    <t>G69</t>
  </si>
  <si>
    <t>A72</t>
  </si>
  <si>
    <t>C70</t>
  </si>
  <si>
    <t>G70</t>
  </si>
  <si>
    <t>A73</t>
  </si>
  <si>
    <t>C71</t>
  </si>
  <si>
    <t>G71</t>
  </si>
  <si>
    <t>A74</t>
  </si>
  <si>
    <t>C72</t>
  </si>
  <si>
    <t>G72</t>
  </si>
  <si>
    <t>A75</t>
  </si>
  <si>
    <t>C73</t>
  </si>
  <si>
    <t>G73</t>
  </si>
  <si>
    <t>A76</t>
  </si>
  <si>
    <t>C74</t>
  </si>
  <si>
    <t>G74</t>
  </si>
  <si>
    <t>A77</t>
  </si>
  <si>
    <t>C75</t>
  </si>
  <si>
    <t>G75</t>
  </si>
  <si>
    <t>C76</t>
  </si>
  <si>
    <t>G76</t>
  </si>
  <si>
    <t>A78</t>
  </si>
  <si>
    <t>C77</t>
  </si>
  <si>
    <t>G77</t>
  </si>
  <si>
    <t>A79</t>
  </si>
  <si>
    <t>C78</t>
  </si>
  <si>
    <t>G78</t>
  </si>
  <si>
    <t>A80</t>
  </si>
  <si>
    <t>C79</t>
  </si>
  <si>
    <t>G79</t>
  </si>
  <si>
    <t>A81</t>
  </si>
  <si>
    <t>C80</t>
  </si>
  <si>
    <t>G80</t>
  </si>
  <si>
    <t>A82</t>
  </si>
  <si>
    <t>C81</t>
  </si>
  <si>
    <t>G81</t>
  </si>
  <si>
    <t>A83</t>
  </si>
  <si>
    <t>C82</t>
  </si>
  <si>
    <t>G82</t>
  </si>
  <si>
    <t>A84</t>
  </si>
  <si>
    <t>C83</t>
  </si>
  <si>
    <t>G83</t>
  </si>
  <si>
    <t>A85</t>
  </si>
  <si>
    <t>C84</t>
  </si>
  <si>
    <t>G84</t>
  </si>
  <si>
    <t>A86</t>
  </si>
  <si>
    <t>C85</t>
  </si>
  <si>
    <t>G85</t>
  </si>
  <si>
    <t>A87</t>
  </si>
  <si>
    <t>C86</t>
  </si>
  <si>
    <t>G86</t>
  </si>
  <si>
    <t>A88</t>
  </si>
  <si>
    <t>C87</t>
  </si>
  <si>
    <t>G87</t>
  </si>
  <si>
    <t>A89</t>
  </si>
  <si>
    <t>C88</t>
  </si>
  <si>
    <t>G88</t>
  </si>
  <si>
    <t>A90</t>
  </si>
  <si>
    <t>C89</t>
  </si>
  <si>
    <t>G89</t>
  </si>
  <si>
    <t>A91</t>
  </si>
  <si>
    <t>C90</t>
  </si>
  <si>
    <t>G90</t>
  </si>
  <si>
    <t>A92</t>
  </si>
  <si>
    <t>C91</t>
  </si>
  <si>
    <t>G91</t>
  </si>
  <si>
    <t>A93</t>
  </si>
  <si>
    <t>C92</t>
  </si>
  <si>
    <t>G92</t>
  </si>
  <si>
    <t>A94</t>
  </si>
  <si>
    <t>C93</t>
  </si>
  <si>
    <t>G93</t>
  </si>
  <si>
    <t>A95</t>
  </si>
  <si>
    <t>C94</t>
  </si>
  <si>
    <t>G94</t>
  </si>
  <si>
    <t>A96</t>
  </si>
  <si>
    <t>C95</t>
  </si>
  <si>
    <t>G95</t>
  </si>
  <si>
    <t>A97</t>
  </si>
  <si>
    <t>C96</t>
  </si>
  <si>
    <t>G96</t>
  </si>
  <si>
    <t>A98</t>
  </si>
  <si>
    <t>C97</t>
  </si>
  <si>
    <t>G97</t>
  </si>
  <si>
    <t>A99</t>
  </si>
  <si>
    <t>C98</t>
  </si>
  <si>
    <t>G98</t>
  </si>
  <si>
    <t>A100</t>
  </si>
  <si>
    <t>C99</t>
  </si>
  <si>
    <t>G99</t>
  </si>
  <si>
    <t>A101</t>
  </si>
  <si>
    <t>C100</t>
  </si>
  <si>
    <t>G100</t>
  </si>
  <si>
    <t>A102</t>
  </si>
  <si>
    <t>C101</t>
  </si>
  <si>
    <t>G101</t>
  </si>
  <si>
    <t>A103</t>
  </si>
  <si>
    <t>C102</t>
  </si>
  <si>
    <t>G102</t>
  </si>
  <si>
    <t>A104</t>
  </si>
  <si>
    <t>C103</t>
  </si>
  <si>
    <t>G103</t>
  </si>
  <si>
    <t>A105</t>
  </si>
  <si>
    <t>C104</t>
  </si>
  <si>
    <t>G104</t>
  </si>
  <si>
    <t>A106</t>
  </si>
  <si>
    <t>C105</t>
  </si>
  <si>
    <t>G105</t>
  </si>
  <si>
    <t>A107</t>
  </si>
  <si>
    <t>C106</t>
  </si>
  <si>
    <t>G106</t>
  </si>
  <si>
    <t>A108</t>
  </si>
  <si>
    <t>C107</t>
  </si>
  <si>
    <t>G107</t>
  </si>
  <si>
    <t>A109</t>
  </si>
  <si>
    <t>C108</t>
  </si>
  <si>
    <t>G108</t>
  </si>
  <si>
    <t>A110</t>
  </si>
  <si>
    <t>C109</t>
  </si>
  <si>
    <t>G109</t>
  </si>
  <si>
    <t>A111</t>
  </si>
  <si>
    <t>C110</t>
  </si>
  <si>
    <t>G110</t>
  </si>
  <si>
    <t>A112</t>
  </si>
  <si>
    <t>C111</t>
  </si>
  <si>
    <t>G111</t>
  </si>
  <si>
    <t>A113</t>
  </si>
  <si>
    <t>C112</t>
  </si>
  <si>
    <t>G112</t>
  </si>
  <si>
    <t>A114</t>
  </si>
  <si>
    <t>C113</t>
  </si>
  <si>
    <t>G113</t>
  </si>
  <si>
    <t>A115</t>
  </si>
  <si>
    <t>C114</t>
  </si>
  <si>
    <t>G114</t>
  </si>
  <si>
    <t>A116</t>
  </si>
  <si>
    <t>C115</t>
  </si>
  <si>
    <t>A117</t>
  </si>
  <si>
    <t>C116</t>
  </si>
  <si>
    <t>A118</t>
  </si>
  <si>
    <t>C117</t>
  </si>
  <si>
    <t>A119</t>
  </si>
  <si>
    <t>C118</t>
  </si>
  <si>
    <t>A120</t>
  </si>
  <si>
    <t>C119</t>
  </si>
  <si>
    <t>A121</t>
  </si>
  <si>
    <t>C120</t>
  </si>
  <si>
    <t>A122</t>
  </si>
  <si>
    <t>C121</t>
  </si>
  <si>
    <t>A123</t>
  </si>
  <si>
    <t>C122</t>
  </si>
  <si>
    <t>A124</t>
  </si>
  <si>
    <t>MA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</si>
  <si>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</si>
  <si>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</si>
  <si>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</si>
  <si>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</si>
  <si>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</si>
  <si>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</si>
  <si>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</si>
  <si>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</si>
  <si>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</si>
  <si>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</si>
  <si>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</si>
  <si>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</si>
  <si>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</si>
  <si>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</si>
  <si>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</si>
  <si>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</si>
  <si>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</si>
  <si>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</si>
  <si>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</si>
  <si>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</si>
  <si>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</si>
  <si>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</si>
  <si>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</si>
  <si>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</si>
  <si>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</si>
  <si>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</si>
  <si>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</si>
  <si>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</si>
  <si>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</si>
  <si>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</si>
  <si>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</si>
  <si>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</si>
  <si>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</si>
  <si>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</si>
  <si>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</si>
  <si>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</si>
  <si>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</si>
  <si>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</si>
  <si>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</si>
  <si>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</si>
  <si>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</si>
  <si>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</si>
  <si>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</si>
  <si>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</si>
  <si>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</si>
  <si>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</si>
  <si>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</si>
  <si>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</si>
  <si>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</si>
  <si>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</si>
  <si>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</si>
  <si>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</si>
  <si>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</si>
  <si>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</si>
  <si>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</si>
  <si>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</si>
  <si>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</si>
  <si>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</si>
  <si>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</si>
  <si>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</si>
  <si>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</si>
  <si>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</si>
  <si>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</si>
  <si>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</si>
  <si>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</si>
  <si>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</si>
  <si>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</si>
  <si>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</si>
  <si>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</si>
  <si>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</si>
  <si>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</si>
  <si>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</si>
  <si>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</si>
  <si>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</si>
  <si>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</si>
  <si>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</si>
  <si>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</si>
  <si>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</si>
  <si>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</si>
  <si>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</si>
  <si>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</si>
  <si>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</si>
  <si>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</si>
  <si>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</si>
  <si>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</si>
  <si>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</si>
  <si>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</si>
  <si>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</si>
  <si>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</si>
  <si>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</si>
  <si>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</si>
  <si>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</si>
  <si>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</si>
  <si>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</si>
  <si>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</si>
  <si>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</si>
  <si>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</si>
  <si>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</si>
  <si>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Details</t>
  </si>
  <si>
    <t>WIR / RFI no.</t>
  </si>
  <si>
    <t>Casting Yard</t>
  </si>
  <si>
    <t>Enabling</t>
  </si>
  <si>
    <t>Gantry Track</t>
  </si>
  <si>
    <t>M-30</t>
  </si>
  <si>
    <t>Width of Structure (in m)</t>
  </si>
  <si>
    <t>Height of Structure (in m)</t>
  </si>
  <si>
    <t>Cross Section of Structure (in sqm)</t>
  </si>
  <si>
    <t>Production Plant</t>
  </si>
  <si>
    <t>DHV CP 30</t>
  </si>
  <si>
    <t>Input by Production team?</t>
  </si>
  <si>
    <t>11am</t>
  </si>
  <si>
    <t>Manual</t>
  </si>
  <si>
    <t>Grade of Concrete</t>
  </si>
  <si>
    <t xml:space="preserve">Structure </t>
  </si>
  <si>
    <t>Component</t>
  </si>
  <si>
    <t>Placement by</t>
  </si>
  <si>
    <t>Pier lift</t>
  </si>
  <si>
    <t>RMC</t>
  </si>
  <si>
    <t>M-10</t>
  </si>
  <si>
    <t>Direct - Chute</t>
  </si>
  <si>
    <t>Starter</t>
  </si>
  <si>
    <t>Cast In Situ</t>
  </si>
  <si>
    <t>Dropdown</t>
  </si>
  <si>
    <t>CY CP 60</t>
  </si>
  <si>
    <t>M-20</t>
  </si>
  <si>
    <t>Charkop IC</t>
  </si>
  <si>
    <t>Precast</t>
  </si>
  <si>
    <t>DHV CP 60</t>
  </si>
  <si>
    <t>M-25</t>
  </si>
  <si>
    <t>Main Carraigeway</t>
  </si>
  <si>
    <t>Pile cap</t>
  </si>
  <si>
    <t>Lift 2</t>
  </si>
  <si>
    <t>Proceed</t>
  </si>
  <si>
    <t>Lift 3</t>
  </si>
  <si>
    <t>Lift 4</t>
  </si>
  <si>
    <t>M-45P</t>
  </si>
  <si>
    <t>M-50</t>
  </si>
  <si>
    <t>I Girder</t>
  </si>
  <si>
    <t>M-55</t>
  </si>
  <si>
    <t>M-60</t>
  </si>
  <si>
    <t>Deck Slab</t>
  </si>
  <si>
    <t>Segment Stiching</t>
  </si>
  <si>
    <t>Voided Slab</t>
  </si>
  <si>
    <t>Pedestal</t>
  </si>
  <si>
    <t>Seismic Restrainer</t>
  </si>
  <si>
    <t>Steel Bridge</t>
  </si>
  <si>
    <t>Cable Stay Bridge</t>
  </si>
  <si>
    <t>Site Establishment</t>
  </si>
  <si>
    <t>Casting Bed</t>
  </si>
  <si>
    <t>Stacking Bed</t>
  </si>
  <si>
    <t>TAB</t>
  </si>
  <si>
    <t>Labor colony</t>
  </si>
  <si>
    <t>Pricing Center</t>
  </si>
  <si>
    <t>Chainage</t>
  </si>
  <si>
    <t>Main Viaduct</t>
  </si>
  <si>
    <t>LHS</t>
  </si>
  <si>
    <t>PL1B</t>
  </si>
  <si>
    <t>PL1A</t>
  </si>
  <si>
    <t>Merging Span</t>
  </si>
  <si>
    <t>PL1</t>
  </si>
  <si>
    <t>PL2</t>
  </si>
  <si>
    <t>PL3</t>
  </si>
  <si>
    <t>PL4</t>
  </si>
  <si>
    <t>PL5</t>
  </si>
  <si>
    <t>PL6</t>
  </si>
  <si>
    <t>PL7</t>
  </si>
  <si>
    <t>PL8</t>
  </si>
  <si>
    <t>PL9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</si>
  <si>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</si>
  <si>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</si>
  <si>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</si>
  <si>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</si>
  <si>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</si>
  <si>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</si>
  <si>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</si>
  <si>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</si>
  <si>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</si>
  <si>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</si>
  <si>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</si>
  <si>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</si>
  <si>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</si>
  <si>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</si>
  <si>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</si>
  <si>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PL25</t>
  </si>
  <si>
    <t>PL26</t>
  </si>
  <si>
    <t>PL27</t>
  </si>
  <si>
    <t>PL28</t>
  </si>
  <si>
    <t>PL29</t>
  </si>
  <si>
    <t>PL30</t>
  </si>
  <si>
    <t>PL31</t>
  </si>
  <si>
    <t>PL32</t>
  </si>
  <si>
    <t>PL33</t>
  </si>
  <si>
    <t>PL34</t>
  </si>
  <si>
    <t>PL35</t>
  </si>
  <si>
    <t>Obligatory Span</t>
  </si>
  <si>
    <t>Basket Bridge</t>
  </si>
  <si>
    <t>PL36</t>
  </si>
  <si>
    <t>PL37</t>
  </si>
  <si>
    <t>PL38</t>
  </si>
  <si>
    <t>PL39</t>
  </si>
  <si>
    <t>PL40</t>
  </si>
  <si>
    <t>PL41</t>
  </si>
  <si>
    <t>PL42</t>
  </si>
  <si>
    <t>PL43</t>
  </si>
  <si>
    <t>PL44</t>
  </si>
  <si>
    <t>PL45</t>
  </si>
  <si>
    <t>PL46</t>
  </si>
  <si>
    <t>PL47</t>
  </si>
  <si>
    <t>PL48</t>
  </si>
  <si>
    <t>PL49</t>
  </si>
  <si>
    <t>PL50</t>
  </si>
  <si>
    <t>PL51</t>
  </si>
  <si>
    <t>PL52</t>
  </si>
  <si>
    <t>PL53</t>
  </si>
  <si>
    <t>PL54</t>
  </si>
  <si>
    <t>PL55</t>
  </si>
  <si>
    <t>PL56</t>
  </si>
  <si>
    <t>PL57</t>
  </si>
  <si>
    <t>PL58</t>
  </si>
  <si>
    <t>PL59</t>
  </si>
  <si>
    <t>PL60</t>
  </si>
  <si>
    <t>PL61</t>
  </si>
  <si>
    <t>PL62</t>
  </si>
  <si>
    <t>PL63</t>
  </si>
  <si>
    <t>PL64</t>
  </si>
  <si>
    <t>PL65</t>
  </si>
  <si>
    <t>PL66</t>
  </si>
  <si>
    <t>PL67</t>
  </si>
  <si>
    <t>PL68</t>
  </si>
  <si>
    <t>PL69</t>
  </si>
  <si>
    <t>PL70</t>
  </si>
  <si>
    <t>PL71</t>
  </si>
  <si>
    <t>PL72</t>
  </si>
  <si>
    <t>PL73</t>
  </si>
  <si>
    <t>PL74</t>
  </si>
  <si>
    <t>PL75</t>
  </si>
  <si>
    <t>PL76</t>
  </si>
  <si>
    <t>PL77</t>
  </si>
  <si>
    <t>PL78</t>
  </si>
  <si>
    <t>PL79</t>
  </si>
  <si>
    <t>PL80</t>
  </si>
  <si>
    <t>PL81</t>
  </si>
  <si>
    <t>RHS</t>
  </si>
  <si>
    <t>PR1B</t>
  </si>
  <si>
    <t>PR1A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</si>
  <si>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</si>
  <si>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</si>
  <si>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</si>
  <si>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</si>
  <si>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</si>
  <si>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</si>
  <si>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</si>
  <si>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</si>
  <si>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</si>
  <si>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</si>
  <si>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</si>
  <si>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</si>
  <si>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</si>
  <si>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</si>
  <si>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</si>
  <si>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</si>
  <si>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</si>
  <si>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</si>
  <si>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</si>
  <si>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</si>
  <si>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PR21</t>
  </si>
  <si>
    <t>PR22</t>
  </si>
  <si>
    <t>PR23</t>
  </si>
  <si>
    <t>PR24</t>
  </si>
  <si>
    <t>PR25</t>
  </si>
  <si>
    <t>PR26</t>
  </si>
  <si>
    <t>PR27</t>
  </si>
  <si>
    <t>PR28</t>
  </si>
  <si>
    <t>PR29</t>
  </si>
  <si>
    <t>PR30</t>
  </si>
  <si>
    <t>PR31</t>
  </si>
  <si>
    <t>PR32</t>
  </si>
  <si>
    <t>PR33</t>
  </si>
  <si>
    <t>PR34</t>
  </si>
  <si>
    <t>PR35</t>
  </si>
  <si>
    <t>PR36</t>
  </si>
  <si>
    <t>PR37</t>
  </si>
  <si>
    <t>PR38</t>
  </si>
  <si>
    <t>PR39</t>
  </si>
  <si>
    <t>PR40</t>
  </si>
  <si>
    <t>PR41</t>
  </si>
  <si>
    <t>PR42</t>
  </si>
  <si>
    <t>PR43</t>
  </si>
  <si>
    <t>PR44</t>
  </si>
  <si>
    <t>PR45</t>
  </si>
  <si>
    <t>PR46</t>
  </si>
  <si>
    <t>PR47</t>
  </si>
  <si>
    <t>PR48</t>
  </si>
  <si>
    <t>PR49</t>
  </si>
  <si>
    <t>PR50</t>
  </si>
  <si>
    <t>PR51</t>
  </si>
  <si>
    <t>PR52</t>
  </si>
  <si>
    <t>PR53</t>
  </si>
  <si>
    <t>PR54</t>
  </si>
  <si>
    <t>PR55</t>
  </si>
  <si>
    <t>PR56</t>
  </si>
  <si>
    <t>PR57</t>
  </si>
  <si>
    <t>PR58</t>
  </si>
  <si>
    <t>PR59</t>
  </si>
  <si>
    <t>PR60</t>
  </si>
  <si>
    <t>PR61</t>
  </si>
  <si>
    <t>PR62</t>
  </si>
  <si>
    <t>PR63</t>
  </si>
  <si>
    <t>PR64</t>
  </si>
  <si>
    <t>PR65</t>
  </si>
  <si>
    <t>PR66</t>
  </si>
  <si>
    <t>PR67</t>
  </si>
  <si>
    <t>PR68</t>
  </si>
  <si>
    <t>PR69</t>
  </si>
  <si>
    <t>PR70</t>
  </si>
  <si>
    <t>PR71</t>
  </si>
  <si>
    <t>PR72</t>
  </si>
  <si>
    <t>PR73</t>
  </si>
  <si>
    <t>PR74</t>
  </si>
  <si>
    <t>PR75</t>
  </si>
  <si>
    <t>PR76</t>
  </si>
  <si>
    <t>PR77</t>
  </si>
  <si>
    <t>PR78</t>
  </si>
  <si>
    <t>PR79</t>
  </si>
  <si>
    <t>PR80</t>
  </si>
  <si>
    <t>PR81</t>
  </si>
  <si>
    <t>Interchanges</t>
  </si>
  <si>
    <t>Loop-1</t>
  </si>
  <si>
    <t>VCP1</t>
  </si>
  <si>
    <t>VCP2</t>
  </si>
  <si>
    <t>VCP3</t>
  </si>
  <si>
    <t>VCP4</t>
  </si>
  <si>
    <t>VCP5</t>
  </si>
  <si>
    <t>VCP6</t>
  </si>
  <si>
    <t>VCP7</t>
  </si>
  <si>
    <t>VCP8</t>
  </si>
  <si>
    <t>VCP9</t>
  </si>
  <si>
    <t>VCP10</t>
  </si>
  <si>
    <t>VCP11</t>
  </si>
  <si>
    <t>VCP12</t>
  </si>
  <si>
    <t>VCP13</t>
  </si>
  <si>
    <t>VCP14</t>
  </si>
  <si>
    <t>VCP15</t>
  </si>
  <si>
    <t>VCP16</t>
  </si>
  <si>
    <t>VCP17</t>
  </si>
  <si>
    <t>VCP18</t>
  </si>
  <si>
    <t>VCP19</t>
  </si>
  <si>
    <t>VCP20</t>
  </si>
  <si>
    <t>VCP21</t>
  </si>
  <si>
    <t>VCP22</t>
  </si>
  <si>
    <t>VCP23</t>
  </si>
  <si>
    <t>VCP24</t>
  </si>
  <si>
    <t>VCP25</t>
  </si>
  <si>
    <t>VCP26</t>
  </si>
  <si>
    <t>VCP27</t>
  </si>
  <si>
    <t>VCP28</t>
  </si>
  <si>
    <t>VCP29</t>
  </si>
  <si>
    <t>VCP30</t>
  </si>
  <si>
    <t>VCP31</t>
  </si>
  <si>
    <t>VCP32</t>
  </si>
  <si>
    <t>VCP33</t>
  </si>
  <si>
    <t>VCP34</t>
  </si>
  <si>
    <t>VCP35</t>
  </si>
  <si>
    <t>VCP36</t>
  </si>
  <si>
    <t>VCP37</t>
  </si>
  <si>
    <t>VCP38</t>
  </si>
  <si>
    <t>VCP39</t>
  </si>
  <si>
    <t>VCP40</t>
  </si>
  <si>
    <t>VCP41</t>
  </si>
  <si>
    <t>VCP42</t>
  </si>
  <si>
    <t>VCP43</t>
  </si>
  <si>
    <t>VCP44</t>
  </si>
  <si>
    <t>VCP45</t>
  </si>
  <si>
    <t>VCP47</t>
  </si>
  <si>
    <t>VCP48</t>
  </si>
  <si>
    <t>VCP49</t>
  </si>
  <si>
    <t>VCP50</t>
  </si>
  <si>
    <t>VCP51</t>
  </si>
  <si>
    <t>VCP52</t>
  </si>
  <si>
    <t>VCP53</t>
  </si>
  <si>
    <t>Loop-2</t>
  </si>
  <si>
    <t>CDP1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</si>
  <si>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</si>
  <si>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</si>
  <si>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</si>
  <si>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</si>
  <si>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</si>
  <si>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</si>
  <si>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</si>
  <si>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</si>
  <si>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</si>
  <si>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</si>
  <si>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</si>
  <si>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CDP13</t>
  </si>
  <si>
    <t>CDP14</t>
  </si>
  <si>
    <t>CDP15</t>
  </si>
  <si>
    <t>CDP16</t>
  </si>
  <si>
    <t>CDP17</t>
  </si>
  <si>
    <t>CDP18</t>
  </si>
  <si>
    <t>CDP19</t>
  </si>
  <si>
    <t>CDP20</t>
  </si>
  <si>
    <t>CDP21</t>
  </si>
  <si>
    <t>CDP22</t>
  </si>
  <si>
    <t>CDP23</t>
  </si>
  <si>
    <t>CDP24</t>
  </si>
  <si>
    <t>CDP25</t>
  </si>
  <si>
    <t>CDP26</t>
  </si>
  <si>
    <t>CDP27</t>
  </si>
  <si>
    <t>CDP28</t>
  </si>
  <si>
    <t>CDP29</t>
  </si>
  <si>
    <t>CDP30</t>
  </si>
  <si>
    <t>CDP31</t>
  </si>
  <si>
    <t>CDP32</t>
  </si>
  <si>
    <t>CDP33</t>
  </si>
  <si>
    <t>CDP34</t>
  </si>
  <si>
    <t>CDP35</t>
  </si>
  <si>
    <t>CDP36</t>
  </si>
  <si>
    <t>CDP37</t>
  </si>
  <si>
    <t>CDP38</t>
  </si>
  <si>
    <t>CDP39</t>
  </si>
  <si>
    <t>CDP40</t>
  </si>
  <si>
    <t>CDP41</t>
  </si>
  <si>
    <t>CDP42</t>
  </si>
  <si>
    <t>CDP43</t>
  </si>
  <si>
    <t>CDP44</t>
  </si>
  <si>
    <t>CDP45</t>
  </si>
  <si>
    <t>CDP47</t>
  </si>
  <si>
    <t>CDP48</t>
  </si>
  <si>
    <t>CDP49</t>
  </si>
  <si>
    <t>CDP50</t>
  </si>
  <si>
    <t>CDP51</t>
  </si>
  <si>
    <t>CDP52</t>
  </si>
  <si>
    <t>CDP53</t>
  </si>
  <si>
    <t>Ramp-1</t>
  </si>
  <si>
    <t>DCP1</t>
  </si>
  <si>
    <t>DCP2</t>
  </si>
  <si>
    <t>DCP3</t>
  </si>
  <si>
    <t>DCP4</t>
  </si>
  <si>
    <t>DCP5</t>
  </si>
  <si>
    <t>DCP6</t>
  </si>
  <si>
    <t>DCP7</t>
  </si>
  <si>
    <t>DCP8</t>
  </si>
  <si>
    <t>DCP9</t>
  </si>
  <si>
    <t>DCP10</t>
  </si>
  <si>
    <t>DCP11</t>
  </si>
  <si>
    <t>DCP12</t>
  </si>
  <si>
    <t>DCP13</t>
  </si>
  <si>
    <t>DCP14</t>
  </si>
  <si>
    <t>Ramp-2</t>
  </si>
  <si>
    <t>CVP10</t>
  </si>
  <si>
    <t>CVP9</t>
  </si>
  <si>
    <t>CVP8</t>
  </si>
  <si>
    <t>CVP7</t>
  </si>
  <si>
    <t>CVP6</t>
  </si>
  <si>
    <t>CVP5</t>
  </si>
  <si>
    <t>CVP4</t>
  </si>
  <si>
    <t>CVP3</t>
  </si>
  <si>
    <t>CVP2</t>
  </si>
  <si>
    <t>CVP1</t>
  </si>
  <si>
    <t>VGP1</t>
  </si>
  <si>
    <t>VGP2</t>
  </si>
  <si>
    <t>VGP3</t>
  </si>
  <si>
    <t>VGP4</t>
  </si>
  <si>
    <t>VGP5</t>
  </si>
  <si>
    <t>VGP6</t>
  </si>
  <si>
    <t>VGP7</t>
  </si>
  <si>
    <t>VGP8</t>
  </si>
  <si>
    <t>VGP9</t>
  </si>
  <si>
    <t>VGP10</t>
  </si>
  <si>
    <t>VGP11</t>
  </si>
  <si>
    <t>VGP12</t>
  </si>
  <si>
    <t>VGP13</t>
  </si>
  <si>
    <t>VGP14</t>
  </si>
  <si>
    <t>VGP15</t>
  </si>
  <si>
    <t>VGP16</t>
  </si>
  <si>
    <t>VGP17</t>
  </si>
  <si>
    <t>VGP18</t>
  </si>
  <si>
    <t>VGP19</t>
  </si>
  <si>
    <t>VGP20</t>
  </si>
  <si>
    <t>VGP21</t>
  </si>
  <si>
    <t>VGP22</t>
  </si>
  <si>
    <t>VGP23</t>
  </si>
  <si>
    <t>VGP25</t>
  </si>
  <si>
    <t>VGP26</t>
  </si>
  <si>
    <t>VGP27</t>
  </si>
  <si>
    <t>VGP28</t>
  </si>
  <si>
    <t>VGP29</t>
  </si>
  <si>
    <t>VGP30</t>
  </si>
  <si>
    <t>VGP31</t>
  </si>
  <si>
    <t>VGP32</t>
  </si>
  <si>
    <t>VGP33</t>
  </si>
  <si>
    <t>VGP34</t>
  </si>
  <si>
    <t>VGP35</t>
  </si>
  <si>
    <t>VGP36</t>
  </si>
  <si>
    <t>GDP1</t>
  </si>
  <si>
    <t>GDP2</t>
  </si>
  <si>
    <t>GDP3</t>
  </si>
  <si>
    <t>GDP4</t>
  </si>
  <si>
    <t>GDP5</t>
  </si>
  <si>
    <t>GDP6</t>
  </si>
  <si>
    <t>GDP7</t>
  </si>
  <si>
    <t>GDP8</t>
  </si>
  <si>
    <t>GDP9</t>
  </si>
  <si>
    <t>GDP10</t>
  </si>
  <si>
    <t>GDP11</t>
  </si>
  <si>
    <t>GDP12</t>
  </si>
  <si>
    <t>GDP13</t>
  </si>
  <si>
    <t>GDP14</t>
  </si>
  <si>
    <t>GDP15</t>
  </si>
  <si>
    <t>GDP16</t>
  </si>
  <si>
    <t>GDP17</t>
  </si>
  <si>
    <t>GDP18</t>
  </si>
  <si>
    <t>GDP19</t>
  </si>
  <si>
    <t>GDP20</t>
  </si>
  <si>
    <t>GDP21</t>
  </si>
  <si>
    <t>GDP22</t>
  </si>
  <si>
    <t>GDP23</t>
  </si>
  <si>
    <t>GDP24</t>
  </si>
  <si>
    <t>GDP25</t>
  </si>
  <si>
    <t>GDP26</t>
  </si>
  <si>
    <t>GDP27</t>
  </si>
  <si>
    <t>GDP28</t>
  </si>
  <si>
    <t>GDP29</t>
  </si>
  <si>
    <t>GDP30</t>
  </si>
  <si>
    <t>GDP31</t>
  </si>
  <si>
    <t>GDP32</t>
  </si>
  <si>
    <t>GDP33</t>
  </si>
  <si>
    <t>GDP34</t>
  </si>
  <si>
    <t>GDP35</t>
  </si>
  <si>
    <t>GDP36</t>
  </si>
  <si>
    <t>DGP1</t>
  </si>
  <si>
    <t>DGP2</t>
  </si>
  <si>
    <t>DGP3</t>
  </si>
  <si>
    <t>DGP4</t>
  </si>
  <si>
    <t>DGP5</t>
  </si>
  <si>
    <t>DGP6</t>
  </si>
  <si>
    <t>DGP7</t>
  </si>
  <si>
    <t>DGP8</t>
  </si>
  <si>
    <t>DGP9</t>
  </si>
  <si>
    <t>DGP10</t>
  </si>
  <si>
    <t>DGP11</t>
  </si>
  <si>
    <t>DGP12</t>
  </si>
  <si>
    <t>GVP14</t>
  </si>
  <si>
    <t>GVP13</t>
  </si>
  <si>
    <t>GVP12</t>
  </si>
  <si>
    <t>GVP11</t>
  </si>
  <si>
    <t>GVP10</t>
  </si>
  <si>
    <t>GVP9</t>
  </si>
  <si>
    <t>GVP8</t>
  </si>
  <si>
    <t>GVP7</t>
  </si>
  <si>
    <t>GVP6</t>
  </si>
  <si>
    <t>GVP5</t>
  </si>
  <si>
    <t>GVP4</t>
  </si>
  <si>
    <t>GVP3</t>
  </si>
  <si>
    <t>GVP2</t>
  </si>
  <si>
    <t>GVP1</t>
  </si>
  <si>
    <t>Module</t>
  </si>
  <si>
    <t>Pile ID</t>
  </si>
  <si>
    <t>VCP1-P1</t>
  </si>
  <si>
    <t>VCP1-P2</t>
  </si>
  <si>
    <t>VCP1-P3</t>
  </si>
  <si>
    <t>VCP1-P4</t>
  </si>
  <si>
    <t>VCP2-P1</t>
  </si>
  <si>
    <t>VCP2-P2</t>
  </si>
  <si>
    <t>VCP2-P3</t>
  </si>
  <si>
    <t>VCP2-P4</t>
  </si>
  <si>
    <t>VCP3-P1</t>
  </si>
  <si>
    <t>VCP3-P2</t>
  </si>
  <si>
    <t>VCP3-P3</t>
  </si>
  <si>
    <t>VCP3-P4</t>
  </si>
  <si>
    <t>VCP4-P1</t>
  </si>
  <si>
    <t>VCP4-P2</t>
  </si>
  <si>
    <t>VCP4-P3</t>
  </si>
  <si>
    <t>VCP4-P4</t>
  </si>
  <si>
    <t>VCP5-P1</t>
  </si>
  <si>
    <t>VCP5-P2</t>
  </si>
  <si>
    <t>VCP5-P3</t>
  </si>
  <si>
    <t>VCP5-P4</t>
  </si>
  <si>
    <t>VCP6-P1</t>
  </si>
  <si>
    <t>VCP6-P2</t>
  </si>
  <si>
    <t>VCP6-P3</t>
  </si>
  <si>
    <t>VCP6-P4</t>
  </si>
  <si>
    <t>VCP7-P1</t>
  </si>
  <si>
    <t>VCP7-P2</t>
  </si>
  <si>
    <t>VCP7-P3</t>
  </si>
  <si>
    <t>VCP7-P4</t>
  </si>
  <si>
    <t>VCP8-P1</t>
  </si>
  <si>
    <t>VCP8-P2</t>
  </si>
  <si>
    <t>VCP8-P3</t>
  </si>
  <si>
    <t>VCP8-P4</t>
  </si>
  <si>
    <t>VCP9-P1</t>
  </si>
  <si>
    <t>VCP9-P2</t>
  </si>
  <si>
    <t>VCP9-P3</t>
  </si>
  <si>
    <t>VCP9-P4</t>
  </si>
  <si>
    <t>VCP9-P5</t>
  </si>
  <si>
    <t>VCP9-P6</t>
  </si>
  <si>
    <t>VCP10-P1</t>
  </si>
  <si>
    <t>VCP10-P2</t>
  </si>
  <si>
    <t>VCP10-P3</t>
  </si>
  <si>
    <t>VCP11-P1</t>
  </si>
  <si>
    <t>VCP11-P2</t>
  </si>
  <si>
    <t>VCP11-P3</t>
  </si>
  <si>
    <t>VCP12-P1</t>
  </si>
  <si>
    <t>VCP12-P2</t>
  </si>
  <si>
    <t>VCP12-P3</t>
  </si>
  <si>
    <t>VCP13-P1</t>
  </si>
  <si>
    <t>VCP13-P2</t>
  </si>
  <si>
    <t>VCP13-P3</t>
  </si>
  <si>
    <t>VCP13-P4</t>
  </si>
  <si>
    <t>VCP13-P5</t>
  </si>
  <si>
    <t>VCP13-P6</t>
  </si>
  <si>
    <t>VCP14-P1</t>
  </si>
  <si>
    <t>VCP14-P2</t>
  </si>
  <si>
    <t>VCP14-P3</t>
  </si>
  <si>
    <t>VCP15-P1</t>
  </si>
  <si>
    <t>VCP15-P2</t>
  </si>
  <si>
    <t>VCP15-P3</t>
  </si>
  <si>
    <t>VCP16-P1</t>
  </si>
  <si>
    <t>VCP16-P2</t>
  </si>
  <si>
    <t>VCP16-P3</t>
  </si>
  <si>
    <t>VCP17-P1</t>
  </si>
  <si>
    <t>VCP17-P2</t>
  </si>
  <si>
    <t>VCP18-P1</t>
  </si>
  <si>
    <t>VCP18-P2</t>
  </si>
  <si>
    <t>VCP18-P3</t>
  </si>
  <si>
    <t>VCP19-P1</t>
  </si>
  <si>
    <t>VCP19-P2</t>
  </si>
  <si>
    <t>VCP19-P3</t>
  </si>
  <si>
    <t>VCP19-P4</t>
  </si>
  <si>
    <t>VCP19-P5</t>
  </si>
  <si>
    <t>VCP19-P6</t>
  </si>
  <si>
    <t>VCP20-P1</t>
  </si>
  <si>
    <t>VCP20-P2</t>
  </si>
  <si>
    <t>VCP20-P3</t>
  </si>
  <si>
    <t>VCP20-P4</t>
  </si>
  <si>
    <t>VCP21-P1</t>
  </si>
  <si>
    <t>VCP21-P2</t>
  </si>
  <si>
    <t>VCP21-P3</t>
  </si>
  <si>
    <t>VCP21-P4</t>
  </si>
  <si>
    <t>VCP22-P1</t>
  </si>
  <si>
    <t>VCP22-P2</t>
  </si>
  <si>
    <t>VCP22-P3</t>
  </si>
  <si>
    <t>VCP22-P4</t>
  </si>
  <si>
    <t>VCP23-P1</t>
  </si>
  <si>
    <t>VCP23-P2</t>
  </si>
  <si>
    <t>VCP23-P3</t>
  </si>
  <si>
    <t>VCP23-P4</t>
  </si>
  <si>
    <t>VCP24-P1</t>
  </si>
  <si>
    <t>VCP24-P2</t>
  </si>
  <si>
    <t>VCP24-P3</t>
  </si>
  <si>
    <t>VCP24-P4</t>
  </si>
  <si>
    <t>VCP25-P1</t>
  </si>
  <si>
    <t>VCP25-P2</t>
  </si>
  <si>
    <t>VCP25-P3</t>
  </si>
  <si>
    <t>VCP25-P4</t>
  </si>
  <si>
    <t>VCP26-P1</t>
  </si>
  <si>
    <t>VCP26-P2</t>
  </si>
  <si>
    <t>VCP26-P3</t>
  </si>
  <si>
    <t>VCP26-P4</t>
  </si>
  <si>
    <t>VCP27-P1</t>
  </si>
  <si>
    <t>VCP27-P2</t>
  </si>
  <si>
    <t>VCP27-P3</t>
  </si>
  <si>
    <t>VCP27-P4</t>
  </si>
  <si>
    <t>VCP28-P1</t>
  </si>
  <si>
    <t>VCP28-P2</t>
  </si>
  <si>
    <t>VCP28-P3</t>
  </si>
  <si>
    <t>VCP28-P4</t>
  </si>
  <si>
    <t>VCP29-P1</t>
  </si>
  <si>
    <t>VCP29-P2</t>
  </si>
  <si>
    <t>VCP29-P3</t>
  </si>
  <si>
    <t>VCP29-P4</t>
  </si>
  <si>
    <t>VCP29-P5</t>
  </si>
  <si>
    <t>VCP29-P6</t>
  </si>
  <si>
    <t>VCP30-P1</t>
  </si>
  <si>
    <t>VCP30-P2</t>
  </si>
  <si>
    <t>VCP30-P3</t>
  </si>
  <si>
    <t>VCP30-P4</t>
  </si>
  <si>
    <t>VCP30-P5</t>
  </si>
  <si>
    <t>VCP30-P6</t>
  </si>
  <si>
    <t>VCP31-P1</t>
  </si>
  <si>
    <t>VCP31-P2</t>
  </si>
  <si>
    <t>VCP31-P3</t>
  </si>
  <si>
    <t>VCP31-P4</t>
  </si>
  <si>
    <t>VCP32-P1</t>
  </si>
  <si>
    <t>VCP32-P2</t>
  </si>
  <si>
    <t>VCP32-P3</t>
  </si>
  <si>
    <t>VCP32-P4</t>
  </si>
  <si>
    <t>VCP33-P1</t>
  </si>
  <si>
    <t>VCP33-P2</t>
  </si>
  <si>
    <t>VCP33-P3</t>
  </si>
  <si>
    <t>VCP33-P4</t>
  </si>
  <si>
    <t>CDP1-P1</t>
  </si>
  <si>
    <t>CDP1-P2</t>
  </si>
  <si>
    <t>CDP1-P3</t>
  </si>
  <si>
    <t>CDP1-P4</t>
  </si>
  <si>
    <t>CDP2-P1</t>
  </si>
  <si>
    <t>CDP2-P2</t>
  </si>
  <si>
    <t>CDP2-P3</t>
  </si>
  <si>
    <t>CDP2-P4</t>
  </si>
  <si>
    <t>CDP3-P1</t>
  </si>
  <si>
    <t>CDP3-P2</t>
  </si>
  <si>
    <t>CDP3-P3</t>
  </si>
  <si>
    <t>CDP3-P4</t>
  </si>
  <si>
    <t>CDP4-P1</t>
  </si>
  <si>
    <t>CDP4-P2</t>
  </si>
  <si>
    <t>CDP4-P3</t>
  </si>
  <si>
    <t>CDP4-P4</t>
  </si>
  <si>
    <t>CDP5-P1</t>
  </si>
  <si>
    <t>CDP5-P2</t>
  </si>
  <si>
    <t>CDP5-P3</t>
  </si>
  <si>
    <t>CDP5-P4</t>
  </si>
  <si>
    <t>CDP6-P1</t>
  </si>
  <si>
    <t>CDP6-P2</t>
  </si>
  <si>
    <t>CDP6-P3</t>
  </si>
  <si>
    <t>CDP6-P4</t>
  </si>
  <si>
    <t>CDP7-P1</t>
  </si>
  <si>
    <t>CDP7-P2</t>
  </si>
  <si>
    <t>CDP7-P3</t>
  </si>
  <si>
    <t>CDP7-P4</t>
  </si>
  <si>
    <t>CDP8-P1</t>
  </si>
  <si>
    <t>CDP8-P2</t>
  </si>
  <si>
    <t>CDP8-P3</t>
  </si>
  <si>
    <t>CDP8-P4</t>
  </si>
  <si>
    <t>CDP20-P1</t>
  </si>
  <si>
    <t>CDP20-P2</t>
  </si>
  <si>
    <t>CDP20-P3</t>
  </si>
  <si>
    <t>CDP20-P4</t>
  </si>
  <si>
    <t>CDP21-P1</t>
  </si>
  <si>
    <t>CDP21-P2</t>
  </si>
  <si>
    <t>CDP21-P3</t>
  </si>
  <si>
    <t>CDP21-P4</t>
  </si>
  <si>
    <t>CDP22-P1</t>
  </si>
  <si>
    <t>CDP22-P2</t>
  </si>
  <si>
    <t>CDP22-P3</t>
  </si>
  <si>
    <t>CDP22-P4</t>
  </si>
  <si>
    <t>CDP23-P1</t>
  </si>
  <si>
    <t>CDP23-P2</t>
  </si>
  <si>
    <t>CDP23-P3</t>
  </si>
  <si>
    <t>CDP23-P4</t>
  </si>
  <si>
    <t>CDP24-P1</t>
  </si>
  <si>
    <t>CDP24-P2</t>
  </si>
  <si>
    <t>CDP24-P3</t>
  </si>
  <si>
    <t>CDP24-P4</t>
  </si>
  <si>
    <t>CDP25-P1</t>
  </si>
  <si>
    <t>CDP25-P2</t>
  </si>
  <si>
    <t>CDP25-P3</t>
  </si>
  <si>
    <t>CDP25-P4</t>
  </si>
  <si>
    <t>CDP26-P1</t>
  </si>
  <si>
    <t>CDP26-P2</t>
  </si>
  <si>
    <t>CDP26-P3</t>
  </si>
  <si>
    <t>CDP26-P4</t>
  </si>
  <si>
    <t>CDP27-P1</t>
  </si>
  <si>
    <t>CDP27-P2</t>
  </si>
  <si>
    <t>CDP27-P3</t>
  </si>
  <si>
    <t>CDP27-P4</t>
  </si>
  <si>
    <t>CDP28-P1</t>
  </si>
  <si>
    <t>CDP28-P2</t>
  </si>
  <si>
    <t>CDP28-P3</t>
  </si>
  <si>
    <t>CDP28-P4</t>
  </si>
  <si>
    <t>CDP28-P5</t>
  </si>
  <si>
    <t>CDP28-P6</t>
  </si>
  <si>
    <t>CDP29-P1</t>
  </si>
  <si>
    <t>CDP29-P2</t>
  </si>
  <si>
    <t>CDP29-P3</t>
  </si>
  <si>
    <t>CDP29-P4</t>
  </si>
  <si>
    <t>CDP29-P5</t>
  </si>
  <si>
    <t>CDP29-P6</t>
  </si>
  <si>
    <t>CDP30-P1</t>
  </si>
  <si>
    <t>CDP30-P2</t>
  </si>
  <si>
    <t>CDP30-P3</t>
  </si>
  <si>
    <t>CDP30-P4</t>
  </si>
  <si>
    <t>CDP31-P1</t>
  </si>
  <si>
    <t>CDP31-P2</t>
  </si>
  <si>
    <t>CDP31-P3</t>
  </si>
  <si>
    <t>CDP31-P4</t>
  </si>
  <si>
    <t>CDP32-P1</t>
  </si>
  <si>
    <t>CDP32-P2</t>
  </si>
  <si>
    <t>CDP32-P3</t>
  </si>
  <si>
    <t>CDP32-P4</t>
  </si>
  <si>
    <t>CDP33-P1</t>
  </si>
  <si>
    <t>CDP33-P2</t>
  </si>
  <si>
    <t>CDP33-P3</t>
  </si>
  <si>
    <t>CDP33-P4</t>
  </si>
  <si>
    <t>CDP34-P1</t>
  </si>
  <si>
    <t>CDP34-P2</t>
  </si>
  <si>
    <t>CDP34-P3</t>
  </si>
  <si>
    <t>CDP34-P4</t>
  </si>
  <si>
    <t>CDP34-P5</t>
  </si>
  <si>
    <t>CDP34-P6</t>
  </si>
  <si>
    <t>CDP35-P1</t>
  </si>
  <si>
    <t>CDP35-P2</t>
  </si>
  <si>
    <t>CDP35-P3</t>
  </si>
  <si>
    <t>CDP36-P1</t>
  </si>
  <si>
    <t>CDP36-P2</t>
  </si>
  <si>
    <t>CDP36-P3</t>
  </si>
  <si>
    <t>CDP37-P1</t>
  </si>
  <si>
    <t>CDP37-P2</t>
  </si>
  <si>
    <t>CDP37-P3</t>
  </si>
  <si>
    <t>CDP37-P4</t>
  </si>
  <si>
    <t>CDP37-P5</t>
  </si>
  <si>
    <t>CDP37-P6</t>
  </si>
  <si>
    <t>CDP38-P1</t>
  </si>
  <si>
    <t>CDP38-P2</t>
  </si>
  <si>
    <t>CDP38-P3</t>
  </si>
  <si>
    <t>CDP39-P1</t>
  </si>
  <si>
    <t>CDP39-P2</t>
  </si>
  <si>
    <t>CDP39-P3</t>
  </si>
  <si>
    <t>CDP40-P1</t>
  </si>
  <si>
    <t>CDP40-P2</t>
  </si>
  <si>
    <t>CDP40-P3</t>
  </si>
  <si>
    <t>CDP41-P1</t>
  </si>
  <si>
    <t>CDP41-P2</t>
  </si>
  <si>
    <t>CDP41-P3</t>
  </si>
  <si>
    <t>CDP41-P4</t>
  </si>
  <si>
    <t>CDP41-P5</t>
  </si>
  <si>
    <t>CDP41-P6</t>
  </si>
  <si>
    <t>CDP42-P1</t>
  </si>
  <si>
    <t>CDP42-P2</t>
  </si>
  <si>
    <t>CDP42-P3</t>
  </si>
  <si>
    <t>CDP43-P1</t>
  </si>
  <si>
    <t>CDP43-P2</t>
  </si>
  <si>
    <t>CDP43-P3</t>
  </si>
  <si>
    <t>CDP44-P1</t>
  </si>
  <si>
    <t>CDP44-P2</t>
  </si>
  <si>
    <t>CDP44-P3</t>
  </si>
  <si>
    <t>CDP45-P1</t>
  </si>
  <si>
    <t>CDP45-P2</t>
  </si>
  <si>
    <t>CDP45-P3</t>
  </si>
  <si>
    <t>CDP45-P4</t>
  </si>
  <si>
    <t>CDP45-P5</t>
  </si>
  <si>
    <t>CDP45-P6</t>
  </si>
  <si>
    <t>CDP47-P1</t>
  </si>
  <si>
    <t>CDP47-P2</t>
  </si>
  <si>
    <t>CDP47-P3</t>
  </si>
  <si>
    <t>CDP48-P1</t>
  </si>
  <si>
    <t>CDP48-P2</t>
  </si>
  <si>
    <t>CDP48-P3</t>
  </si>
  <si>
    <t>CDP49-P1</t>
  </si>
  <si>
    <t>CDP49-P2</t>
  </si>
  <si>
    <t>CDP49-P3</t>
  </si>
  <si>
    <t>CDP50-P1</t>
  </si>
  <si>
    <t>CDP50-P2</t>
  </si>
  <si>
    <t>CDP50-P3</t>
  </si>
  <si>
    <t>CDP50-P4</t>
  </si>
  <si>
    <t>CDP50-P5</t>
  </si>
  <si>
    <t>CDP50-P6</t>
  </si>
  <si>
    <t>CDP50-P7</t>
  </si>
  <si>
    <t>CDP50-P8</t>
  </si>
  <si>
    <t>CDP51-P1</t>
  </si>
  <si>
    <t>CDP51-P2</t>
  </si>
  <si>
    <t>CDP51-P3</t>
  </si>
  <si>
    <t>CDP51-P4</t>
  </si>
  <si>
    <t>CDP52-P1</t>
  </si>
  <si>
    <t>CDP52-P2</t>
  </si>
  <si>
    <t>CDP52-P3</t>
  </si>
  <si>
    <t>CDP52-P4</t>
  </si>
  <si>
    <t>CDP53-P1</t>
  </si>
  <si>
    <t>CDP53-P2</t>
  </si>
  <si>
    <t>CDP53-P3</t>
  </si>
  <si>
    <t>CDP53-P4</t>
  </si>
  <si>
    <t>DCP1-P1</t>
  </si>
  <si>
    <t>DCP1-P2</t>
  </si>
  <si>
    <t>DCP1-P3</t>
  </si>
  <si>
    <t>DCP1-P4</t>
  </si>
  <si>
    <t>DCP2-P2</t>
  </si>
  <si>
    <t>DCP2-P3</t>
  </si>
  <si>
    <t>DCP2-P4</t>
  </si>
  <si>
    <t>DCP2-P5</t>
  </si>
  <si>
    <t>DCP3-P1</t>
  </si>
  <si>
    <t>DCP3-P2</t>
  </si>
  <si>
    <t>DCP3-P3</t>
  </si>
  <si>
    <t>DCP3-P4</t>
  </si>
  <si>
    <t>DCP4-P1</t>
  </si>
  <si>
    <t>DCP4-P2</t>
  </si>
  <si>
    <t>DCP4-P3</t>
  </si>
  <si>
    <t>DCP4-P4</t>
  </si>
  <si>
    <t>DCP5-P1</t>
  </si>
  <si>
    <t>DCP5-P2</t>
  </si>
  <si>
    <t>DCP5-P3</t>
  </si>
  <si>
    <t>DCP5-P4</t>
  </si>
  <si>
    <t>DCP6-P1</t>
  </si>
  <si>
    <t>DCP6-P2</t>
  </si>
  <si>
    <t>DCP6-P3</t>
  </si>
  <si>
    <t>DCP6-P4</t>
  </si>
  <si>
    <t>DCP7-P1</t>
  </si>
  <si>
    <t>DCP7-P2</t>
  </si>
  <si>
    <t>DCP7-P3</t>
  </si>
  <si>
    <t>DCP7-P4</t>
  </si>
  <si>
    <t>DCP8-P1</t>
  </si>
  <si>
    <t>DCP8-P2</t>
  </si>
  <si>
    <t>DCP8-P3</t>
  </si>
  <si>
    <t>DCP8-P4</t>
  </si>
  <si>
    <t>DCP9-P1</t>
  </si>
  <si>
    <t>DCP9-P2</t>
  </si>
  <si>
    <t>DCP9-P3</t>
  </si>
  <si>
    <t>DCP9-P4</t>
  </si>
  <si>
    <t>DCP10-P1</t>
  </si>
  <si>
    <t>DCP10-P2</t>
  </si>
  <si>
    <t>DCP10-P3</t>
  </si>
  <si>
    <t>DCP10-P4</t>
  </si>
  <si>
    <t>CVP6-P1</t>
  </si>
  <si>
    <t>CVP6-P2</t>
  </si>
  <si>
    <t>CVP6-P3</t>
  </si>
  <si>
    <t>CVP6-P4</t>
  </si>
  <si>
    <t>CVP5-P1</t>
  </si>
  <si>
    <t>CVP5-P2</t>
  </si>
  <si>
    <t>CVP5-P3</t>
  </si>
  <si>
    <t>CVP5-P4</t>
  </si>
  <si>
    <t>CVP4-P1</t>
  </si>
  <si>
    <t>CVP4-P2</t>
  </si>
  <si>
    <t>CVP4-P3</t>
  </si>
  <si>
    <t>CVP4-P4</t>
  </si>
  <si>
    <t>CVP3-P1</t>
  </si>
  <si>
    <t>CVP3-P2</t>
  </si>
  <si>
    <t>CVP3-P3</t>
  </si>
  <si>
    <t>CVP3-P4</t>
  </si>
  <si>
    <t>CVP2-P1</t>
  </si>
  <si>
    <t>CVP2-P2</t>
  </si>
  <si>
    <t>CVP2-P3</t>
  </si>
  <si>
    <t>CVP2-P4</t>
  </si>
  <si>
    <t>CVP1-P1</t>
  </si>
  <si>
    <t>CVP1-P2</t>
  </si>
  <si>
    <t>CVP1-P3</t>
  </si>
  <si>
    <t>CVP1-P4</t>
  </si>
  <si>
    <t>VGP1-P1</t>
  </si>
  <si>
    <t>VGP1-P2</t>
  </si>
  <si>
    <t>VGP1-P3</t>
  </si>
  <si>
    <t>VGP1-P4</t>
  </si>
  <si>
    <t>VGP2-P1</t>
  </si>
  <si>
    <t>VGP2-P2</t>
  </si>
  <si>
    <t>VGP2-P3</t>
  </si>
  <si>
    <t>VGP2-P4</t>
  </si>
  <si>
    <t>VGP3-P1</t>
  </si>
  <si>
    <t>VGP3-P2</t>
  </si>
  <si>
    <t>VGP3-P3</t>
  </si>
  <si>
    <t>VGP3-P4</t>
  </si>
  <si>
    <t>VGP4-P1</t>
  </si>
  <si>
    <t>VGP4-P2</t>
  </si>
  <si>
    <t>VGP4-P3</t>
  </si>
  <si>
    <t>VGP4-P4</t>
  </si>
  <si>
    <t>VGP5-P1</t>
  </si>
  <si>
    <t>VGP5-P2</t>
  </si>
  <si>
    <t>VGP5-P3</t>
  </si>
  <si>
    <t>VGP5-P4</t>
  </si>
  <si>
    <t>VGP6-P1</t>
  </si>
  <si>
    <t>VGP6-P2</t>
  </si>
  <si>
    <t>VGP6-P3</t>
  </si>
  <si>
    <t>VGP6-P4</t>
  </si>
  <si>
    <t>VGP7-P1</t>
  </si>
  <si>
    <t>VGP7-P2</t>
  </si>
  <si>
    <t>VGP7-P3</t>
  </si>
  <si>
    <t>VGP7-P4</t>
  </si>
  <si>
    <t>VGP8-P1</t>
  </si>
  <si>
    <t>VGP8-P2</t>
  </si>
  <si>
    <t>VGP8-P3</t>
  </si>
  <si>
    <t>VGP8-P4</t>
  </si>
  <si>
    <t>VGP9-P1</t>
  </si>
  <si>
    <t>VGP9-P2</t>
  </si>
  <si>
    <t>VGP9-P3</t>
  </si>
  <si>
    <t>VGP9-P4</t>
  </si>
  <si>
    <t>VGP10-P1</t>
  </si>
  <si>
    <t>VGP10-P2</t>
  </si>
  <si>
    <t>VGP10-P3</t>
  </si>
  <si>
    <t>VGP10-P4</t>
  </si>
  <si>
    <t>VGP11-P1</t>
  </si>
  <si>
    <t>VGP11-P2</t>
  </si>
  <si>
    <t>VGP11-P3</t>
  </si>
  <si>
    <t>VGP11-P4</t>
  </si>
  <si>
    <t>VGP12-P1</t>
  </si>
  <si>
    <t>VGP12-P2</t>
  </si>
  <si>
    <t>VGP12-P3</t>
  </si>
  <si>
    <t>VGP12-P4</t>
  </si>
  <si>
    <t>VGP13-P1</t>
  </si>
  <si>
    <t>VGP13-P2</t>
  </si>
  <si>
    <t>VGP13-P3</t>
  </si>
  <si>
    <t>VGP13-P4</t>
  </si>
  <si>
    <t>VGP14-P1</t>
  </si>
  <si>
    <t>VGP14-P2</t>
  </si>
  <si>
    <t>VGP14-P3</t>
  </si>
  <si>
    <t>VGP14-P4</t>
  </si>
  <si>
    <t>VGP14-P5</t>
  </si>
  <si>
    <t>VGP14-P6</t>
  </si>
  <si>
    <t>VGP15-P1</t>
  </si>
  <si>
    <t>VGP15-P2</t>
  </si>
  <si>
    <t>VGP15-P3</t>
  </si>
  <si>
    <t>VGP16-P1</t>
  </si>
  <si>
    <t>VGP16-P2</t>
  </si>
  <si>
    <t>VGP16-P3</t>
  </si>
  <si>
    <t>VGP17-P1</t>
  </si>
  <si>
    <t>VGP17-P2</t>
  </si>
  <si>
    <t>VGP17-P3</t>
  </si>
  <si>
    <t>VGP17-P4</t>
  </si>
  <si>
    <t>VGP18-P1</t>
  </si>
  <si>
    <t>VGP18-P2</t>
  </si>
  <si>
    <t>VGP18-P3</t>
  </si>
  <si>
    <t>VGP18-P4</t>
  </si>
  <si>
    <t>VGP19-P1</t>
  </si>
  <si>
    <t>VGP19-P2</t>
  </si>
  <si>
    <t>VGP19-P3</t>
  </si>
  <si>
    <t>VGP19-P4</t>
  </si>
  <si>
    <t>VGP20-P1</t>
  </si>
  <si>
    <t>VGP20-P2</t>
  </si>
  <si>
    <t>VGP20-P3</t>
  </si>
  <si>
    <t>VGP21-P1</t>
  </si>
  <si>
    <t>VGP21-P2</t>
  </si>
  <si>
    <t>VGP21-P3</t>
  </si>
  <si>
    <t>VGP22-P1</t>
  </si>
  <si>
    <t>VGP22-P2</t>
  </si>
  <si>
    <t>VGP22-P3</t>
  </si>
  <si>
    <t>VGP23-P1</t>
  </si>
  <si>
    <t>VGP23-P2</t>
  </si>
  <si>
    <t>VGP23-P3</t>
  </si>
  <si>
    <t>VGP23-P4</t>
  </si>
  <si>
    <t>VGP23-P5</t>
  </si>
  <si>
    <t>VGP23-P6</t>
  </si>
  <si>
    <t>VGP24-P1</t>
  </si>
  <si>
    <t>VGP24-P2</t>
  </si>
  <si>
    <t>VGP24-P3</t>
  </si>
  <si>
    <t>VGP25-P1</t>
  </si>
  <si>
    <t>VGP25-P2</t>
  </si>
  <si>
    <t>VGP25-P3</t>
  </si>
  <si>
    <t>VGP26-P1</t>
  </si>
  <si>
    <t>VGP26-P2</t>
  </si>
  <si>
    <t>VGP26-P3</t>
  </si>
  <si>
    <t>VGP27-P1</t>
  </si>
  <si>
    <t>VGP27-P2</t>
  </si>
  <si>
    <t>VGP27-P3</t>
  </si>
  <si>
    <t>VGP27-P4</t>
  </si>
  <si>
    <t>VGP27-P5</t>
  </si>
  <si>
    <t>VGP27-P6</t>
  </si>
  <si>
    <t>VGP28-P1</t>
  </si>
  <si>
    <t>VGP28-P2</t>
  </si>
  <si>
    <t>VGP28-P3</t>
  </si>
  <si>
    <t>VGP29-P1</t>
  </si>
  <si>
    <t>VGP29-P2</t>
  </si>
  <si>
    <t>VGP29-P3</t>
  </si>
  <si>
    <t>VGP29-P4</t>
  </si>
  <si>
    <t>VGP29-P5</t>
  </si>
  <si>
    <t>VGP29-P6</t>
  </si>
  <si>
    <t>VGP29-P7</t>
  </si>
  <si>
    <t>VGP29-P8</t>
  </si>
  <si>
    <t>VGP30-P1</t>
  </si>
  <si>
    <t>VGP30-P2</t>
  </si>
  <si>
    <t>VGP30-P3</t>
  </si>
  <si>
    <t>VGP30-P4</t>
  </si>
  <si>
    <t>VGP31-P1</t>
  </si>
  <si>
    <t>VGP31-P2</t>
  </si>
  <si>
    <t>VGP31-P3</t>
  </si>
  <si>
    <t>VGP31-P4</t>
  </si>
  <si>
    <t>VGP32-P1</t>
  </si>
  <si>
    <t>VGP32-P2</t>
  </si>
  <si>
    <t>VGP32-P3</t>
  </si>
  <si>
    <t>VGP32-P4</t>
  </si>
  <si>
    <t>VGP33-P1</t>
  </si>
  <si>
    <t>VGP33-P2</t>
  </si>
  <si>
    <t>VGP33-P3</t>
  </si>
  <si>
    <t>VGP33-P4</t>
  </si>
  <si>
    <t>VGP34-P1</t>
  </si>
  <si>
    <t>VGP34-P2</t>
  </si>
  <si>
    <t>VGP34-P3</t>
  </si>
  <si>
    <t>VGP34-P4</t>
  </si>
  <si>
    <t>VGP35-P1</t>
  </si>
  <si>
    <t>VGP35-P2</t>
  </si>
  <si>
    <t>VGP35-P3</t>
  </si>
  <si>
    <t>VGP35-P4</t>
  </si>
  <si>
    <t>VGP36-P1</t>
  </si>
  <si>
    <t>VGP36-P2</t>
  </si>
  <si>
    <t>VGP36-P3</t>
  </si>
  <si>
    <t>VGP36-P4</t>
  </si>
  <si>
    <t>GDP1-P1</t>
  </si>
  <si>
    <t>GDP1-P2</t>
  </si>
  <si>
    <t>GDP1-P3</t>
  </si>
  <si>
    <t>GDP1-P4</t>
  </si>
  <si>
    <t>GDP2-P1</t>
  </si>
  <si>
    <t>GDP2-P2</t>
  </si>
  <si>
    <t>GDP2-P3</t>
  </si>
  <si>
    <t>GDP2-P4</t>
  </si>
  <si>
    <t>GDP3-P1</t>
  </si>
  <si>
    <t>GDP3-P2</t>
  </si>
  <si>
    <t>GDP3-P3</t>
  </si>
  <si>
    <t>GDP3-P4</t>
  </si>
  <si>
    <t>GDP4-P1</t>
  </si>
  <si>
    <t>GDP4-P2</t>
  </si>
  <si>
    <t>GDP4-P3</t>
  </si>
  <si>
    <t>GDP4-P4</t>
  </si>
  <si>
    <t>GDP5-P1</t>
  </si>
  <si>
    <t>GDP5-P2</t>
  </si>
  <si>
    <t>GDP5-P3</t>
  </si>
  <si>
    <t>GDP5-P4</t>
  </si>
  <si>
    <t>GDP6-P1</t>
  </si>
  <si>
    <t>GDP6-P2</t>
  </si>
  <si>
    <t>GDP6-P3</t>
  </si>
  <si>
    <t>GDP6-P4</t>
  </si>
  <si>
    <t>GDP7-P1</t>
  </si>
  <si>
    <t>GDP7-P2</t>
  </si>
  <si>
    <t>GDP7-P3</t>
  </si>
  <si>
    <t>GDP7-P4</t>
  </si>
  <si>
    <t>GDP8-P1</t>
  </si>
  <si>
    <t>GDP8-P2</t>
  </si>
  <si>
    <t>GDP8-P3</t>
  </si>
  <si>
    <t>GDP8-P4</t>
  </si>
  <si>
    <t>GDP9-P1</t>
  </si>
  <si>
    <t>GDP9-P2</t>
  </si>
  <si>
    <t>GDP9-P3</t>
  </si>
  <si>
    <t>GDP9-P4</t>
  </si>
  <si>
    <t>GDP10-P1</t>
  </si>
  <si>
    <t>GDP10-P2</t>
  </si>
  <si>
    <t>GDP10-P3</t>
  </si>
  <si>
    <t>GDP10-P4</t>
  </si>
  <si>
    <t>GDP11-P1</t>
  </si>
  <si>
    <t>GDP11-P2</t>
  </si>
  <si>
    <t>GDP11-P3</t>
  </si>
  <si>
    <t>GDP11-P4</t>
  </si>
  <si>
    <t>GDP12-P1</t>
  </si>
  <si>
    <t>GDP12-P2</t>
  </si>
  <si>
    <t>GDP12-P3</t>
  </si>
  <si>
    <t>GDP12-P4</t>
  </si>
  <si>
    <t>GDP13-P1</t>
  </si>
  <si>
    <t>GDP13-P2</t>
  </si>
  <si>
    <t>GDP13-P3</t>
  </si>
  <si>
    <t>GDP13-P4</t>
  </si>
  <si>
    <t>GDP14-P1</t>
  </si>
  <si>
    <t>GDP14-P2</t>
  </si>
  <si>
    <t>GDP14-P3</t>
  </si>
  <si>
    <t>GDP14-P4</t>
  </si>
  <si>
    <t>GDP14-P5</t>
  </si>
  <si>
    <t>GDP14-P6</t>
  </si>
  <si>
    <t>GDP15-P1</t>
  </si>
  <si>
    <t>GDP15-P2</t>
  </si>
  <si>
    <t>GDP15-P3</t>
  </si>
  <si>
    <t>GDP16-P1</t>
  </si>
  <si>
    <t>GDP16-P2</t>
  </si>
  <si>
    <t>GDP16-P3</t>
  </si>
  <si>
    <t>GDP17-P1</t>
  </si>
  <si>
    <t>GDP17-P2</t>
  </si>
  <si>
    <t>GDP17-P3</t>
  </si>
  <si>
    <t>GDP17-P4</t>
  </si>
  <si>
    <t>GDP18-P1</t>
  </si>
  <si>
    <t>GDP18-P2</t>
  </si>
  <si>
    <t>GDP18-P3</t>
  </si>
  <si>
    <t>GDP18-P4</t>
  </si>
  <si>
    <t>GDP19-P1</t>
  </si>
  <si>
    <t>GDP19-P2</t>
  </si>
  <si>
    <t>GDP19-P3</t>
  </si>
  <si>
    <t>GDP19-P4</t>
  </si>
  <si>
    <t>DGP1-P1</t>
  </si>
  <si>
    <t>DGP1-P2</t>
  </si>
  <si>
    <t>DGP1-P3</t>
  </si>
  <si>
    <t>DGP1-P4</t>
  </si>
  <si>
    <t>DGP2-P1</t>
  </si>
  <si>
    <t>DGP2-P2</t>
  </si>
  <si>
    <t>DGP2-P3</t>
  </si>
  <si>
    <t>DGP2-P4</t>
  </si>
  <si>
    <t>DGP3-P1</t>
  </si>
  <si>
    <t>DGP3-P2</t>
  </si>
  <si>
    <t>DGP3-P3</t>
  </si>
  <si>
    <t>DGP3-P4</t>
  </si>
  <si>
    <t>DGP4-P1</t>
  </si>
  <si>
    <t>DGP4-P2</t>
  </si>
  <si>
    <t>DGP4-P3</t>
  </si>
  <si>
    <t>DGP4-P4</t>
  </si>
  <si>
    <t>DGP5-P1</t>
  </si>
  <si>
    <t>DGP5-P2</t>
  </si>
  <si>
    <t>DGP5-P3</t>
  </si>
  <si>
    <t>DGP5-P4</t>
  </si>
  <si>
    <t>DGP6-P1</t>
  </si>
  <si>
    <t>DGP6-P2</t>
  </si>
  <si>
    <t>DGP6-P3</t>
  </si>
  <si>
    <t>DGP6-P4</t>
  </si>
  <si>
    <t>GVP8-P1</t>
  </si>
  <si>
    <t>GVP8-P2</t>
  </si>
  <si>
    <t>GVP8-P3</t>
  </si>
  <si>
    <t>GVP8-P4</t>
  </si>
  <si>
    <t>GVP7-P1</t>
  </si>
  <si>
    <t>GVP7-P2</t>
  </si>
  <si>
    <t>GVP7-P3</t>
  </si>
  <si>
    <t>GVP7-P4</t>
  </si>
  <si>
    <t>GVP6-P1</t>
  </si>
  <si>
    <t>GVP6-P2</t>
  </si>
  <si>
    <t>GVP6-P3</t>
  </si>
  <si>
    <t>GVP6-P4</t>
  </si>
  <si>
    <t>GVP5-P1</t>
  </si>
  <si>
    <t>GVP5-P2</t>
  </si>
  <si>
    <t>GVP5-P3</t>
  </si>
  <si>
    <t>GVP5-P4</t>
  </si>
  <si>
    <t>GVP4-P1</t>
  </si>
  <si>
    <t>GVP4-P2</t>
  </si>
  <si>
    <t>GVP4-P3</t>
  </si>
  <si>
    <t>GVP4-P4</t>
  </si>
  <si>
    <t>GVP3-P1</t>
  </si>
  <si>
    <t>GVP3-P2</t>
  </si>
  <si>
    <t>GVP3-P3</t>
  </si>
  <si>
    <t>GVP3-P4</t>
  </si>
  <si>
    <t>GVP2-P1</t>
  </si>
  <si>
    <t>GVP2-P2</t>
  </si>
  <si>
    <t>GVP2-P3</t>
  </si>
  <si>
    <t>GVP2-P4</t>
  </si>
  <si>
    <t>GVP1-P1</t>
  </si>
  <si>
    <t>GVP1-P2</t>
  </si>
  <si>
    <t>GVP1-P3</t>
  </si>
  <si>
    <t>GVP1-P4</t>
  </si>
  <si>
    <t>1L</t>
  </si>
  <si>
    <t>PL1B-1</t>
  </si>
  <si>
    <t>PL1B-2</t>
  </si>
  <si>
    <t>PL1B-3</t>
  </si>
  <si>
    <t>PL1A-1</t>
  </si>
  <si>
    <t>PL1A-2</t>
  </si>
  <si>
    <t>PL1A-3</t>
  </si>
  <si>
    <t>PL1-1</t>
  </si>
  <si>
    <t>PL1-2</t>
  </si>
  <si>
    <t>PL1-3</t>
  </si>
  <si>
    <t>PL1-4</t>
  </si>
  <si>
    <t>2L</t>
  </si>
  <si>
    <t>PL2-1</t>
  </si>
  <si>
    <t>PL2-2</t>
  </si>
  <si>
    <t>PL2-3</t>
  </si>
  <si>
    <t>PL2-4</t>
  </si>
  <si>
    <t>PL2-5</t>
  </si>
  <si>
    <t>PL2-6</t>
  </si>
  <si>
    <t>PL2-7</t>
  </si>
  <si>
    <t>PL2-8</t>
  </si>
  <si>
    <t>PL3-1</t>
  </si>
  <si>
    <t>PL3-2</t>
  </si>
  <si>
    <t>PL3-3</t>
  </si>
  <si>
    <t>PL3-4</t>
  </si>
  <si>
    <t>PL3-5</t>
  </si>
  <si>
    <t>PL3-6</t>
  </si>
  <si>
    <t>PL3-7</t>
  </si>
  <si>
    <t>PL3-8</t>
  </si>
  <si>
    <t>PL4-1</t>
  </si>
  <si>
    <t>PL4-2</t>
  </si>
  <si>
    <t>PL4-3</t>
  </si>
  <si>
    <t>PL4-4</t>
  </si>
  <si>
    <t>PL4-5</t>
  </si>
  <si>
    <t>PL4-6</t>
  </si>
  <si>
    <t>PL4-7</t>
  </si>
  <si>
    <t>PL4-8</t>
  </si>
  <si>
    <t>3L</t>
  </si>
  <si>
    <t>PL5-1</t>
  </si>
  <si>
    <t>PL5-2</t>
  </si>
  <si>
    <t>PL5-3</t>
  </si>
  <si>
    <t>PL5-4</t>
  </si>
  <si>
    <t>PL6-1</t>
  </si>
  <si>
    <t>PL6-2</t>
  </si>
  <si>
    <t>PL6-3</t>
  </si>
  <si>
    <t>PL6-4</t>
  </si>
  <si>
    <t>4L</t>
  </si>
  <si>
    <t>PL7-1</t>
  </si>
  <si>
    <t>PL7-2</t>
  </si>
  <si>
    <t>PL7-3</t>
  </si>
  <si>
    <t>PL7-4</t>
  </si>
  <si>
    <t>PL8-1</t>
  </si>
  <si>
    <t>PL8-2</t>
  </si>
  <si>
    <t>PL8-3</t>
  </si>
  <si>
    <t>PL8-4</t>
  </si>
  <si>
    <t>5L</t>
  </si>
  <si>
    <t>PL9-1</t>
  </si>
  <si>
    <t>PL9-2</t>
  </si>
  <si>
    <t>PL9-3</t>
  </si>
  <si>
    <t>PL9-4</t>
  </si>
  <si>
    <t>PL9-5</t>
  </si>
  <si>
    <t>PL9-6</t>
  </si>
  <si>
    <t>PL10-1</t>
  </si>
  <si>
    <t>PL10-2</t>
  </si>
  <si>
    <t>PL10-3</t>
  </si>
  <si>
    <t>PL10-4</t>
  </si>
  <si>
    <t>PL10-5</t>
  </si>
  <si>
    <t>PL10-6</t>
  </si>
  <si>
    <t>PL11-1</t>
  </si>
  <si>
    <t>PL11-2</t>
  </si>
  <si>
    <t>PL11-3</t>
  </si>
  <si>
    <t>PL11-4</t>
  </si>
  <si>
    <t>PL11-5</t>
  </si>
  <si>
    <t>PL11-6</t>
  </si>
  <si>
    <t>PL12-1</t>
  </si>
  <si>
    <t>PL12-2</t>
  </si>
  <si>
    <t>PL12-3</t>
  </si>
  <si>
    <t>PL12-4</t>
  </si>
  <si>
    <t>PL12-5</t>
  </si>
  <si>
    <t>PL12-6</t>
  </si>
  <si>
    <t>PL13-1</t>
  </si>
  <si>
    <t>PL13-2</t>
  </si>
  <si>
    <t>PL13-3</t>
  </si>
  <si>
    <t>PL13-4</t>
  </si>
  <si>
    <t>PL13-5</t>
  </si>
  <si>
    <t>PL13-6</t>
  </si>
  <si>
    <t>PL14-1</t>
  </si>
  <si>
    <t>PL14-2</t>
  </si>
  <si>
    <t>PL14-3</t>
  </si>
  <si>
    <t>PL14-4</t>
  </si>
  <si>
    <t>PL14-5</t>
  </si>
  <si>
    <t>PL14-6</t>
  </si>
  <si>
    <t>6L</t>
  </si>
  <si>
    <t>PL15-1</t>
  </si>
  <si>
    <t>PL15-2</t>
  </si>
  <si>
    <t>PL15-3</t>
  </si>
  <si>
    <t>PL15-4</t>
  </si>
  <si>
    <t>PL16-1</t>
  </si>
  <si>
    <t>PL16-2</t>
  </si>
  <si>
    <t>PL16-3</t>
  </si>
  <si>
    <t>PL16-4</t>
  </si>
  <si>
    <t>PL17-1</t>
  </si>
  <si>
    <t>PL17-2</t>
  </si>
  <si>
    <t>PL17-3</t>
  </si>
  <si>
    <t>PL17-4</t>
  </si>
  <si>
    <t>7L</t>
  </si>
  <si>
    <t>PL18-1</t>
  </si>
  <si>
    <t>PL18-2</t>
  </si>
  <si>
    <t>PL18-3</t>
  </si>
  <si>
    <t>PL18-4</t>
  </si>
  <si>
    <t>PL19-1</t>
  </si>
  <si>
    <t>PL19-2</t>
  </si>
  <si>
    <t>PL19-3</t>
  </si>
  <si>
    <t>PL19-4</t>
  </si>
  <si>
    <t>PL20-1</t>
  </si>
  <si>
    <t>PL20-2</t>
  </si>
  <si>
    <t>PL20-3</t>
  </si>
  <si>
    <t>PL20-4</t>
  </si>
  <si>
    <t>PL21-1</t>
  </si>
  <si>
    <t>PL21-2</t>
  </si>
  <si>
    <t>PL21-3</t>
  </si>
  <si>
    <t>PL21-4</t>
  </si>
  <si>
    <t>PL22-1</t>
  </si>
  <si>
    <t>PL22-2</t>
  </si>
  <si>
    <t>PL22-3</t>
  </si>
  <si>
    <t>PL22-4</t>
  </si>
  <si>
    <t>8L</t>
  </si>
  <si>
    <t>PL23-1</t>
  </si>
  <si>
    <t>PL23-2</t>
  </si>
  <si>
    <t>PL23-3</t>
  </si>
  <si>
    <t>PL23-4</t>
  </si>
  <si>
    <t>PL24-1</t>
  </si>
  <si>
    <t>PL24-2</t>
  </si>
  <si>
    <t>PL24-3</t>
  </si>
  <si>
    <t>PL24-4</t>
  </si>
  <si>
    <t>PL25-1</t>
  </si>
  <si>
    <t>PL25-2</t>
  </si>
  <si>
    <t>PL25-3</t>
  </si>
  <si>
    <t>PL25-4</t>
  </si>
  <si>
    <t>PL26-1</t>
  </si>
  <si>
    <t>PL26-2</t>
  </si>
  <si>
    <t>PL26-3</t>
  </si>
  <si>
    <t>PL26-4</t>
  </si>
  <si>
    <t>PL27-1</t>
  </si>
  <si>
    <t>PL27-2</t>
  </si>
  <si>
    <t>PL27-3</t>
  </si>
  <si>
    <t>PL27-4</t>
  </si>
  <si>
    <t>9L</t>
  </si>
  <si>
    <t>PL28-1</t>
  </si>
  <si>
    <t>PL28-2</t>
  </si>
  <si>
    <t>PL28-3</t>
  </si>
  <si>
    <t>PL28-4</t>
  </si>
  <si>
    <t>PL29-1</t>
  </si>
  <si>
    <t>PL29-2</t>
  </si>
  <si>
    <t>PL29-3</t>
  </si>
  <si>
    <t>PL29-4</t>
  </si>
  <si>
    <t>PL30-1</t>
  </si>
  <si>
    <t>PL30-2</t>
  </si>
  <si>
    <t>PL30-3</t>
  </si>
  <si>
    <t>PL30-4</t>
  </si>
  <si>
    <t>PL31-1</t>
  </si>
  <si>
    <t>PL31-2</t>
  </si>
  <si>
    <t>PL31-3</t>
  </si>
  <si>
    <t>PL31-4</t>
  </si>
  <si>
    <t>10L</t>
  </si>
  <si>
    <t>PL32-1</t>
  </si>
  <si>
    <t>PL32-2</t>
  </si>
  <si>
    <t>PL32-3</t>
  </si>
  <si>
    <t>PL32-4</t>
  </si>
  <si>
    <t>PL33-1</t>
  </si>
  <si>
    <t>PL33-2</t>
  </si>
  <si>
    <t>PL33-3</t>
  </si>
  <si>
    <t>PL33-4</t>
  </si>
  <si>
    <t>PL34-1</t>
  </si>
  <si>
    <t>PL34-2</t>
  </si>
  <si>
    <t>PL34-3</t>
  </si>
  <si>
    <t>PL34-4</t>
  </si>
  <si>
    <t>11L</t>
  </si>
  <si>
    <t>PL35-1</t>
  </si>
  <si>
    <t>PL35-2</t>
  </si>
  <si>
    <t>PL35-3</t>
  </si>
  <si>
    <t>PL35-4</t>
  </si>
  <si>
    <t>PL35-5</t>
  </si>
  <si>
    <t>PL35-6</t>
  </si>
  <si>
    <t>12L</t>
  </si>
  <si>
    <t>PL36-1</t>
  </si>
  <si>
    <t>PL36-2</t>
  </si>
  <si>
    <t>PL36-3</t>
  </si>
  <si>
    <t>PL36-4</t>
  </si>
  <si>
    <t>PL36-5</t>
  </si>
  <si>
    <t>PL36-6</t>
  </si>
  <si>
    <t>13L</t>
  </si>
  <si>
    <t>PL37-1</t>
  </si>
  <si>
    <t>PL37-2</t>
  </si>
  <si>
    <t>PL37-3</t>
  </si>
  <si>
    <t>PL37-4</t>
  </si>
  <si>
    <t>PL38-1</t>
  </si>
  <si>
    <t>PL38-2</t>
  </si>
  <si>
    <t>PL38-3</t>
  </si>
  <si>
    <t>PL38-4</t>
  </si>
  <si>
    <t>PL39-1</t>
  </si>
  <si>
    <t>PL39-2</t>
  </si>
  <si>
    <t>PL39-3</t>
  </si>
  <si>
    <t>PL39-4</t>
  </si>
  <si>
    <t>PL40-1</t>
  </si>
  <si>
    <t>PL40-2</t>
  </si>
  <si>
    <t>PL40-3</t>
  </si>
  <si>
    <t>PL40-4</t>
  </si>
  <si>
    <t>PL41-1</t>
  </si>
  <si>
    <t>PL41-2</t>
  </si>
  <si>
    <t>PL41-3</t>
  </si>
  <si>
    <t>PL41-4</t>
  </si>
  <si>
    <t>14L</t>
  </si>
  <si>
    <t>PL42-1</t>
  </si>
  <si>
    <t>PL42-2</t>
  </si>
  <si>
    <t>PL42-3</t>
  </si>
  <si>
    <t>PL42-4</t>
  </si>
  <si>
    <t>PL43-1</t>
  </si>
  <si>
    <t>PL43-2</t>
  </si>
  <si>
    <t>PL43-3</t>
  </si>
  <si>
    <t>PL43-4</t>
  </si>
  <si>
    <t>PL44-1</t>
  </si>
  <si>
    <t>PL44-2</t>
  </si>
  <si>
    <t>PL44-3</t>
  </si>
  <si>
    <t>PL44-4</t>
  </si>
  <si>
    <t>PL45-1</t>
  </si>
  <si>
    <t>PL45-2</t>
  </si>
  <si>
    <t>PL45-3</t>
  </si>
  <si>
    <t>PL45-4</t>
  </si>
  <si>
    <t>15L</t>
  </si>
  <si>
    <t>PL46-1</t>
  </si>
  <si>
    <t>PL46-2</t>
  </si>
  <si>
    <t>PL46-3</t>
  </si>
  <si>
    <t>PL46-4</t>
  </si>
  <si>
    <t>PL47-1</t>
  </si>
  <si>
    <t>PL47-2</t>
  </si>
  <si>
    <t>PL47-3</t>
  </si>
  <si>
    <t>PL47-4</t>
  </si>
  <si>
    <t>PL48-1</t>
  </si>
  <si>
    <t>PL48-2</t>
  </si>
  <si>
    <t>PL48-3</t>
  </si>
  <si>
    <t>PL48-4</t>
  </si>
  <si>
    <t>PL49-1</t>
  </si>
  <si>
    <t>PL49-2</t>
  </si>
  <si>
    <t>PL49-3</t>
  </si>
  <si>
    <t>PL49-4</t>
  </si>
  <si>
    <t>16L</t>
  </si>
  <si>
    <t>PL50-1</t>
  </si>
  <si>
    <t>PL50-2</t>
  </si>
  <si>
    <t>PL50-3</t>
  </si>
  <si>
    <t>PL50-4</t>
  </si>
  <si>
    <t>PL51-1</t>
  </si>
  <si>
    <t>PL51-2</t>
  </si>
  <si>
    <t>PL51-3</t>
  </si>
  <si>
    <t>PL51-4</t>
  </si>
  <si>
    <t>PL52-1</t>
  </si>
  <si>
    <t>PL52-2</t>
  </si>
  <si>
    <t>PL52-3</t>
  </si>
  <si>
    <t>PL52-4</t>
  </si>
  <si>
    <t>PL53-1</t>
  </si>
  <si>
    <t>PL53-2</t>
  </si>
  <si>
    <t>PL53-3</t>
  </si>
  <si>
    <t>PL53-4</t>
  </si>
  <si>
    <t>17L</t>
  </si>
  <si>
    <t>PL54-1</t>
  </si>
  <si>
    <t>PL54-2</t>
  </si>
  <si>
    <t>PL54-3</t>
  </si>
  <si>
    <t>PL54-4</t>
  </si>
  <si>
    <t>PL55-1</t>
  </si>
  <si>
    <t>PL55-2</t>
  </si>
  <si>
    <t>PL55-3</t>
  </si>
  <si>
    <t>PL55-4</t>
  </si>
  <si>
    <t>PL56-1</t>
  </si>
  <si>
    <t>PL56-2</t>
  </si>
  <si>
    <t>PL56-3</t>
  </si>
  <si>
    <t>PL56-4</t>
  </si>
  <si>
    <t>18L</t>
  </si>
  <si>
    <t>PL57-1</t>
  </si>
  <si>
    <t>PL57-2</t>
  </si>
  <si>
    <t>PL57-3</t>
  </si>
  <si>
    <t>PL57-4</t>
  </si>
  <si>
    <t>PL58-1</t>
  </si>
  <si>
    <t>PL58-2</t>
  </si>
  <si>
    <t>PL58-3</t>
  </si>
  <si>
    <t>PL58-4</t>
  </si>
  <si>
    <t>PL59-1</t>
  </si>
  <si>
    <t>PL59-2</t>
  </si>
  <si>
    <t>PL59-3</t>
  </si>
  <si>
    <t>PL59-4</t>
  </si>
  <si>
    <t>PL60-1</t>
  </si>
  <si>
    <t>PL60-2</t>
  </si>
  <si>
    <t>PL60-3</t>
  </si>
  <si>
    <t>PL60-4</t>
  </si>
  <si>
    <t>PL61-1</t>
  </si>
  <si>
    <t>PL61-2</t>
  </si>
  <si>
    <t>PL61-3</t>
  </si>
  <si>
    <t>PL61-4</t>
  </si>
  <si>
    <t>19L</t>
  </si>
  <si>
    <t>PL62-1</t>
  </si>
  <si>
    <t>PL62-2</t>
  </si>
  <si>
    <t>PL62-3</t>
  </si>
  <si>
    <t>PL62-4</t>
  </si>
  <si>
    <t>PL62-5</t>
  </si>
  <si>
    <t>PL62-6</t>
  </si>
  <si>
    <t>PL63-1</t>
  </si>
  <si>
    <t>PL63-2</t>
  </si>
  <si>
    <t>PL63-3</t>
  </si>
  <si>
    <t>PL63-4</t>
  </si>
  <si>
    <t>PL63-5</t>
  </si>
  <si>
    <t>PL63-6</t>
  </si>
  <si>
    <t>PL63-7</t>
  </si>
  <si>
    <t>PL63-8</t>
  </si>
  <si>
    <t>PL63-9</t>
  </si>
  <si>
    <t>PL63-10</t>
  </si>
  <si>
    <t>PL63-11</t>
  </si>
  <si>
    <t>PL63-12</t>
  </si>
  <si>
    <t>PL63-13</t>
  </si>
  <si>
    <t>PL63-14</t>
  </si>
  <si>
    <t>PL63-15</t>
  </si>
  <si>
    <t>PL63-16</t>
  </si>
  <si>
    <t>PL64-1</t>
  </si>
  <si>
    <t>PL64-2</t>
  </si>
  <si>
    <t>PL64-3</t>
  </si>
  <si>
    <t>PL64-4</t>
  </si>
  <si>
    <t>PL64-5</t>
  </si>
  <si>
    <t>PL64-6</t>
  </si>
  <si>
    <t>PL64-7</t>
  </si>
  <si>
    <t>PL64-8</t>
  </si>
  <si>
    <t>PL64-9</t>
  </si>
  <si>
    <t>PL64-10</t>
  </si>
  <si>
    <t>PL64-11</t>
  </si>
  <si>
    <t>PL64-12</t>
  </si>
  <si>
    <t>PL64-13</t>
  </si>
  <si>
    <t>PL64-14</t>
  </si>
  <si>
    <t>PL64-15</t>
  </si>
  <si>
    <t>PL64-16</t>
  </si>
  <si>
    <t>PL65-1</t>
  </si>
  <si>
    <t>PL65-2</t>
  </si>
  <si>
    <t>PL65-3</t>
  </si>
  <si>
    <t>PL65-4</t>
  </si>
  <si>
    <t>PL65-5</t>
  </si>
  <si>
    <t>PL65-6</t>
  </si>
  <si>
    <t>20L</t>
  </si>
  <si>
    <t>PL66-1</t>
  </si>
  <si>
    <t>PL66-2</t>
  </si>
  <si>
    <t>PL66-3</t>
  </si>
  <si>
    <t>PL66-4</t>
  </si>
  <si>
    <t>PL67-1</t>
  </si>
  <si>
    <t>PL67-2</t>
  </si>
  <si>
    <t>PL67-3</t>
  </si>
  <si>
    <t>PL67-4</t>
  </si>
  <si>
    <t>21L</t>
  </si>
  <si>
    <t>PL68-1</t>
  </si>
  <si>
    <t>PL68-2</t>
  </si>
  <si>
    <t>PL68-3</t>
  </si>
  <si>
    <t>PL68-4</t>
  </si>
  <si>
    <t>PL69-1</t>
  </si>
  <si>
    <t>PL69-2</t>
  </si>
  <si>
    <t>PL69-3</t>
  </si>
  <si>
    <t>PL69-4</t>
  </si>
  <si>
    <t>22L</t>
  </si>
  <si>
    <t>PL70-1</t>
  </si>
  <si>
    <t>PL70-2</t>
  </si>
  <si>
    <t>PL70-3</t>
  </si>
  <si>
    <t>PL70-4</t>
  </si>
  <si>
    <t>PL70-5</t>
  </si>
  <si>
    <t>PL70-6</t>
  </si>
  <si>
    <t>PL71-1</t>
  </si>
  <si>
    <t>PL71-2</t>
  </si>
  <si>
    <t>PL71-3</t>
  </si>
  <si>
    <t>PL71-4</t>
  </si>
  <si>
    <t>PL71-5</t>
  </si>
  <si>
    <t>PL71-6</t>
  </si>
  <si>
    <t>PL72-1</t>
  </si>
  <si>
    <t>PL72-2</t>
  </si>
  <si>
    <t>PL72-3</t>
  </si>
  <si>
    <t>PL72-4</t>
  </si>
  <si>
    <t>PL72-5</t>
  </si>
  <si>
    <t>PL72-6</t>
  </si>
  <si>
    <t>PL73-1</t>
  </si>
  <si>
    <t>PL73-2</t>
  </si>
  <si>
    <t>PL73-3</t>
  </si>
  <si>
    <t>PL73-4</t>
  </si>
  <si>
    <t>PL73-5</t>
  </si>
  <si>
    <t>PL73-6</t>
  </si>
  <si>
    <t>23L</t>
  </si>
  <si>
    <t>PL74-1</t>
  </si>
  <si>
    <t>PL74-2</t>
  </si>
  <si>
    <t>PL74-3</t>
  </si>
  <si>
    <t>PL74-4</t>
  </si>
  <si>
    <t>PL75-1</t>
  </si>
  <si>
    <t>PL75-2</t>
  </si>
  <si>
    <t>PL75-3</t>
  </si>
  <si>
    <t>PL75-4</t>
  </si>
  <si>
    <t>24L</t>
  </si>
  <si>
    <t>PL76-1</t>
  </si>
  <si>
    <t>PL76-2</t>
  </si>
  <si>
    <t>PL76-3</t>
  </si>
  <si>
    <t>PL76-4</t>
  </si>
  <si>
    <t>PL76-5</t>
  </si>
  <si>
    <t>PL76-6</t>
  </si>
  <si>
    <t>PL77-1</t>
  </si>
  <si>
    <t>PL77-2</t>
  </si>
  <si>
    <t>PL77-3</t>
  </si>
  <si>
    <t>PL77-4</t>
  </si>
  <si>
    <t>PL77-5</t>
  </si>
  <si>
    <t>PL77-6</t>
  </si>
  <si>
    <t>PL78-1</t>
  </si>
  <si>
    <t>PL78-2</t>
  </si>
  <si>
    <t>PL78-3</t>
  </si>
  <si>
    <t>PL78-4</t>
  </si>
  <si>
    <t>PL78-5</t>
  </si>
  <si>
    <t>PL78-6</t>
  </si>
  <si>
    <t>PL79-1</t>
  </si>
  <si>
    <t>PL79-2</t>
  </si>
  <si>
    <t>PL79-3</t>
  </si>
  <si>
    <t>PL79-4</t>
  </si>
  <si>
    <t>PL79-5</t>
  </si>
  <si>
    <t>PL79-6</t>
  </si>
  <si>
    <t>PL80-1</t>
  </si>
  <si>
    <t>PL80-2</t>
  </si>
  <si>
    <t>PL80-3</t>
  </si>
  <si>
    <t>PL80-4</t>
  </si>
  <si>
    <t>PL80-5</t>
  </si>
  <si>
    <t>PL80-6</t>
  </si>
  <si>
    <t>PL81-1</t>
  </si>
  <si>
    <t>PL81-2</t>
  </si>
  <si>
    <t>PL81-3</t>
  </si>
  <si>
    <t>PL81-4</t>
  </si>
  <si>
    <t>PL81-5</t>
  </si>
  <si>
    <t>PL81-6</t>
  </si>
  <si>
    <t>1R</t>
  </si>
  <si>
    <t>PR1B-1</t>
  </si>
  <si>
    <t>PR1B-2</t>
  </si>
  <si>
    <t>PR1B-3</t>
  </si>
  <si>
    <t>PR1A-1</t>
  </si>
  <si>
    <t>PR1A-2</t>
  </si>
  <si>
    <t>PR1A-3</t>
  </si>
  <si>
    <t>PR1-1</t>
  </si>
  <si>
    <t>PR1-2</t>
  </si>
  <si>
    <t>PR1-3</t>
  </si>
  <si>
    <t>PR1-4</t>
  </si>
  <si>
    <t>2R</t>
  </si>
  <si>
    <t>PR2-1</t>
  </si>
  <si>
    <t>PR2-2</t>
  </si>
  <si>
    <t>PR2-3</t>
  </si>
  <si>
    <t>PR2-4</t>
  </si>
  <si>
    <t>PR2-5</t>
  </si>
  <si>
    <t>PR2-6</t>
  </si>
  <si>
    <t>PR2-7</t>
  </si>
  <si>
    <t>PR2-8</t>
  </si>
  <si>
    <t>PR3-1</t>
  </si>
  <si>
    <t>PR3-2</t>
  </si>
  <si>
    <t>PR3-3</t>
  </si>
  <si>
    <t>PR3-4</t>
  </si>
  <si>
    <t>PR3-5</t>
  </si>
  <si>
    <t>PR3-6</t>
  </si>
  <si>
    <t>PR3-7</t>
  </si>
  <si>
    <t>PR3-8</t>
  </si>
  <si>
    <t>PR4-1</t>
  </si>
  <si>
    <t>PR4-2</t>
  </si>
  <si>
    <t>PR4-3</t>
  </si>
  <si>
    <t>PR4-4</t>
  </si>
  <si>
    <t>PR4-5</t>
  </si>
  <si>
    <t>PR4-6</t>
  </si>
  <si>
    <t>PR4-7</t>
  </si>
  <si>
    <t>PR4-8</t>
  </si>
  <si>
    <t>PR5-1</t>
  </si>
  <si>
    <t>PR5-2</t>
  </si>
  <si>
    <t>PR5-3</t>
  </si>
  <si>
    <t>PR5-4</t>
  </si>
  <si>
    <t>PR5-5</t>
  </si>
  <si>
    <t>PR5-6</t>
  </si>
  <si>
    <t>PR5-7</t>
  </si>
  <si>
    <t>PR5-8</t>
  </si>
  <si>
    <t>PR6-1</t>
  </si>
  <si>
    <t>PR6-2</t>
  </si>
  <si>
    <t>PR6-3</t>
  </si>
  <si>
    <t>PR6-4</t>
  </si>
  <si>
    <t>PR6-5</t>
  </si>
  <si>
    <t>PR6-6</t>
  </si>
  <si>
    <t>3R</t>
  </si>
  <si>
    <t>PR7-1</t>
  </si>
  <si>
    <t>PR7-2</t>
  </si>
  <si>
    <t>PR7-3</t>
  </si>
  <si>
    <t>PR7-4</t>
  </si>
  <si>
    <t>PR8-1</t>
  </si>
  <si>
    <t>PR8-2</t>
  </si>
  <si>
    <t>PR8-3</t>
  </si>
  <si>
    <t>PR8-4</t>
  </si>
  <si>
    <t>PR9-1</t>
  </si>
  <si>
    <t>PR9-2</t>
  </si>
  <si>
    <t>PR9-3</t>
  </si>
  <si>
    <t>PR9-4</t>
  </si>
  <si>
    <t>4R</t>
  </si>
  <si>
    <t>PR10-1</t>
  </si>
  <si>
    <t>PR10-2</t>
  </si>
  <si>
    <t>PR10-3</t>
  </si>
  <si>
    <t>PR10-4</t>
  </si>
  <si>
    <t>PR11-1</t>
  </si>
  <si>
    <t>PR11-2</t>
  </si>
  <si>
    <t>PR11-3</t>
  </si>
  <si>
    <t>PR11-4</t>
  </si>
  <si>
    <t>5R</t>
  </si>
  <si>
    <t>PR12-1</t>
  </si>
  <si>
    <t>PR12-2</t>
  </si>
  <si>
    <t>PR12-3</t>
  </si>
  <si>
    <t>PR12-4</t>
  </si>
  <si>
    <t>PR12-5</t>
  </si>
  <si>
    <t>PR12-6</t>
  </si>
  <si>
    <t>PR13-1</t>
  </si>
  <si>
    <t>PR13-2</t>
  </si>
  <si>
    <t>PR13-3</t>
  </si>
  <si>
    <t>PR13-4</t>
  </si>
  <si>
    <t>PR13-5</t>
  </si>
  <si>
    <t>PR13-6</t>
  </si>
  <si>
    <t>PR14-1</t>
  </si>
  <si>
    <t>PR14-2</t>
  </si>
  <si>
    <t>PR14-3</t>
  </si>
  <si>
    <t>PR14-4</t>
  </si>
  <si>
    <t>PR14-5</t>
  </si>
  <si>
    <t>PR14-6</t>
  </si>
  <si>
    <t>PR15-1</t>
  </si>
  <si>
    <t>PR15-2</t>
  </si>
  <si>
    <t>PR15-3</t>
  </si>
  <si>
    <t>PR15-4</t>
  </si>
  <si>
    <t>PR15-5</t>
  </si>
  <si>
    <t>PR15-6</t>
  </si>
  <si>
    <t>6R</t>
  </si>
  <si>
    <t>PR16-1</t>
  </si>
  <si>
    <t>PR16-2</t>
  </si>
  <si>
    <t>PR16-3</t>
  </si>
  <si>
    <t>PR16-4</t>
  </si>
  <si>
    <t>PR17-1</t>
  </si>
  <si>
    <t>PR17-2</t>
  </si>
  <si>
    <t>PR17-3</t>
  </si>
  <si>
    <t>PR17-4</t>
  </si>
  <si>
    <t>7R</t>
  </si>
  <si>
    <t>PR18-1</t>
  </si>
  <si>
    <t>PR18-2</t>
  </si>
  <si>
    <t>PR18-3</t>
  </si>
  <si>
    <t>PR18-4</t>
  </si>
  <si>
    <t>PR19-1</t>
  </si>
  <si>
    <t>PR19-2</t>
  </si>
  <si>
    <t>PR19-3</t>
  </si>
  <si>
    <t>PR19-4</t>
  </si>
  <si>
    <t>PR20-1</t>
  </si>
  <si>
    <t>PR20-2</t>
  </si>
  <si>
    <t>PR20-3</t>
  </si>
  <si>
    <t>PR20-4</t>
  </si>
  <si>
    <t>PR21-1</t>
  </si>
  <si>
    <t>PR21-2</t>
  </si>
  <si>
    <t>PR21-3</t>
  </si>
  <si>
    <t>PR21-4</t>
  </si>
  <si>
    <t>PR22-1</t>
  </si>
  <si>
    <t>PR22-2</t>
  </si>
  <si>
    <t>PR22-3</t>
  </si>
  <si>
    <t>PR22-4</t>
  </si>
  <si>
    <t>8R</t>
  </si>
  <si>
    <t>PR23-1</t>
  </si>
  <si>
    <t>PR23-2</t>
  </si>
  <si>
    <t>PR23-3</t>
  </si>
  <si>
    <t>PR23-4</t>
  </si>
  <si>
    <t>PR24-1</t>
  </si>
  <si>
    <t>PR24-2</t>
  </si>
  <si>
    <t>PR24-3</t>
  </si>
  <si>
    <t>PR24-4</t>
  </si>
  <si>
    <t>PR25-1</t>
  </si>
  <si>
    <t>PR25-2</t>
  </si>
  <si>
    <t>PR25-3</t>
  </si>
  <si>
    <t>PR25-4</t>
  </si>
  <si>
    <t>PR26-1</t>
  </si>
  <si>
    <t>PR26-2</t>
  </si>
  <si>
    <t>PR26-3</t>
  </si>
  <si>
    <t>PR26-4</t>
  </si>
  <si>
    <t>PR27-1</t>
  </si>
  <si>
    <t>PR27-2</t>
  </si>
  <si>
    <t>PR27-3</t>
  </si>
  <si>
    <t>PR27-4</t>
  </si>
  <si>
    <t>9R</t>
  </si>
  <si>
    <t>PR28-1</t>
  </si>
  <si>
    <t>PR28-2</t>
  </si>
  <si>
    <t>PR28-3</t>
  </si>
  <si>
    <t>PR28-4</t>
  </si>
  <si>
    <t>PR29-1</t>
  </si>
  <si>
    <t>PR29-2</t>
  </si>
  <si>
    <t>PR29-3</t>
  </si>
  <si>
    <t>PR29-4</t>
  </si>
  <si>
    <t>PR30-1</t>
  </si>
  <si>
    <t>PR30-2</t>
  </si>
  <si>
    <t>PR30-3</t>
  </si>
  <si>
    <t>PR30-4</t>
  </si>
  <si>
    <t>PR31-1</t>
  </si>
  <si>
    <t>PR31-2</t>
  </si>
  <si>
    <t>PR31-3</t>
  </si>
  <si>
    <t>PR31-4</t>
  </si>
  <si>
    <t>10R</t>
  </si>
  <si>
    <t>PR32-1</t>
  </si>
  <si>
    <t>PR32-2</t>
  </si>
  <si>
    <t>PR32-3</t>
  </si>
  <si>
    <t>PR32-4</t>
  </si>
  <si>
    <t>PR33-1</t>
  </si>
  <si>
    <t>PR33-2</t>
  </si>
  <si>
    <t>PR33-3</t>
  </si>
  <si>
    <t>PR33-4</t>
  </si>
  <si>
    <t>PR34-1</t>
  </si>
  <si>
    <t>PR34-2</t>
  </si>
  <si>
    <t>PR34-3</t>
  </si>
  <si>
    <t>PR34-4</t>
  </si>
  <si>
    <t>11R</t>
  </si>
  <si>
    <t>PR35-1</t>
  </si>
  <si>
    <t>PR35-2</t>
  </si>
  <si>
    <t>PR35-3</t>
  </si>
  <si>
    <t>PR35-4</t>
  </si>
  <si>
    <t>PR35-5</t>
  </si>
  <si>
    <t>PR35-6</t>
  </si>
  <si>
    <t>12R</t>
  </si>
  <si>
    <t>PR36-1</t>
  </si>
  <si>
    <t>PR36-2</t>
  </si>
  <si>
    <t>PR36-3</t>
  </si>
  <si>
    <t>PR36-4</t>
  </si>
  <si>
    <t>PR36-5</t>
  </si>
  <si>
    <t>PR36-6</t>
  </si>
  <si>
    <t>13R</t>
  </si>
  <si>
    <t>PR37-1</t>
  </si>
  <si>
    <t>PR37-2</t>
  </si>
  <si>
    <t>PR37-3</t>
  </si>
  <si>
    <t>PR37-4</t>
  </si>
  <si>
    <t>PR38-1</t>
  </si>
  <si>
    <t>PR38-2</t>
  </si>
  <si>
    <t>PR38-3</t>
  </si>
  <si>
    <t>PR38-4</t>
  </si>
  <si>
    <t>PR39-1</t>
  </si>
  <si>
    <t>PR39-2</t>
  </si>
  <si>
    <t>PR39-3</t>
  </si>
  <si>
    <t>PR39-4</t>
  </si>
  <si>
    <t>PR40-1</t>
  </si>
  <si>
    <t>PR40-2</t>
  </si>
  <si>
    <t>PR40-3</t>
  </si>
  <si>
    <t>PR40-4</t>
  </si>
  <si>
    <t>PR41-1</t>
  </si>
  <si>
    <t>PR41-2</t>
  </si>
  <si>
    <t>PR41-3</t>
  </si>
  <si>
    <t>PR41-4</t>
  </si>
  <si>
    <t>14R</t>
  </si>
  <si>
    <t>PR42-1</t>
  </si>
  <si>
    <t>PR42-2</t>
  </si>
  <si>
    <t>PR42-3</t>
  </si>
  <si>
    <t>PR42-4</t>
  </si>
  <si>
    <t>PR43-1</t>
  </si>
  <si>
    <t>PR43-2</t>
  </si>
  <si>
    <t>PR43-3</t>
  </si>
  <si>
    <t>PR43-4</t>
  </si>
  <si>
    <t>PR44-1</t>
  </si>
  <si>
    <t>PR44-2</t>
  </si>
  <si>
    <t>PR44-3</t>
  </si>
  <si>
    <t>PR44-4</t>
  </si>
  <si>
    <t>PR45-1</t>
  </si>
  <si>
    <t>PR45-2</t>
  </si>
  <si>
    <t>PR45-3</t>
  </si>
  <si>
    <t>PR45-4</t>
  </si>
  <si>
    <t>15R</t>
  </si>
  <si>
    <t>PR46-1</t>
  </si>
  <si>
    <t>PR46-2</t>
  </si>
  <si>
    <t>PR46-3</t>
  </si>
  <si>
    <t>PR46-4</t>
  </si>
  <si>
    <t>PR47-1</t>
  </si>
  <si>
    <t>PR47-2</t>
  </si>
  <si>
    <t>PR47-3</t>
  </si>
  <si>
    <t>PR47-4</t>
  </si>
  <si>
    <t>PR48-1</t>
  </si>
  <si>
    <t>PR48-2</t>
  </si>
  <si>
    <t>PR48-3</t>
  </si>
  <si>
    <t>PR48-4</t>
  </si>
  <si>
    <t>PR49-1</t>
  </si>
  <si>
    <t>PR49-2</t>
  </si>
  <si>
    <t>PR49-3</t>
  </si>
  <si>
    <t>PR49-4</t>
  </si>
  <si>
    <t>16R</t>
  </si>
  <si>
    <t>PR50-1</t>
  </si>
  <si>
    <t>PR50-2</t>
  </si>
  <si>
    <t>PR50-3</t>
  </si>
  <si>
    <t>PR50-4</t>
  </si>
  <si>
    <t>PR51-1</t>
  </si>
  <si>
    <t>PR51-2</t>
  </si>
  <si>
    <t>PR51-3</t>
  </si>
  <si>
    <t>PR51-4</t>
  </si>
  <si>
    <t>PR52-1</t>
  </si>
  <si>
    <t>PR52-2</t>
  </si>
  <si>
    <t>PR52-3</t>
  </si>
  <si>
    <t>PR52-4</t>
  </si>
  <si>
    <t>PR53-1</t>
  </si>
  <si>
    <t>PR53-2</t>
  </si>
  <si>
    <t>PR53-3</t>
  </si>
  <si>
    <t>PR53-4</t>
  </si>
  <si>
    <t>17R</t>
  </si>
  <si>
    <t>PR54-1</t>
  </si>
  <si>
    <t>PR54-2</t>
  </si>
  <si>
    <t>PR54-3</t>
  </si>
  <si>
    <t>PR54-4</t>
  </si>
  <si>
    <t>PR55-1</t>
  </si>
  <si>
    <t>PR55-2</t>
  </si>
  <si>
    <t>PR55-3</t>
  </si>
  <si>
    <t>PR55-4</t>
  </si>
  <si>
    <t>PR56-1</t>
  </si>
  <si>
    <t>PR56-2</t>
  </si>
  <si>
    <t>PR56-3</t>
  </si>
  <si>
    <t>PR56-4</t>
  </si>
  <si>
    <t>18R</t>
  </si>
  <si>
    <t>PR57-1</t>
  </si>
  <si>
    <t>PR57-2</t>
  </si>
  <si>
    <t>PR57-3</t>
  </si>
  <si>
    <t>PR57-4</t>
  </si>
  <si>
    <t>PR58-1</t>
  </si>
  <si>
    <t>PR58-2</t>
  </si>
  <si>
    <t>PR58-3</t>
  </si>
  <si>
    <t>PR58-4</t>
  </si>
  <si>
    <t>PR59-1</t>
  </si>
  <si>
    <t>PR59-2</t>
  </si>
  <si>
    <t>PR59-3</t>
  </si>
  <si>
    <t>PR59-4</t>
  </si>
  <si>
    <t>PR60-1</t>
  </si>
  <si>
    <t>PR60-2</t>
  </si>
  <si>
    <t>PR60-3</t>
  </si>
  <si>
    <t>PR60-4</t>
  </si>
  <si>
    <t>PR61-1</t>
  </si>
  <si>
    <t>PR61-2</t>
  </si>
  <si>
    <t>PR61-3</t>
  </si>
  <si>
    <t>PR61-4</t>
  </si>
  <si>
    <t>19R</t>
  </si>
  <si>
    <t>PR62-1</t>
  </si>
  <si>
    <t>PR62-2</t>
  </si>
  <si>
    <t>PR62-3</t>
  </si>
  <si>
    <t>PR62-4</t>
  </si>
  <si>
    <t>PR62-5</t>
  </si>
  <si>
    <t>PR62-6</t>
  </si>
  <si>
    <t>PR63-1</t>
  </si>
  <si>
    <t>PR63-2</t>
  </si>
  <si>
    <t>PR63-3</t>
  </si>
  <si>
    <t>PR63-4</t>
  </si>
  <si>
    <t>PR63-5</t>
  </si>
  <si>
    <t>PR63-6</t>
  </si>
  <si>
    <t>PR63-7</t>
  </si>
  <si>
    <t>PR63-8</t>
  </si>
  <si>
    <t>PR63-9</t>
  </si>
  <si>
    <t>PR63-10</t>
  </si>
  <si>
    <t>PR63-11</t>
  </si>
  <si>
    <t>PR63-12</t>
  </si>
  <si>
    <t>PR63-13</t>
  </si>
  <si>
    <t>PR63-14</t>
  </si>
  <si>
    <t>PR63-15</t>
  </si>
  <si>
    <t>PR63-16</t>
  </si>
  <si>
    <t>PR64-1</t>
  </si>
  <si>
    <t>PR64-2</t>
  </si>
  <si>
    <t>PR64-3</t>
  </si>
  <si>
    <t>PR64-4</t>
  </si>
  <si>
    <t>PR64-5</t>
  </si>
  <si>
    <t>PR64-6</t>
  </si>
  <si>
    <t>PR64-7</t>
  </si>
  <si>
    <t>PR64-8</t>
  </si>
  <si>
    <t>PR64-9</t>
  </si>
  <si>
    <t>PR64-10</t>
  </si>
  <si>
    <t>PR64-11</t>
  </si>
  <si>
    <t>PR64-12</t>
  </si>
  <si>
    <t>PR64-13</t>
  </si>
  <si>
    <t>PR64-14</t>
  </si>
  <si>
    <t>PR64-15</t>
  </si>
  <si>
    <t>PR64-16</t>
  </si>
  <si>
    <t>PR65-1</t>
  </si>
  <si>
    <t>PR65-2</t>
  </si>
  <si>
    <t>PR65-3</t>
  </si>
  <si>
    <t>PR65-4</t>
  </si>
  <si>
    <t>PR65-5</t>
  </si>
  <si>
    <t>PR65-6</t>
  </si>
  <si>
    <t>20R</t>
  </si>
  <si>
    <t>PR66-1</t>
  </si>
  <si>
    <t>PR66-2</t>
  </si>
  <si>
    <t>PR66-3</t>
  </si>
  <si>
    <t>PR66-4</t>
  </si>
  <si>
    <t>PR67-1</t>
  </si>
  <si>
    <t>PR67-2</t>
  </si>
  <si>
    <t>PR67-3</t>
  </si>
  <si>
    <t>PR67-4</t>
  </si>
  <si>
    <t>22R</t>
  </si>
  <si>
    <t>PR68-1</t>
  </si>
  <si>
    <t>PR68-2</t>
  </si>
  <si>
    <t>PR68-3</t>
  </si>
  <si>
    <t>PR68-4</t>
  </si>
  <si>
    <t>PR68-5</t>
  </si>
  <si>
    <t>PR68-6</t>
  </si>
  <si>
    <t>PR69-1</t>
  </si>
  <si>
    <t>PR69-2</t>
  </si>
  <si>
    <t>PR69-3</t>
  </si>
  <si>
    <t>PR69-4</t>
  </si>
  <si>
    <t>PR69-5</t>
  </si>
  <si>
    <t>PR69-6</t>
  </si>
  <si>
    <t>PR70-1</t>
  </si>
  <si>
    <t>PR70-2</t>
  </si>
  <si>
    <t>PR70-3</t>
  </si>
  <si>
    <t>PR70-4</t>
  </si>
  <si>
    <t>PR70-5</t>
  </si>
  <si>
    <t>PR70-6</t>
  </si>
  <si>
    <t>PR71-1</t>
  </si>
  <si>
    <t>PR71-2</t>
  </si>
  <si>
    <t>PR71-3</t>
  </si>
  <si>
    <t>PR71-4</t>
  </si>
  <si>
    <t>PR71-5</t>
  </si>
  <si>
    <t>PR71-6</t>
  </si>
  <si>
    <t>PR72-1</t>
  </si>
  <si>
    <t>PR72-2</t>
  </si>
  <si>
    <t>PR72-3</t>
  </si>
  <si>
    <t>PR72-4</t>
  </si>
  <si>
    <t>PR72-5</t>
  </si>
  <si>
    <t>PR72-6</t>
  </si>
  <si>
    <t>PR73-1</t>
  </si>
  <si>
    <t>PR73-2</t>
  </si>
  <si>
    <t>PR73-3</t>
  </si>
  <si>
    <t>PR73-4</t>
  </si>
  <si>
    <t>PR73-5</t>
  </si>
  <si>
    <t>PR73-6</t>
  </si>
  <si>
    <t>23R</t>
  </si>
  <si>
    <t>PR74-1</t>
  </si>
  <si>
    <t>PR74-2</t>
  </si>
  <si>
    <t>PR74-3</t>
  </si>
  <si>
    <t>PR74-4</t>
  </si>
  <si>
    <t>PR75-1</t>
  </si>
  <si>
    <t>PR75-2</t>
  </si>
  <si>
    <t>PR75-3</t>
  </si>
  <si>
    <t>PR75-4</t>
  </si>
  <si>
    <t>PR76-1</t>
  </si>
  <si>
    <t>PR76-2</t>
  </si>
  <si>
    <t>PR76-3</t>
  </si>
  <si>
    <t>PR76-4</t>
  </si>
  <si>
    <t>24R</t>
  </si>
  <si>
    <t>PR77-1</t>
  </si>
  <si>
    <t>PR77-2</t>
  </si>
  <si>
    <t>PR77-3</t>
  </si>
  <si>
    <t>PR77-4</t>
  </si>
  <si>
    <t>25R</t>
  </si>
  <si>
    <t>PR78-1</t>
  </si>
  <si>
    <t>PR78-2</t>
  </si>
  <si>
    <t>PR78-3</t>
  </si>
  <si>
    <t>PR78-4</t>
  </si>
  <si>
    <t>PR78-5</t>
  </si>
  <si>
    <t>PR78-6</t>
  </si>
  <si>
    <t>PR79-1</t>
  </si>
  <si>
    <t>PR79-2</t>
  </si>
  <si>
    <t>PR79-3</t>
  </si>
  <si>
    <t>PR79-4</t>
  </si>
  <si>
    <t>PR79-5</t>
  </si>
  <si>
    <t>PR79-6</t>
  </si>
  <si>
    <t>PR80-1</t>
  </si>
  <si>
    <t>PR80-2</t>
  </si>
  <si>
    <t>PR80-3</t>
  </si>
  <si>
    <t>PR80-4</t>
  </si>
  <si>
    <t>PR80-5</t>
  </si>
  <si>
    <t>PR80-6</t>
  </si>
  <si>
    <t>PR81-1</t>
  </si>
  <si>
    <t>PR81-2</t>
  </si>
  <si>
    <t>PR81-3</t>
  </si>
  <si>
    <t>PR81-4</t>
  </si>
  <si>
    <t>PR81-5</t>
  </si>
  <si>
    <t>PR81-6</t>
  </si>
  <si>
    <t>PROJECT MANAGEMENT</t>
  </si>
  <si>
    <t>Mail ID</t>
  </si>
  <si>
    <t>K V Sathyanarayana Murthy</t>
  </si>
  <si>
    <t>sathyanarayana.murthy@lntecc.com</t>
  </si>
  <si>
    <t>R Surya Rao</t>
  </si>
  <si>
    <t>rsr@lntecc.com</t>
  </si>
  <si>
    <t>PLANNING &amp; CONTRACTS DEPARTMENT</t>
  </si>
  <si>
    <t>Somen Chakraborty</t>
  </si>
  <si>
    <t>somenc@lntecc.com</t>
  </si>
  <si>
    <t>Manicavasagam S</t>
  </si>
  <si>
    <t>smvm@lntecc.com</t>
  </si>
  <si>
    <t>Ayush Pratap</t>
  </si>
  <si>
    <t>AYUSHPRATAP@lntecc.com</t>
  </si>
  <si>
    <t>Deepak Gill</t>
  </si>
  <si>
    <t>DSGILL@LNTECC.COM</t>
  </si>
  <si>
    <t>Abhijit Saha</t>
  </si>
  <si>
    <t>ABHIJITSAHA@lntecc.com</t>
  </si>
  <si>
    <t>Govind Ram Jat</t>
  </si>
  <si>
    <t>GOVIND-RAM@lntecc.com</t>
  </si>
  <si>
    <t xml:space="preserve">Santosh Mahajan </t>
  </si>
  <si>
    <t>santoshmahajan@lntecc.com</t>
  </si>
  <si>
    <t>Jishu Chatterjee</t>
  </si>
  <si>
    <t>JISHUCHATTERJEE@lntecc.com</t>
  </si>
  <si>
    <t>STRUCTURE WORK</t>
  </si>
  <si>
    <t>GORAI INTERCHANGE / MAIN ALIGNMENT SECTION 3 / CABLE STAY BRIDGE</t>
  </si>
  <si>
    <t>Swapnil Hanchate</t>
  </si>
  <si>
    <t>sshanchate@lntecc.com</t>
  </si>
  <si>
    <t>Adarsh Kumar Singh</t>
  </si>
  <si>
    <t>ADARSH-SINGH@lntecc.com</t>
  </si>
  <si>
    <t>Shashibhushan Mahato</t>
  </si>
  <si>
    <t>shashibhushan.mahato@lntecc.com</t>
  </si>
  <si>
    <t>Raushan Kumar Jha</t>
  </si>
  <si>
    <t>raushan.jha@lntecc.com</t>
  </si>
  <si>
    <t>Ajith Kumar M</t>
  </si>
  <si>
    <t>ajithkm@lntecc.com</t>
  </si>
  <si>
    <t>Shivam Kumar Gupta</t>
  </si>
  <si>
    <t>SHIVAMKUMARGUPTA@lntecc.com</t>
  </si>
  <si>
    <t>MAIN ALIGNMENT SECTION 2 - MARINE WORKS</t>
  </si>
  <si>
    <t>Pravin Savant</t>
  </si>
  <si>
    <t>pravin.savant1@lntecc.com</t>
  </si>
  <si>
    <t>Sonu Jangid</t>
  </si>
  <si>
    <t>sonujangid@lntecc.com</t>
  </si>
  <si>
    <t>CHARKOP INTERCHANGE / MAIN ALIGNMENT SECTION 1 / VIEWING TOWER</t>
  </si>
  <si>
    <t>Sunil Kumar Kushwaha</t>
  </si>
  <si>
    <t>skk@lntecc.com</t>
  </si>
  <si>
    <t>Vishnu Kumar</t>
  </si>
  <si>
    <t>VISHNUK@LNTECC.COM</t>
  </si>
  <si>
    <t>Avijit Sarkar</t>
  </si>
  <si>
    <t>avii@lntecc.com</t>
  </si>
  <si>
    <t>Ranjith Kumar P</t>
  </si>
  <si>
    <t>RANJITH-P@lntecc.com</t>
  </si>
  <si>
    <t>Vishal Ganesh Bharsakale</t>
  </si>
  <si>
    <t>vishal.bharsakale@lntecc.com</t>
  </si>
  <si>
    <t>Shabir Raju Momin</t>
  </si>
  <si>
    <t>shabir@lntecc.com</t>
  </si>
  <si>
    <t>Saurabh Pandey</t>
  </si>
  <si>
    <t>saurabh.pandey6@lntecc.com</t>
  </si>
  <si>
    <t>Sudip Mondal</t>
  </si>
  <si>
    <t>MONDAL-SUDIP@lntecc.com</t>
  </si>
  <si>
    <t>PRECAST YARD</t>
  </si>
  <si>
    <t>Vinayak Ghorpade</t>
  </si>
  <si>
    <t>vinayak.ghorpade@lntecc.com</t>
  </si>
  <si>
    <t xml:space="preserve">B M Adarsh </t>
  </si>
  <si>
    <t>BMADARSH@lntecc.com</t>
  </si>
  <si>
    <t>PRECAST - BAY 1 - MAIN ALIGNMENT SEGMENTS</t>
  </si>
  <si>
    <t>Rajendra Nath Mahato</t>
  </si>
  <si>
    <t>rndm@lntecc.com</t>
  </si>
  <si>
    <t>Soumava Das</t>
  </si>
  <si>
    <t>SOUMAVADAS@lntecc.com</t>
  </si>
  <si>
    <t>Aaradhya Tiwari</t>
  </si>
  <si>
    <t>aaradhya.tiwari@lntecc.com</t>
  </si>
  <si>
    <t>PRECAST - BAY 2 - EJ / CSB SEGMENTS</t>
  </si>
  <si>
    <t>Dibyendu Chowdhury</t>
  </si>
  <si>
    <t>dibyendu.chowdhury@lntecc.com</t>
  </si>
  <si>
    <t>Ashim Talukder</t>
  </si>
  <si>
    <t>ashimtalukder@lntecc.com</t>
  </si>
  <si>
    <t>PRECAST - BAY 3 - INTERCHANGE SEGMENTS</t>
  </si>
  <si>
    <t>PRECAST - BAY 4 - I GIRDERS / PIER CAPS</t>
  </si>
  <si>
    <t>Ashish Omkar</t>
  </si>
  <si>
    <t>Bapai Mandal</t>
  </si>
  <si>
    <t>Md Mehraj Azam</t>
  </si>
  <si>
    <t>MEHRAJ@lntecc.com</t>
  </si>
  <si>
    <t>Ankit Kumar Singh</t>
  </si>
  <si>
    <t>ankit.singh23@lntecc.com</t>
  </si>
  <si>
    <t>PRODUCTION &amp; LOGISTICS</t>
  </si>
  <si>
    <t>Yogesh Sharan</t>
  </si>
  <si>
    <t>yrsharan@lntecc.com</t>
  </si>
  <si>
    <t>Amal Sakthidharan</t>
  </si>
  <si>
    <t>S-AMAL@LNTECC.COM</t>
  </si>
  <si>
    <t>Span Length</t>
  </si>
  <si>
    <t>Pier Type</t>
  </si>
  <si>
    <t>Segment
(Nos)</t>
  </si>
  <si>
    <t>Concrete
(cum)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</si>
  <si>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</si>
  <si>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</si>
  <si>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</si>
  <si>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</si>
  <si>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</si>
  <si>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</si>
  <si>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</si>
  <si>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</si>
  <si>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</si>
  <si>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</si>
  <si>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</si>
  <si>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</si>
  <si>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</si>
  <si>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</si>
  <si>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</si>
  <si>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</si>
  <si>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</si>
  <si>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</si>
  <si>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</si>
  <si>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</si>
  <si>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</si>
  <si>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</si>
  <si>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</si>
  <si>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</si>
  <si>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</si>
  <si>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</si>
  <si>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</si>
  <si>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</si>
  <si>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</si>
  <si>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</si>
  <si>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</si>
  <si>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</si>
  <si>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</si>
  <si>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</si>
  <si>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</si>
  <si>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</si>
  <si>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</si>
  <si>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</si>
  <si>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</si>
  <si>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</si>
  <si>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</si>
  <si>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</si>
  <si>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S42a</t>
  </si>
  <si>
    <t>S41a</t>
  </si>
  <si>
    <t>S40a</t>
  </si>
  <si>
    <t>S39a</t>
  </si>
  <si>
    <t>S38a</t>
  </si>
  <si>
    <t>S37a</t>
  </si>
  <si>
    <t>S36a</t>
  </si>
  <si>
    <t>S35a</t>
  </si>
  <si>
    <t>S34a</t>
  </si>
  <si>
    <t>S33a</t>
  </si>
  <si>
    <t>S32a</t>
  </si>
  <si>
    <t>S31a</t>
  </si>
  <si>
    <t>S30a</t>
  </si>
  <si>
    <t>S29a</t>
  </si>
  <si>
    <t>S28a</t>
  </si>
  <si>
    <t>S27a</t>
  </si>
  <si>
    <t>S26a</t>
  </si>
  <si>
    <t>S25a</t>
  </si>
  <si>
    <t>S24a</t>
  </si>
  <si>
    <t>S23a</t>
  </si>
  <si>
    <t>S22a</t>
  </si>
  <si>
    <t>S21a</t>
  </si>
  <si>
    <t>S20a</t>
  </si>
  <si>
    <t>S19a</t>
  </si>
  <si>
    <t>S18a</t>
  </si>
  <si>
    <t>S17a</t>
  </si>
  <si>
    <t>S16a</t>
  </si>
  <si>
    <t>S15a</t>
  </si>
  <si>
    <t>S14a</t>
  </si>
  <si>
    <t>S13a</t>
  </si>
  <si>
    <t>S12a</t>
  </si>
  <si>
    <t>S11a</t>
  </si>
  <si>
    <t>S10a</t>
  </si>
  <si>
    <t>S9a</t>
  </si>
  <si>
    <t>S8b</t>
  </si>
  <si>
    <t>S8a</t>
  </si>
  <si>
    <t>S7a</t>
  </si>
  <si>
    <t>S6a</t>
  </si>
  <si>
    <t>S5a</t>
  </si>
  <si>
    <t>S4a</t>
  </si>
  <si>
    <t>S3a</t>
  </si>
  <si>
    <t>S2a</t>
  </si>
  <si>
    <t>S1a</t>
  </si>
  <si>
    <t>EJ</t>
  </si>
  <si>
    <t>PL1B-PL1A</t>
  </si>
  <si>
    <t>Int.</t>
  </si>
  <si>
    <t>PL1A-PL1</t>
  </si>
  <si>
    <t>PL1-PL2</t>
  </si>
  <si>
    <t/>
  </si>
  <si>
    <t>PL2-PL3</t>
  </si>
  <si>
    <t>PL3-PL4</t>
  </si>
  <si>
    <t>PL4-PL5</t>
  </si>
  <si>
    <t>PL5-PL6</t>
  </si>
  <si>
    <t>PL6-PL7</t>
  </si>
  <si>
    <t>PL7-PL8</t>
  </si>
  <si>
    <t>PL8-PL9</t>
  </si>
  <si>
    <t>PL9-PL10</t>
  </si>
  <si>
    <t>PL10-PL11</t>
  </si>
  <si>
    <t>PL11-PL12</t>
  </si>
  <si>
    <t>PL12-PL13</t>
  </si>
  <si>
    <t>PL13-PL14</t>
  </si>
  <si>
    <t>PL14-PL15</t>
  </si>
  <si>
    <t>PL15-PL16</t>
  </si>
  <si>
    <t>PL16-PL17</t>
  </si>
  <si>
    <t>PL17-PL18</t>
  </si>
  <si>
    <t>PL18-PL19</t>
  </si>
  <si>
    <t>PL19-PL20</t>
  </si>
  <si>
    <t>PL20-PL21</t>
  </si>
  <si>
    <t>PL21-PL22</t>
  </si>
  <si>
    <t>PL22-PL23</t>
  </si>
  <si>
    <t>PL23-PL24</t>
  </si>
  <si>
    <t>PL24-PL25</t>
  </si>
  <si>
    <t>PL25-PL26</t>
  </si>
  <si>
    <t>PL26-PL27</t>
  </si>
  <si>
    <t>PL27-PL28</t>
  </si>
  <si>
    <t>PL28-PL29</t>
  </si>
  <si>
    <t>PL29-PL30</t>
  </si>
  <si>
    <t>PL30-PL31</t>
  </si>
  <si>
    <t>PL31-PL32</t>
  </si>
  <si>
    <t>PL32-PL33</t>
  </si>
  <si>
    <t>PL33-PL34</t>
  </si>
  <si>
    <t>PL34-PL35</t>
  </si>
  <si>
    <t>PL35-PL36</t>
  </si>
  <si>
    <t>PL36-PL37</t>
  </si>
  <si>
    <t>PL37-PL38</t>
  </si>
  <si>
    <t>PL38-PL39</t>
  </si>
  <si>
    <t>PL39-PL40</t>
  </si>
  <si>
    <t>PL40-PL41</t>
  </si>
  <si>
    <t>PL41-PL42</t>
  </si>
  <si>
    <t>PL42-PL43</t>
  </si>
  <si>
    <t>PL43-PL44</t>
  </si>
  <si>
    <t>PL44-PL45</t>
  </si>
  <si>
    <t>PL45-PL46</t>
  </si>
  <si>
    <t>PL46-PL47</t>
  </si>
  <si>
    <t>PL47-PL48</t>
  </si>
  <si>
    <t>PL48-PL49</t>
  </si>
  <si>
    <t>PL49-PL50</t>
  </si>
  <si>
    <t>PL50-PL51</t>
  </si>
  <si>
    <t>PL51-PL52</t>
  </si>
  <si>
    <t>PL52-PL53</t>
  </si>
  <si>
    <t>PL53-PL54</t>
  </si>
  <si>
    <t>PL54-PL55</t>
  </si>
  <si>
    <t>PL55-PL56</t>
  </si>
  <si>
    <t>PL56-PL57</t>
  </si>
  <si>
    <t>PL57-PL58</t>
  </si>
  <si>
    <t>PL58-PL59</t>
  </si>
  <si>
    <t>PL59-PL60</t>
  </si>
  <si>
    <t>PL60-PL61</t>
  </si>
  <si>
    <t>PL61-PL62</t>
  </si>
  <si>
    <t>PL62-PL63</t>
  </si>
  <si>
    <t>PL63-PL64</t>
  </si>
  <si>
    <t>PL64-PL65</t>
  </si>
  <si>
    <t>PL65-PL66</t>
  </si>
  <si>
    <t>PL66-PL67</t>
  </si>
  <si>
    <t>PL67-PL68</t>
  </si>
  <si>
    <t>PL68-PL69</t>
  </si>
  <si>
    <t>PL69-PL70</t>
  </si>
  <si>
    <t>PL70-PL71</t>
  </si>
  <si>
    <t>PL71-PL72</t>
  </si>
  <si>
    <t>PL72-PL73</t>
  </si>
  <si>
    <t>PL73-PL74</t>
  </si>
  <si>
    <t>PL74-PL75</t>
  </si>
  <si>
    <t>PL75-PL76</t>
  </si>
  <si>
    <t>PL76-PL77</t>
  </si>
  <si>
    <t>PL77-PL78</t>
  </si>
  <si>
    <t>PL78-PL79</t>
  </si>
  <si>
    <t>PL79-PL80</t>
  </si>
  <si>
    <t>PL80-PL81</t>
  </si>
  <si>
    <t>PR1B-PR1A</t>
  </si>
  <si>
    <t>PR1A-PR1</t>
  </si>
  <si>
    <t>PR1-PR2</t>
  </si>
  <si>
    <t>PR2-PR3</t>
  </si>
  <si>
    <t>PR3-PR4</t>
  </si>
  <si>
    <t>PR4-PR5</t>
  </si>
  <si>
    <t>PR5-PR6</t>
  </si>
  <si>
    <t>PR6-PR7</t>
  </si>
  <si>
    <t>PR7-PR8</t>
  </si>
  <si>
    <t>PR8-PR9</t>
  </si>
  <si>
    <t>PR9-PR10</t>
  </si>
  <si>
    <t>PR10-PR11</t>
  </si>
  <si>
    <t>PR11-PR12</t>
  </si>
  <si>
    <t>PR12-PR13</t>
  </si>
  <si>
    <t>PR13-PR14</t>
  </si>
  <si>
    <t>PR14-PR15</t>
  </si>
  <si>
    <t>PR15-PR16</t>
  </si>
  <si>
    <t>PR16-PR17</t>
  </si>
  <si>
    <t>PR17-PR18</t>
  </si>
  <si>
    <t>PR18-PR19</t>
  </si>
  <si>
    <t>PR19-PR20</t>
  </si>
  <si>
    <t>PR20-PR21</t>
  </si>
  <si>
    <t>PR21-PR22</t>
  </si>
  <si>
    <t>PR22-PR23</t>
  </si>
  <si>
    <t>PR23-PR24</t>
  </si>
  <si>
    <t>PR24-PR25</t>
  </si>
  <si>
    <t>PR25-PR26</t>
  </si>
  <si>
    <t>PR26-PR27</t>
  </si>
  <si>
    <t>PR27-PR28</t>
  </si>
  <si>
    <t>PR28-PR29</t>
  </si>
  <si>
    <t>PR29-PR30</t>
  </si>
  <si>
    <t>PR30-PR31</t>
  </si>
  <si>
    <t>PR31-PR32</t>
  </si>
  <si>
    <t>PR32-PR33</t>
  </si>
  <si>
    <t>PR33-PR34</t>
  </si>
  <si>
    <t>PR34-PR35</t>
  </si>
  <si>
    <t>PR35-PR36</t>
  </si>
  <si>
    <t>PR36-PR37</t>
  </si>
  <si>
    <t>PR37-PR38</t>
  </si>
  <si>
    <t>PR38-PR39</t>
  </si>
  <si>
    <t>PR39-PR40</t>
  </si>
  <si>
    <t>PR40-PR41</t>
  </si>
  <si>
    <t>PR41-PR42</t>
  </si>
  <si>
    <t>PR42-PR43</t>
  </si>
  <si>
    <t>PR43-PR44</t>
  </si>
  <si>
    <t>PR44-PR45</t>
  </si>
  <si>
    <t>PR45-PR46</t>
  </si>
  <si>
    <t>PR46-PR47</t>
  </si>
  <si>
    <t>PR47-PR48</t>
  </si>
  <si>
    <t>PR48-PR49</t>
  </si>
  <si>
    <t>PR49-PR50</t>
  </si>
  <si>
    <t>PR50-PR51</t>
  </si>
  <si>
    <t>PR51-PR52</t>
  </si>
  <si>
    <t>PR52-PR53</t>
  </si>
  <si>
    <t>PR53-PR54</t>
  </si>
  <si>
    <t>PR54-PR55</t>
  </si>
  <si>
    <t>PR55-PR56</t>
  </si>
  <si>
    <t>PR56-PR57</t>
  </si>
  <si>
    <t>PR57-PR58</t>
  </si>
  <si>
    <t>PR58-PR59</t>
  </si>
  <si>
    <t>PR59-PR60</t>
  </si>
  <si>
    <t>PR60-PR61</t>
  </si>
  <si>
    <t>PR61-PR62</t>
  </si>
  <si>
    <t>PR62-PR63</t>
  </si>
  <si>
    <t>PR63-PR64</t>
  </si>
  <si>
    <t>PR64-PR65</t>
  </si>
  <si>
    <t>PR65-PR66</t>
  </si>
  <si>
    <t>PR66-PR67</t>
  </si>
  <si>
    <t>PR67-PR68</t>
  </si>
  <si>
    <t>21R</t>
  </si>
  <si>
    <t>PR68-PR69</t>
  </si>
  <si>
    <t>PR69-PR70</t>
  </si>
  <si>
    <t>PR70-PR71</t>
  </si>
  <si>
    <t>PR71-PR72</t>
  </si>
  <si>
    <t>PR72-PR73</t>
  </si>
  <si>
    <t>PR73-PR74</t>
  </si>
  <si>
    <t>PR74-PR75</t>
  </si>
  <si>
    <t>PR75-PR76</t>
  </si>
  <si>
    <t>PR76-PR77</t>
  </si>
  <si>
    <t>PR77-PR78</t>
  </si>
  <si>
    <t>PR78-PR79</t>
  </si>
  <si>
    <t>PR79-PR80</t>
  </si>
  <si>
    <t>PR80-PR81</t>
  </si>
  <si>
    <t>Span</t>
  </si>
  <si>
    <t>Ch. From</t>
  </si>
  <si>
    <t>Ch. To</t>
  </si>
  <si>
    <t xml:space="preserve">Length </t>
  </si>
  <si>
    <t>Total Concrete</t>
  </si>
  <si>
    <t>LS1</t>
  </si>
  <si>
    <t>LS2</t>
  </si>
  <si>
    <t>LS3</t>
  </si>
  <si>
    <t>LS4</t>
  </si>
  <si>
    <t>LS5</t>
  </si>
  <si>
    <t>LS6</t>
  </si>
  <si>
    <t>LS7</t>
  </si>
  <si>
    <t>LS8</t>
  </si>
  <si>
    <t>LS9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</si>
  <si>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</si>
  <si>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</si>
  <si>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</si>
  <si>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</si>
  <si>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</si>
  <si>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</si>
  <si>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</si>
  <si>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</si>
  <si>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</si>
  <si>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</si>
  <si>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</si>
  <si>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</si>
  <si>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</si>
  <si>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</si>
  <si>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</si>
  <si>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</si>
  <si>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</si>
  <si>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</si>
  <si>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</si>
  <si>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</si>
  <si>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LS30</t>
  </si>
  <si>
    <t>LS31</t>
  </si>
  <si>
    <t>LS32</t>
  </si>
  <si>
    <t>LS33</t>
  </si>
  <si>
    <t>LS34</t>
  </si>
  <si>
    <t>LS35</t>
  </si>
  <si>
    <t>LS36</t>
  </si>
  <si>
    <t>LS37</t>
  </si>
  <si>
    <t>LS38</t>
  </si>
  <si>
    <t>LS37a</t>
  </si>
  <si>
    <t>LS36a</t>
  </si>
  <si>
    <t>LS35a</t>
  </si>
  <si>
    <t>LS34a</t>
  </si>
  <si>
    <t>LS33a</t>
  </si>
  <si>
    <t>LS32a</t>
  </si>
  <si>
    <t>LS31a</t>
  </si>
  <si>
    <t>LS30a</t>
  </si>
  <si>
    <t>LS29a</t>
  </si>
  <si>
    <t>LS28a</t>
  </si>
  <si>
    <t>LS27a</t>
  </si>
  <si>
    <t>LS26a</t>
  </si>
  <si>
    <t>LS25a</t>
  </si>
  <si>
    <t>LS24a</t>
  </si>
  <si>
    <t>LS23a</t>
  </si>
  <si>
    <t>LS22a</t>
  </si>
  <si>
    <t>LS21a</t>
  </si>
  <si>
    <t>LS20a</t>
  </si>
  <si>
    <t>LS19a</t>
  </si>
  <si>
    <t>LS18a</t>
  </si>
  <si>
    <t>LS17a</t>
  </si>
  <si>
    <t>LS16a</t>
  </si>
  <si>
    <t>LS15a</t>
  </si>
  <si>
    <t>LS14a</t>
  </si>
  <si>
    <t>LS13a</t>
  </si>
  <si>
    <t>LS12a</t>
  </si>
  <si>
    <t>LS11a</t>
  </si>
  <si>
    <t>LS10a</t>
  </si>
  <si>
    <t>LS9a</t>
  </si>
  <si>
    <t>LS8a</t>
  </si>
  <si>
    <t>LS7a</t>
  </si>
  <si>
    <t>LS6a</t>
  </si>
  <si>
    <t>LS5a</t>
  </si>
  <si>
    <t>LS4a</t>
  </si>
  <si>
    <t>LS3a</t>
  </si>
  <si>
    <t>LS2a</t>
  </si>
  <si>
    <t>LS1a</t>
  </si>
  <si>
    <t>Total Nos</t>
  </si>
  <si>
    <t>RS1</t>
  </si>
  <si>
    <t>RS2</t>
  </si>
  <si>
    <t>RS3</t>
  </si>
  <si>
    <t>RS4</t>
  </si>
  <si>
    <t>RS5</t>
  </si>
  <si>
    <t>RS6</t>
  </si>
  <si>
    <t>RS7</t>
  </si>
  <si>
    <t>RS8</t>
  </si>
  <si>
    <t>RS9</t>
  </si>
  <si>
    <t>RS10</t>
  </si>
  <si>
    <t>RS11</t>
  </si>
  <si>
    <t>RS12</t>
  </si>
  <si>
    <t>RS13</t>
  </si>
  <si>
    <t>RS14</t>
  </si>
  <si>
    <t>RS15</t>
  </si>
  <si>
    <t>RS16</t>
  </si>
  <si>
    <t>RS17</t>
  </si>
  <si>
    <t>RS18</t>
  </si>
  <si>
    <t>RS19</t>
  </si>
  <si>
    <t>RS20</t>
  </si>
  <si>
    <t>RS21</t>
  </si>
  <si>
    <t>RS22</t>
  </si>
  <si>
    <t>RS23</t>
  </si>
  <si>
    <t>RS24</t>
  </si>
  <si>
    <t>RS25</t>
  </si>
  <si>
    <t>RS26</t>
  </si>
  <si>
    <t>RS27</t>
  </si>
  <si>
    <t>RS28</t>
  </si>
  <si>
    <t>RS29</t>
  </si>
  <si>
    <t>RS30</t>
  </si>
  <si>
    <t>RS31</t>
  </si>
  <si>
    <t>RS32</t>
  </si>
  <si>
    <t>RS33</t>
  </si>
  <si>
    <t>RS34</t>
  </si>
  <si>
    <t>RS35</t>
  </si>
  <si>
    <t>RS36</t>
  </si>
  <si>
    <t>RS37</t>
  </si>
  <si>
    <t>RS38</t>
  </si>
  <si>
    <t>RS37a</t>
  </si>
  <si>
    <t>RS36a</t>
  </si>
  <si>
    <t>RS35a</t>
  </si>
  <si>
    <t>RS34a</t>
  </si>
  <si>
    <t>RS33a</t>
  </si>
  <si>
    <t>RS32a</t>
  </si>
  <si>
    <t>RS31a</t>
  </si>
  <si>
    <t>RS30a</t>
  </si>
  <si>
    <t>RS29a</t>
  </si>
  <si>
    <t>RS28a</t>
  </si>
  <si>
    <t>RS27a</t>
  </si>
  <si>
    <t>RS26a</t>
  </si>
  <si>
    <t>RS25a</t>
  </si>
  <si>
    <t>RS24a</t>
  </si>
  <si>
    <t>RS23a</t>
  </si>
  <si>
    <t>RS22a</t>
  </si>
  <si>
    <t>RS21a</t>
  </si>
  <si>
    <t>RS20a</t>
  </si>
  <si>
    <t>RS19a</t>
  </si>
  <si>
    <t>RS18a</t>
  </si>
  <si>
    <t>RS17a</t>
  </si>
  <si>
    <t>RS16a</t>
  </si>
  <si>
    <t>RS15a</t>
  </si>
  <si>
    <t>RS14a</t>
  </si>
  <si>
    <t>RS13a</t>
  </si>
  <si>
    <t>RS12a</t>
  </si>
  <si>
    <t>RS11a</t>
  </si>
  <si>
    <t>RS10a</t>
  </si>
  <si>
    <t>RS9a</t>
  </si>
  <si>
    <t>RS8a</t>
  </si>
  <si>
    <t>RS7a</t>
  </si>
  <si>
    <t>RS6a</t>
  </si>
  <si>
    <t>RS5a</t>
  </si>
  <si>
    <t>RS4a</t>
  </si>
  <si>
    <t>RS3a</t>
  </si>
  <si>
    <t>RS2a</t>
  </si>
  <si>
    <t>RS1a</t>
  </si>
  <si>
    <t>No of Girder</t>
  </si>
  <si>
    <t>Interchange</t>
  </si>
  <si>
    <t>Sr No</t>
  </si>
  <si>
    <t>Girder ID</t>
  </si>
  <si>
    <t>Scope</t>
  </si>
  <si>
    <t>Type of Slab</t>
  </si>
  <si>
    <t>PR12-DCP1</t>
  </si>
  <si>
    <t>CIS Deck Slab</t>
  </si>
  <si>
    <t>DCP1-DCP2</t>
  </si>
  <si>
    <t>DCP2-DCP3</t>
  </si>
  <si>
    <t>DCP3-DCP4</t>
  </si>
  <si>
    <t>DCP4-DCP5</t>
  </si>
  <si>
    <t>DCP5-DCP6</t>
  </si>
  <si>
    <t>DCP6-DCP7</t>
  </si>
  <si>
    <t>DCP7-DCP8</t>
  </si>
  <si>
    <t>DCP8-DCP9</t>
  </si>
  <si>
    <t>DCP9-DCP10</t>
  </si>
  <si>
    <t>DCP10-DCP11</t>
  </si>
  <si>
    <t>DCP11-DCP12</t>
  </si>
  <si>
    <t>DCP12-DCP13</t>
  </si>
  <si>
    <t>DCP13-DCP14</t>
  </si>
  <si>
    <t>PR6-CVP1</t>
  </si>
  <si>
    <t>CVP1-CVP2</t>
  </si>
  <si>
    <t>CVP2-CVP3</t>
  </si>
  <si>
    <t>CVP3-CVP4</t>
  </si>
  <si>
    <t>CVP4-CVP5</t>
  </si>
  <si>
    <t>CVP5-CVP6</t>
  </si>
  <si>
    <t>CVP6-CVP7</t>
  </si>
  <si>
    <t>CVP7-CVP8</t>
  </si>
  <si>
    <t>CVP8-CVP9</t>
  </si>
  <si>
    <t>CVP9-CVP10</t>
  </si>
  <si>
    <t>PL4-VCP1</t>
  </si>
  <si>
    <t>VCP1-VCP2</t>
  </si>
  <si>
    <t>VCP2-VCP3</t>
  </si>
  <si>
    <t>VCP3-VCP4</t>
  </si>
  <si>
    <t>VCP4-VCP5</t>
  </si>
  <si>
    <t>VCP5-VCP6</t>
  </si>
  <si>
    <t>VCP6-VCP7</t>
  </si>
  <si>
    <t>VCP7-VCP8</t>
  </si>
  <si>
    <t>VCP8-VCP9</t>
  </si>
  <si>
    <t>VCP9-VCP10</t>
  </si>
  <si>
    <t>VCP10-VCP11</t>
  </si>
  <si>
    <t>VCP11-VCP12</t>
  </si>
  <si>
    <t>VCP12-VCP13</t>
  </si>
  <si>
    <t>VCP13-VCP14</t>
  </si>
  <si>
    <t>VCP14-VCP15</t>
  </si>
  <si>
    <t>VCP15-VCP16</t>
  </si>
  <si>
    <t>VCP16-VCP17</t>
  </si>
  <si>
    <t>VCP17-VCP18</t>
  </si>
  <si>
    <t>VCP18-VCP19</t>
  </si>
  <si>
    <t>VCP19-VCP20</t>
  </si>
  <si>
    <t>VCP20-VCP21</t>
  </si>
  <si>
    <t>VCP21-VCP22</t>
  </si>
  <si>
    <t>VCP22-VCP23</t>
  </si>
  <si>
    <t>VCP23-VCP24</t>
  </si>
  <si>
    <t>VCP24-VCP25</t>
  </si>
  <si>
    <t>VCP25-VCP26</t>
  </si>
  <si>
    <t>VCP26-VCP27</t>
  </si>
  <si>
    <t>VCP27-VCP28</t>
  </si>
  <si>
    <t>VCP28-VCP29</t>
  </si>
  <si>
    <t>VCP29-VCP30</t>
  </si>
  <si>
    <t>VCP30-VCP31</t>
  </si>
  <si>
    <t>VCP31-VCP32</t>
  </si>
  <si>
    <t>VCP32-VCP33</t>
  </si>
  <si>
    <t>VCP33-VCP34</t>
  </si>
  <si>
    <t>VCP34-VCP35</t>
  </si>
  <si>
    <t>VCP35-VCP36</t>
  </si>
  <si>
    <t>VCP36-VCP37</t>
  </si>
  <si>
    <t>VCP37-VCP38</t>
  </si>
  <si>
    <t>VCP38-VCP39</t>
  </si>
  <si>
    <t>VCP39-VCP40</t>
  </si>
  <si>
    <t>VCP40-VCP41</t>
  </si>
  <si>
    <t>VCP41-VCP42</t>
  </si>
  <si>
    <t>VCP42-VCP43</t>
  </si>
  <si>
    <t>VCP43-VCP44</t>
  </si>
  <si>
    <t>VCP44-VCP45</t>
  </si>
  <si>
    <t>VCP45-VCP47</t>
  </si>
  <si>
    <t>VCP47-VCP48</t>
  </si>
  <si>
    <t>VCP48-VCP49</t>
  </si>
  <si>
    <t>VCP49-VCP50</t>
  </si>
  <si>
    <t>VCP50-VCP51</t>
  </si>
  <si>
    <t>VCP51-VCP52</t>
  </si>
  <si>
    <t>VCP52-VCP53</t>
  </si>
  <si>
    <t>PL9-CDP1</t>
  </si>
  <si>
    <t>CDP1-CDP2</t>
  </si>
  <si>
    <t>CDP2-CDP3</t>
  </si>
  <si>
    <t>CDP3-CDP4</t>
  </si>
  <si>
    <t>CDP4-CDP5</t>
  </si>
  <si>
    <t>CDP5-CDP6</t>
  </si>
  <si>
    <t>CDP6-CDP7</t>
  </si>
  <si>
    <t>CDP7-CDP8</t>
  </si>
  <si>
    <t>CDP8-CDP9</t>
  </si>
  <si>
    <t>CDP9-CDP10</t>
  </si>
  <si>
    <t>CDP10-CDP11</t>
  </si>
  <si>
    <t>CDP11-CDP12</t>
  </si>
  <si>
    <t>CDP12-CDP13</t>
  </si>
  <si>
    <t>CDP13-CDP14</t>
  </si>
  <si>
    <t>CDP14-CDP15</t>
  </si>
  <si>
    <t>CDP15-CDP16</t>
  </si>
  <si>
    <t>CDP16-CDP17</t>
  </si>
  <si>
    <t>CDP17-CDP18</t>
  </si>
  <si>
    <t>CDP18-CDP19</t>
  </si>
  <si>
    <t>CDP19-CDP20</t>
  </si>
  <si>
    <t>CDP20-CDP21</t>
  </si>
  <si>
    <t>CDP21-CDP22</t>
  </si>
  <si>
    <t>CDP22-CDP23</t>
  </si>
  <si>
    <t>CDP23-CDP24</t>
  </si>
  <si>
    <t>CDP24-CDP25</t>
  </si>
  <si>
    <t>CDP25-CDP26</t>
  </si>
  <si>
    <t>CDP26-CDP27</t>
  </si>
  <si>
    <t>CDP27-CDP28</t>
  </si>
  <si>
    <t>CDP28-CDP29</t>
  </si>
  <si>
    <t>CDP29-CDP30</t>
  </si>
  <si>
    <t>CDP30-CDP31</t>
  </si>
  <si>
    <t>CDP31-CDP32</t>
  </si>
  <si>
    <t>CDP32-CDP33</t>
  </si>
  <si>
    <t>CDP33-CDP34</t>
  </si>
  <si>
    <t>CDP34-CDP35</t>
  </si>
  <si>
    <t>CDP36-CDP37</t>
  </si>
  <si>
    <t>CDP37-CDP38</t>
  </si>
  <si>
    <t>CDP38-CDP39</t>
  </si>
  <si>
    <t>CDP39-CDP40</t>
  </si>
  <si>
    <t>CDP40-CDP41</t>
  </si>
  <si>
    <t>CDP41-CDP42</t>
  </si>
  <si>
    <t>CDP42-CDP43</t>
  </si>
  <si>
    <t>CDP43-CDP44</t>
  </si>
  <si>
    <t>CDP44-CDP45</t>
  </si>
  <si>
    <t>CDP45-CDP47</t>
  </si>
  <si>
    <t>CDP47-CDP48</t>
  </si>
  <si>
    <t>CDP48-CDP49</t>
  </si>
  <si>
    <t>CDP49-CDP50</t>
  </si>
  <si>
    <t>CDP50-CDP51</t>
  </si>
  <si>
    <t>CDP51-CDP52</t>
  </si>
  <si>
    <t>CDP52-CDP53</t>
  </si>
  <si>
    <t>PR78-DGP1</t>
  </si>
  <si>
    <t>DGP1-DGP2</t>
  </si>
  <si>
    <t>DGP2-DGP3</t>
  </si>
  <si>
    <t>DGP3-DGP4</t>
  </si>
  <si>
    <t>DGP4-DGP5</t>
  </si>
  <si>
    <t>DGP5-DGP6</t>
  </si>
  <si>
    <t>DGP6-DGP7</t>
  </si>
  <si>
    <t>DGP7-DGP8</t>
  </si>
  <si>
    <t>DGP8-DGP9</t>
  </si>
  <si>
    <t>DGP9-DGP10</t>
  </si>
  <si>
    <t>DGP10-DGP11</t>
  </si>
  <si>
    <t>DGP11-DGP12</t>
  </si>
  <si>
    <t>PR73-GVP1</t>
  </si>
  <si>
    <t>GVP1-GVP2</t>
  </si>
  <si>
    <t>GVP2-GVP3</t>
  </si>
  <si>
    <t>GVP3-GVP4</t>
  </si>
  <si>
    <t>GVP4-GVP5</t>
  </si>
  <si>
    <t>GVP5-GVP6</t>
  </si>
  <si>
    <t>GVP6-GVP7</t>
  </si>
  <si>
    <t>GVP7-GVP8</t>
  </si>
  <si>
    <t>GVP8-GVP9</t>
  </si>
  <si>
    <t>GVP9-GVP10</t>
  </si>
  <si>
    <t>GVP10-GVP11</t>
  </si>
  <si>
    <t>GVP11-GVP12</t>
  </si>
  <si>
    <t>GVP12-GVP13</t>
  </si>
  <si>
    <t>GVP13-GVP14</t>
  </si>
  <si>
    <t>PL73-VGP1</t>
  </si>
  <si>
    <t>VGP1-VGP2</t>
  </si>
  <si>
    <t>VGP2-VGP3</t>
  </si>
  <si>
    <t>VGP3-VGP4</t>
  </si>
  <si>
    <t>VGP4-VGP5</t>
  </si>
  <si>
    <t>VGP5-VGP6</t>
  </si>
  <si>
    <t>VGP6-VGP7</t>
  </si>
  <si>
    <t>VGP7-VGP8</t>
  </si>
  <si>
    <t>VGP8-VGP9</t>
  </si>
  <si>
    <t>SB Deck Slab</t>
  </si>
  <si>
    <t>VGP9-VGP10</t>
  </si>
  <si>
    <t>VGP10-VGP11</t>
  </si>
  <si>
    <t>VGP11-VGP12</t>
  </si>
  <si>
    <t>VGP12-VGP13</t>
  </si>
  <si>
    <t>VGP13-VGP14</t>
  </si>
  <si>
    <t>VGP14-VGP15</t>
  </si>
  <si>
    <t>VGP15-VGP16</t>
  </si>
  <si>
    <t>VGP16-VGP17</t>
  </si>
  <si>
    <t>VGP17-VGP18</t>
  </si>
  <si>
    <t>VGP18-VGP19</t>
  </si>
  <si>
    <t>VGP19-VGP20</t>
  </si>
  <si>
    <t>VGP20-VGP21</t>
  </si>
  <si>
    <t>VGP21-VGP22</t>
  </si>
  <si>
    <t>VGP22-VGP23</t>
  </si>
  <si>
    <t>VGP23-VGP24</t>
  </si>
  <si>
    <t>VGP24-VGP25</t>
  </si>
  <si>
    <t>VGP25-VGP26</t>
  </si>
  <si>
    <t>VGP26-VGP27</t>
  </si>
  <si>
    <t>VGP27-VGP28</t>
  </si>
  <si>
    <t>VGP28-VGP29</t>
  </si>
  <si>
    <t>VGP29-VGP30</t>
  </si>
  <si>
    <t>VGP30-VGP31</t>
  </si>
  <si>
    <t>VGP31-VGP32</t>
  </si>
  <si>
    <t>VGP32-VGP33</t>
  </si>
  <si>
    <t>VGP33-VGP34</t>
  </si>
  <si>
    <t>VGP34-VGP35</t>
  </si>
  <si>
    <t>VGP35-VGP36</t>
  </si>
  <si>
    <t>PL76-GDP1</t>
  </si>
  <si>
    <t>GDP1-GDP2</t>
  </si>
  <si>
    <t>GDP2-GDP3</t>
  </si>
  <si>
    <t>GDP3-GDP4</t>
  </si>
  <si>
    <t>GDP4-GDP5</t>
  </si>
  <si>
    <t>GDP5-GDP6</t>
  </si>
  <si>
    <t>GDP6-GDP7</t>
  </si>
  <si>
    <t>GDP7-GDP8</t>
  </si>
  <si>
    <t>GDP8-GDP9</t>
  </si>
  <si>
    <t>GDP9-GDP10</t>
  </si>
  <si>
    <t>GDP10-GDP11</t>
  </si>
  <si>
    <t>GDP11-GDP12</t>
  </si>
  <si>
    <t>GDP12-GDP13</t>
  </si>
  <si>
    <t>GDP13-GDP14</t>
  </si>
  <si>
    <t>GDP14-GDP15</t>
  </si>
  <si>
    <t>GDP15-GDP16</t>
  </si>
  <si>
    <t>GDP16-GDP17</t>
  </si>
  <si>
    <t>GDP17-GDP18</t>
  </si>
  <si>
    <t>GDP18-GDP19</t>
  </si>
  <si>
    <t>GDP19-GDP20</t>
  </si>
  <si>
    <t>GDP20-GDP21</t>
  </si>
  <si>
    <t>GDP21-GDP22</t>
  </si>
  <si>
    <t>GDP22-GDP23</t>
  </si>
  <si>
    <t>GDP23-GDP24</t>
  </si>
  <si>
    <t>GDP24-GDP25</t>
  </si>
  <si>
    <t>GDP25-GDP26</t>
  </si>
  <si>
    <t>GDP26-GDP27</t>
  </si>
  <si>
    <t>GDP27-GDP28</t>
  </si>
  <si>
    <t>GDP28-GDP29</t>
  </si>
  <si>
    <t>GDP29-GDP30</t>
  </si>
  <si>
    <t>GDP30-GDP31</t>
  </si>
  <si>
    <t>GDP31-GDP32</t>
  </si>
  <si>
    <t>GDP32-GDP33</t>
  </si>
  <si>
    <t>GDP33-GDP34</t>
  </si>
  <si>
    <t>GDP34-GDP35</t>
  </si>
  <si>
    <t>GDP35-GDP36</t>
  </si>
  <si>
    <t>Pile Cap ID</t>
  </si>
  <si>
    <t>Update acknowledgement of concrete receipt by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</si>
</sst>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10409]hh:mm\ AM/PM"/>
    <numFmt numFmtId="166" formatCode="_ * #,##0_ ;_ * \-#,##0_ ;_ * &quot;-&quot;??_ ;_ @_ "/>
    <numFmt numFmtId="167" formatCode="_ * #,##0.0_ ;_ * \-#,##0.0_ ;_ * &quot;-&quot;??_ ;_ @_ "/>
    <numFmt numFmtId="168" formatCode="0.000"/>
    <numFmt numFmtId="169" formatCode="00\+000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212121"/>
      <name val="Quattrocento Sans"/>
    </font>
    <font>
      <sz val="11"/>
      <color rgb="FF212121"/>
      <name val="Quattrocento Sans"/>
    </font>
    <font>
      <b/>
      <sz val="9"/>
      <color rgb="FF212121"/>
      <name val="Quattrocento Sans"/>
    </font>
    <font>
      <sz val="9"/>
      <color rgb="FF212121"/>
      <name val="Quattrocento Sans"/>
    </font>
    <font>
      <b/>
      <sz val="9"/>
      <color theme="0"/>
      <name val="Calibri"/>
    </font>
    <font>
      <sz val="9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AEABAB"/>
        <bgColor rgb="FFAEABAB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00000"/>
        <bgColor rgb="FFC00000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ECECEC"/>
        <bgColor rgb="FFECECEC"/>
      </patternFill>
    </fill>
  </fills>
  <borders count="29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7F7F7F"/>
      </left>
      <right/>
      <top style="medium">
        <color rgb="FF7F7F7F"/>
      </top>
      <bottom style="thin">
        <color rgb="FFA5A5A5"/>
      </bottom>
      <diagonal/>
    </border>
    <border>
      <left/>
      <right/>
      <top style="medium">
        <color rgb="FF7F7F7F"/>
      </top>
      <bottom style="thin">
        <color rgb="FFA5A5A5"/>
      </bottom>
      <diagonal/>
    </border>
    <border>
      <left/>
      <right style="medium">
        <color rgb="FF7F7F7F"/>
      </right>
      <top style="medium">
        <color rgb="FF7F7F7F"/>
      </top>
      <bottom style="thin">
        <color rgb="FFA5A5A5"/>
      </bottom>
      <diagonal/>
    </border>
    <border>
      <left style="medium">
        <color rgb="FF7F7F7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7F7F7F"/>
      </right>
      <top style="thin">
        <color rgb="FFA5A5A5"/>
      </top>
      <bottom style="thin">
        <color rgb="FFA5A5A5"/>
      </bottom>
      <diagonal/>
    </border>
    <border>
      <left style="medium">
        <color rgb="FF7F7F7F"/>
      </left>
      <right style="thin">
        <color rgb="FFA5A5A5"/>
      </right>
      <top style="thin">
        <color rgb="FFA5A5A5"/>
      </top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7F7F7F"/>
      </bottom>
      <diagonal/>
    </border>
    <border>
      <left style="thin">
        <color rgb="FFA5A5A5"/>
      </left>
      <right style="medium">
        <color rgb="FF7F7F7F"/>
      </right>
      <top style="thin">
        <color rgb="FFA5A5A5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A5A5A5"/>
      </right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/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7" fontId="3" fillId="0" borderId="1" xfId="0" applyNumberFormat="1" applyFont="1" applyBorder="1"/>
    <xf numFmtId="14" fontId="3" fillId="0" borderId="4" xfId="0" applyNumberFormat="1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0" xfId="0" applyFont="1" applyAlignment="1">
      <alignment horizontal="center"/>
    </xf>
    <xf numFmtId="0" fontId="6" fillId="0" borderId="0" xfId="0" applyFont="1"/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15" xfId="0" applyFont="1" applyBorder="1"/>
    <xf numFmtId="0" fontId="4" fillId="0" borderId="0" xfId="0" applyFont="1"/>
    <xf numFmtId="0" fontId="6" fillId="0" borderId="15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9" fontId="4" fillId="0" borderId="0" xfId="0" applyNumberFormat="1" applyFont="1"/>
    <xf numFmtId="0" fontId="3" fillId="5" borderId="15" xfId="0" applyFont="1" applyFill="1" applyBorder="1"/>
    <xf numFmtId="164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6" borderId="15" xfId="0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" fontId="3" fillId="0" borderId="0" xfId="0" applyNumberFormat="1" applyFont="1"/>
    <xf numFmtId="16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/>
    <xf numFmtId="168" fontId="3" fillId="0" borderId="15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15" xfId="0" applyFont="1" applyBorder="1" applyAlignment="1">
      <alignment horizontal="center"/>
    </xf>
    <xf numFmtId="0" fontId="3" fillId="0" borderId="15" xfId="0" applyFont="1" applyBorder="1"/>
    <xf numFmtId="0" fontId="8" fillId="0" borderId="15" xfId="0" applyFont="1" applyBorder="1"/>
    <xf numFmtId="0" fontId="9" fillId="0" borderId="15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164" fontId="9" fillId="0" borderId="15" xfId="0" applyNumberFormat="1" applyFont="1" applyBorder="1"/>
    <xf numFmtId="164" fontId="9" fillId="0" borderId="0" xfId="0" applyNumberFormat="1" applyFont="1" applyAlignment="1">
      <alignment horizontal="center"/>
    </xf>
    <xf numFmtId="164" fontId="3" fillId="0" borderId="15" xfId="0" applyNumberFormat="1" applyFont="1" applyBorder="1"/>
    <xf numFmtId="166" fontId="4" fillId="0" borderId="1" xfId="0" applyNumberFormat="1" applyFont="1" applyBorder="1" applyAlignment="1">
      <alignment wrapText="1"/>
    </xf>
    <xf numFmtId="166" fontId="3" fillId="0" borderId="1" xfId="0" applyNumberFormat="1" applyFont="1" applyBorder="1" applyAlignment="1">
      <alignment horizontal="left"/>
    </xf>
    <xf numFmtId="0" fontId="10" fillId="7" borderId="23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168" fontId="10" fillId="7" borderId="23" xfId="0" applyNumberFormat="1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1" fontId="11" fillId="8" borderId="23" xfId="0" applyNumberFormat="1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1" fontId="11" fillId="7" borderId="23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8" fontId="11" fillId="5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4" fillId="9" borderId="25" xfId="0" applyFont="1" applyFill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/>
    </xf>
    <xf numFmtId="0" fontId="4" fillId="11" borderId="25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9" borderId="23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10" borderId="23" xfId="0" applyFont="1" applyFill="1" applyBorder="1" applyAlignment="1">
      <alignment horizontal="left" vertical="center"/>
    </xf>
    <xf numFmtId="0" fontId="4" fillId="10" borderId="23" xfId="0" applyFont="1" applyFill="1" applyBorder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/>
    <xf numFmtId="166" fontId="4" fillId="0" borderId="0" xfId="0" applyNumberFormat="1" applyFont="1" applyAlignment="1">
      <alignment horizontal="center" vertical="center"/>
    </xf>
    <xf numFmtId="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/>
    <xf numFmtId="0" fontId="3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169" fontId="3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8" xfId="0" applyFont="1" applyBorder="1"/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3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4" fillId="0" borderId="16" xfId="0" applyFont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4" fillId="0" borderId="16" xfId="0" applyFon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 wrapText="1"/>
    </xf>
    <xf numFmtId="0" fontId="5" fillId="0" borderId="22" xfId="0" applyFont="1" applyBorder="1"/>
    <xf numFmtId="168" fontId="10" fillId="7" borderId="2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6</xdr:row>
      <xdr:rowOff>47625</xdr:rowOff>
    </xdr:from>
    <xdr:ext cx="97155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864988" y="3489488"/>
          <a:ext cx="962025" cy="5810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Requirement Raising</a:t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6</xdr:row>
      <xdr:rowOff>66675</xdr:rowOff>
    </xdr:from>
    <xdr:ext cx="1476375" cy="581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612575" y="3494250"/>
          <a:ext cx="1466850" cy="5715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Date Validation &amp; Go Ahead</a:t>
          </a:r>
          <a:endParaRPr sz="1100"/>
        </a:p>
      </xdr:txBody>
    </xdr:sp>
    <xdr:clientData fLocksWithSheet="0"/>
  </xdr:oneCellAnchor>
  <xdr:oneCellAnchor>
    <xdr:from>
      <xdr:col>6</xdr:col>
      <xdr:colOff>447675</xdr:colOff>
      <xdr:row>6</xdr:row>
      <xdr:rowOff>38100</xdr:rowOff>
    </xdr:from>
    <xdr:ext cx="1581150" cy="628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60188" y="3470438"/>
          <a:ext cx="1571625" cy="619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Production &amp; Dispatch</a:t>
          </a:r>
          <a:endParaRPr sz="1400"/>
        </a:p>
      </xdr:txBody>
    </xdr:sp>
    <xdr:clientData fLocksWithSheet="0"/>
  </xdr:oneCellAnchor>
  <xdr:oneCellAnchor>
    <xdr:from>
      <xdr:col>9</xdr:col>
      <xdr:colOff>19050</xdr:colOff>
      <xdr:row>6</xdr:row>
      <xdr:rowOff>28575</xdr:rowOff>
    </xdr:from>
    <xdr:ext cx="1628775" cy="647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536375" y="3460913"/>
          <a:ext cx="1619250" cy="63817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Dispatch Data entry</a:t>
          </a:r>
          <a:endParaRPr sz="1100"/>
        </a:p>
      </xdr:txBody>
    </xdr:sp>
    <xdr:clientData fLocksWithSheet="0"/>
  </xdr:oneCellAnchor>
  <xdr:oneCellAnchor>
    <xdr:from>
      <xdr:col>11</xdr:col>
      <xdr:colOff>38100</xdr:colOff>
      <xdr:row>6</xdr:row>
      <xdr:rowOff>28575</xdr:rowOff>
    </xdr:from>
    <xdr:ext cx="1676400" cy="647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512563" y="3460913"/>
          <a:ext cx="1666875" cy="63817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Final Required vs Production report</a:t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</xdr:row>
      <xdr:rowOff>95250</xdr:rowOff>
    </xdr:from>
    <xdr:ext cx="257175" cy="123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22175" y="3727613"/>
          <a:ext cx="247650" cy="104775"/>
        </a:xfrm>
        <a:prstGeom prst="rightArrow">
          <a:avLst>
            <a:gd name="adj1" fmla="val 50000"/>
            <a:gd name="adj2" fmla="val 50000"/>
          </a:avLst>
        </a:prstGeom>
        <a:solidFill>
          <a:srgbClr val="F2F2F2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7</xdr:row>
      <xdr:rowOff>104775</xdr:rowOff>
    </xdr:from>
    <xdr:ext cx="257175" cy="123825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22175" y="3727613"/>
          <a:ext cx="247650" cy="104775"/>
        </a:xfrm>
        <a:prstGeom prst="rightArrow">
          <a:avLst>
            <a:gd name="adj1" fmla="val 50000"/>
            <a:gd name="adj2" fmla="val 50000"/>
          </a:avLst>
        </a:prstGeom>
        <a:solidFill>
          <a:srgbClr val="F2F2F2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333375</xdr:colOff>
      <xdr:row>7</xdr:row>
      <xdr:rowOff>104775</xdr:rowOff>
    </xdr:from>
    <xdr:ext cx="257175" cy="123825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22175" y="3727613"/>
          <a:ext cx="247650" cy="104775"/>
        </a:xfrm>
        <a:prstGeom prst="rightArrow">
          <a:avLst>
            <a:gd name="adj1" fmla="val 50000"/>
            <a:gd name="adj2" fmla="val 50000"/>
          </a:avLst>
        </a:prstGeom>
        <a:solidFill>
          <a:srgbClr val="F2F2F2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381000</xdr:colOff>
      <xdr:row>7</xdr:row>
      <xdr:rowOff>104775</xdr:rowOff>
    </xdr:from>
    <xdr:ext cx="238125" cy="123825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31700" y="3727613"/>
          <a:ext cx="228600" cy="104775"/>
        </a:xfrm>
        <a:prstGeom prst="rightArrow">
          <a:avLst>
            <a:gd name="adj1" fmla="val 50000"/>
            <a:gd name="adj2" fmla="val 50000"/>
          </a:avLst>
        </a:prstGeom>
        <a:solidFill>
          <a:srgbClr val="F2F2F2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6</xdr:row>
      <xdr:rowOff>76200</xdr:rowOff>
    </xdr:from>
    <xdr:ext cx="2924175" cy="20288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893438" y="2770350"/>
          <a:ext cx="2905125" cy="2019300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Target - 1,000 m3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Disptach Qty- 700 m3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% Achieved - 70%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Shortfall- 30%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Pier - 5%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 girder - 10%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Pile - 10%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....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</xdr:col>
      <xdr:colOff>152400</xdr:colOff>
      <xdr:row>4</xdr:row>
      <xdr:rowOff>85725</xdr:rowOff>
    </xdr:from>
    <xdr:ext cx="2771775" cy="3143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Target VS Production - Previous Day</a:t>
          </a:r>
          <a:endParaRPr sz="1100"/>
        </a:p>
      </xdr:txBody>
    </xdr:sp>
    <xdr:clientData fLocksWithSheet="0"/>
  </xdr:oneCellAnchor>
  <xdr:oneCellAnchor>
    <xdr:from>
      <xdr:col>12</xdr:col>
      <xdr:colOff>581025</xdr:colOff>
      <xdr:row>4</xdr:row>
      <xdr:rowOff>66675</xdr:rowOff>
    </xdr:from>
    <xdr:ext cx="2771775" cy="3143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Sectionwise Target VS Production - FTM</a:t>
          </a:r>
          <a:endParaRPr sz="1100"/>
        </a:p>
      </xdr:txBody>
    </xdr:sp>
    <xdr:clientData fLocksWithSheet="0"/>
  </xdr:oneCellAnchor>
  <xdr:oneCellAnchor>
    <xdr:from>
      <xdr:col>12</xdr:col>
      <xdr:colOff>466725</xdr:colOff>
      <xdr:row>6</xdr:row>
      <xdr:rowOff>47625</xdr:rowOff>
    </xdr:from>
    <xdr:ext cx="3000375" cy="20955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850575" y="2737013"/>
          <a:ext cx="2990850" cy="2085975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323850</xdr:colOff>
      <xdr:row>6</xdr:row>
      <xdr:rowOff>76200</xdr:rowOff>
    </xdr:from>
    <xdr:ext cx="2924175" cy="20288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893438" y="2770350"/>
          <a:ext cx="2905125" cy="2019300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Target - 15,000 m3 Achieved 6,700 m3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Pile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Pile cap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Pier Cap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 Girder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419100</xdr:colOff>
      <xdr:row>4</xdr:row>
      <xdr:rowOff>85725</xdr:rowOff>
    </xdr:from>
    <xdr:ext cx="2771775" cy="3143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Target VS Production - FTM</a:t>
          </a:r>
          <a:endParaRPr sz="1100"/>
        </a:p>
      </xdr:txBody>
    </xdr:sp>
    <xdr:clientData fLocksWithSheet="0"/>
  </xdr:oneCellAnchor>
  <xdr:oneCellAnchor>
    <xdr:from>
      <xdr:col>8</xdr:col>
      <xdr:colOff>428625</xdr:colOff>
      <xdr:row>8</xdr:row>
      <xdr:rowOff>85725</xdr:rowOff>
    </xdr:from>
    <xdr:ext cx="1828800" cy="952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436363" y="3737138"/>
          <a:ext cx="1819275" cy="85725"/>
        </a:xfrm>
        <a:prstGeom prst="rect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428625</xdr:colOff>
      <xdr:row>9</xdr:row>
      <xdr:rowOff>19050</xdr:rowOff>
    </xdr:from>
    <xdr:ext cx="1219200" cy="857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745925" y="3741900"/>
          <a:ext cx="1200150" cy="76200"/>
        </a:xfrm>
        <a:prstGeom prst="rect">
          <a:avLst/>
        </a:prstGeom>
        <a:solidFill>
          <a:srgbClr val="A8D08C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419100</xdr:colOff>
      <xdr:row>10</xdr:row>
      <xdr:rowOff>47625</xdr:rowOff>
    </xdr:from>
    <xdr:ext cx="1362075" cy="1047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669725" y="3737138"/>
          <a:ext cx="1352550" cy="85725"/>
        </a:xfrm>
        <a:prstGeom prst="rect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419100</xdr:colOff>
      <xdr:row>10</xdr:row>
      <xdr:rowOff>161925</xdr:rowOff>
    </xdr:from>
    <xdr:ext cx="742950" cy="95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979288" y="3737138"/>
          <a:ext cx="733425" cy="85725"/>
        </a:xfrm>
        <a:prstGeom prst="rect">
          <a:avLst/>
        </a:prstGeom>
        <a:solidFill>
          <a:srgbClr val="A8D08C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447675</xdr:colOff>
      <xdr:row>12</xdr:row>
      <xdr:rowOff>0</xdr:rowOff>
    </xdr:from>
    <xdr:ext cx="1057275" cy="857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822125" y="3741900"/>
          <a:ext cx="1047750" cy="76200"/>
        </a:xfrm>
        <a:prstGeom prst="rect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447675</xdr:colOff>
      <xdr:row>12</xdr:row>
      <xdr:rowOff>114300</xdr:rowOff>
    </xdr:from>
    <xdr:ext cx="704850" cy="857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998338" y="3741900"/>
          <a:ext cx="695325" cy="76200"/>
        </a:xfrm>
        <a:prstGeom prst="rect">
          <a:avLst/>
        </a:prstGeom>
        <a:solidFill>
          <a:srgbClr val="A8D08C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447675</xdr:colOff>
      <xdr:row>13</xdr:row>
      <xdr:rowOff>152400</xdr:rowOff>
    </xdr:from>
    <xdr:ext cx="1676400" cy="1047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512563" y="3732375"/>
          <a:ext cx="1666875" cy="95250"/>
        </a:xfrm>
        <a:prstGeom prst="rect">
          <a:avLst/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447675</xdr:colOff>
      <xdr:row>14</xdr:row>
      <xdr:rowOff>76200</xdr:rowOff>
    </xdr:from>
    <xdr:ext cx="1114425" cy="952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793550" y="3741900"/>
          <a:ext cx="1104900" cy="76200"/>
        </a:xfrm>
        <a:prstGeom prst="rect">
          <a:avLst/>
        </a:prstGeom>
        <a:solidFill>
          <a:srgbClr val="A8D08C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142875</xdr:colOff>
      <xdr:row>1</xdr:row>
      <xdr:rowOff>76200</xdr:rowOff>
    </xdr:from>
    <xdr:ext cx="1209675" cy="3048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745925" y="3637125"/>
          <a:ext cx="1200150" cy="28575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Capacity</a:t>
          </a:r>
          <a:endParaRPr sz="1100"/>
        </a:p>
      </xdr:txBody>
    </xdr:sp>
    <xdr:clientData fLocksWithSheet="0"/>
  </xdr:oneCellAnchor>
  <xdr:oneCellAnchor>
    <xdr:from>
      <xdr:col>4</xdr:col>
      <xdr:colOff>304800</xdr:colOff>
      <xdr:row>1</xdr:row>
      <xdr:rowOff>76200</xdr:rowOff>
    </xdr:from>
    <xdr:ext cx="1209675" cy="3048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745925" y="3637125"/>
          <a:ext cx="1200150" cy="28575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16,200 m3</a:t>
          </a:r>
          <a:endParaRPr sz="1400"/>
        </a:p>
      </xdr:txBody>
    </xdr:sp>
    <xdr:clientData fLocksWithSheet="0"/>
  </xdr:oneCellAnchor>
  <xdr:oneCellAnchor>
    <xdr:from>
      <xdr:col>6</xdr:col>
      <xdr:colOff>476250</xdr:colOff>
      <xdr:row>1</xdr:row>
      <xdr:rowOff>76200</xdr:rowOff>
    </xdr:from>
    <xdr:ext cx="1209675" cy="3048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4745925" y="3637125"/>
          <a:ext cx="1200150" cy="28575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Production Qty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1</xdr:row>
      <xdr:rowOff>66675</xdr:rowOff>
    </xdr:from>
    <xdr:ext cx="1209675" cy="3048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745925" y="3637125"/>
          <a:ext cx="1200150" cy="28575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6,700 m3</a:t>
          </a:r>
          <a:endParaRPr sz="1400"/>
        </a:p>
      </xdr:txBody>
    </xdr:sp>
    <xdr:clientData fLocksWithSheet="0"/>
  </xdr:oneCellAnchor>
  <xdr:oneCellAnchor>
    <xdr:from>
      <xdr:col>11</xdr:col>
      <xdr:colOff>228600</xdr:colOff>
      <xdr:row>1</xdr:row>
      <xdr:rowOff>47625</xdr:rowOff>
    </xdr:from>
    <xdr:ext cx="1209675" cy="2952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745925" y="3637125"/>
          <a:ext cx="1200150" cy="28575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Wastage</a:t>
          </a:r>
          <a:endParaRPr sz="1400"/>
        </a:p>
      </xdr:txBody>
    </xdr:sp>
    <xdr:clientData fLocksWithSheet="0"/>
  </xdr:oneCellAnchor>
  <xdr:oneCellAnchor>
    <xdr:from>
      <xdr:col>13</xdr:col>
      <xdr:colOff>428625</xdr:colOff>
      <xdr:row>1</xdr:row>
      <xdr:rowOff>47625</xdr:rowOff>
    </xdr:from>
    <xdr:ext cx="1209675" cy="2952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4745925" y="3637125"/>
          <a:ext cx="1200150" cy="28575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200 m3</a:t>
          </a:r>
          <a:endParaRPr sz="1100"/>
        </a:p>
      </xdr:txBody>
    </xdr:sp>
    <xdr:clientData fLocksWithSheet="0"/>
  </xdr:oneCellAnchor>
  <xdr:oneCellAnchor>
    <xdr:from>
      <xdr:col>2</xdr:col>
      <xdr:colOff>85725</xdr:colOff>
      <xdr:row>20</xdr:row>
      <xdr:rowOff>104775</xdr:rowOff>
    </xdr:from>
    <xdr:ext cx="2924175" cy="20288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893438" y="2770350"/>
          <a:ext cx="2905125" cy="2019300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</xdr:col>
      <xdr:colOff>190500</xdr:colOff>
      <xdr:row>18</xdr:row>
      <xdr:rowOff>114300</xdr:rowOff>
    </xdr:from>
    <xdr:ext cx="2771775" cy="3143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FTM - Daywise Production</a:t>
          </a:r>
          <a:endParaRPr sz="1400"/>
        </a:p>
      </xdr:txBody>
    </xdr:sp>
    <xdr:clientData fLocksWithSheet="0"/>
  </xdr:oneCellAnchor>
  <xdr:oneCellAnchor>
    <xdr:from>
      <xdr:col>7</xdr:col>
      <xdr:colOff>409575</xdr:colOff>
      <xdr:row>20</xdr:row>
      <xdr:rowOff>104775</xdr:rowOff>
    </xdr:from>
    <xdr:ext cx="2924175" cy="2028825"/>
    <xdr:sp macro="" textlink="">
      <xdr:nvSpPr>
        <xdr:cNvPr id="2" name="Shape 3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93438" y="2770350"/>
          <a:ext cx="2905125" cy="2019300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504825</xdr:colOff>
      <xdr:row>18</xdr:row>
      <xdr:rowOff>114300</xdr:rowOff>
    </xdr:from>
    <xdr:ext cx="2771775" cy="3143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Monthwise Production</a:t>
          </a:r>
          <a:endParaRPr sz="1400"/>
        </a:p>
      </xdr:txBody>
    </xdr:sp>
    <xdr:clientData fLocksWithSheet="0"/>
  </xdr:oneCellAnchor>
  <xdr:oneCellAnchor>
    <xdr:from>
      <xdr:col>13</xdr:col>
      <xdr:colOff>133350</xdr:colOff>
      <xdr:row>20</xdr:row>
      <xdr:rowOff>114300</xdr:rowOff>
    </xdr:from>
    <xdr:ext cx="2924175" cy="20288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893438" y="2770350"/>
          <a:ext cx="2905125" cy="2019300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13</xdr:col>
      <xdr:colOff>228600</xdr:colOff>
      <xdr:row>18</xdr:row>
      <xdr:rowOff>123825</xdr:rowOff>
    </xdr:from>
    <xdr:ext cx="2771775" cy="3143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FTM Grade Wise Production</a:t>
          </a:r>
          <a:endParaRPr sz="1100"/>
        </a:p>
      </xdr:txBody>
    </xdr:sp>
    <xdr:clientData fLocksWithSheet="0"/>
  </xdr:oneCellAnchor>
  <xdr:oneCellAnchor>
    <xdr:from>
      <xdr:col>2</xdr:col>
      <xdr:colOff>219075</xdr:colOff>
      <xdr:row>33</xdr:row>
      <xdr:rowOff>0</xdr:rowOff>
    </xdr:from>
    <xdr:ext cx="2771775" cy="3143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969638" y="3627600"/>
          <a:ext cx="2752725" cy="304800"/>
        </a:xfrm>
        <a:prstGeom prst="round2DiagRect">
          <a:avLst>
            <a:gd name="adj1" fmla="val 16667"/>
            <a:gd name="adj2" fmla="val 0"/>
          </a:avLst>
        </a:prstGeom>
        <a:solidFill>
          <a:srgbClr val="2F5496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Sectionwise Production - FTM</a:t>
          </a:r>
          <a:endParaRPr sz="1100"/>
        </a:p>
      </xdr:txBody>
    </xdr:sp>
    <xdr:clientData fLocksWithSheet="0"/>
  </xdr:oneCellAnchor>
  <xdr:oneCellAnchor>
    <xdr:from>
      <xdr:col>2</xdr:col>
      <xdr:colOff>104775</xdr:colOff>
      <xdr:row>34</xdr:row>
      <xdr:rowOff>171450</xdr:rowOff>
    </xdr:from>
    <xdr:ext cx="3000375" cy="21050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850575" y="2737013"/>
          <a:ext cx="2990850" cy="2085975"/>
        </a:xfrm>
        <a:prstGeom prst="roundRect">
          <a:avLst>
            <a:gd name="adj" fmla="val 16667"/>
          </a:avLst>
        </a:prstGeom>
        <a:solidFill>
          <a:srgbClr val="FBE4D4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1000"/>
  <sheetViews>
    <sheetView workbookViewId="0">
      <selection activeCell="D14" sqref="B14:D14"/>
    </sheetView>
  </sheetViews>
  <sheetFormatPr defaultColWidth="14.44140625" defaultRowHeight="15" customHeight="1"/>
  <cols>
    <col min="1" max="1" width="8.6640625" customWidth="1"/>
    <col min="2" max="2" width="10.44140625" customWidth="1"/>
    <col min="3" max="3" width="21.5546875" customWidth="1"/>
    <col min="4" max="6" width="8.6640625" customWidth="1"/>
    <col min="7" max="8" width="13.88671875" customWidth="1"/>
    <col min="9" max="10" width="8.6640625" customWidth="1"/>
    <col min="11" max="11" width="11.6640625" customWidth="1"/>
    <col min="12" max="12" width="12.33203125" customWidth="1"/>
    <col min="13" max="13" width="15.88671875" customWidth="1"/>
    <col min="14" max="26" width="8.6640625" customWidth="1"/>
  </cols>
  <sheetData>
    <row r="1" spans="2:13" ht="14.25" customHeight="1"/>
    <row r="2" spans="2:13" ht="14.25" customHeight="1">
      <c r="K2" s="1" t="s">
        <v>0</v>
      </c>
    </row>
    <row r="3" spans="2:13" ht="14.2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</row>
    <row r="4" spans="2:13" ht="14.25" customHeight="1">
      <c r="B4" s="4">
        <f ca="1">'Input 1'!D4</f>
        <v>46157</v>
      </c>
      <c r="C4" s="5" t="str">
        <f>'Input 1'!D28</f>
        <v>MVDP/GIC/Per/Pier/001</v>
      </c>
      <c r="D4" s="5" t="str">
        <f>'Input 1'!D5</f>
        <v>Gorai IC</v>
      </c>
      <c r="E4" s="5" t="str">
        <f>'Input 1'!D25</f>
        <v>Mr. A</v>
      </c>
      <c r="F4" s="5" t="str">
        <f>'Input 1'!D26</f>
        <v>Mr. B</v>
      </c>
      <c r="G4" s="5" t="str">
        <f>'Input 1'!D7</f>
        <v>I Girder</v>
      </c>
      <c r="H4" s="5" t="str">
        <f>'Input 1'!D8</f>
        <v>VGP24</v>
      </c>
      <c r="I4" s="5" t="str">
        <f>'Input 1'!D10</f>
        <v>M-45</v>
      </c>
      <c r="J4" s="6">
        <f>'Input 1'!D19</f>
        <v>10.6</v>
      </c>
      <c r="K4" s="7">
        <f>'Input 1'!D23</f>
        <v>0.45833333333333331</v>
      </c>
      <c r="L4" s="5" t="str">
        <f>'Input 1'!D24</f>
        <v>Boom placer</v>
      </c>
      <c r="M4" s="1" t="s">
        <v>13</v>
      </c>
    </row>
    <row r="5" spans="2:13" ht="14.2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</row>
    <row r="6" spans="2:13" ht="14.25" customHeight="1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</row>
    <row r="7" spans="2:13" ht="14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</row>
    <row r="8" spans="2:13" ht="14.2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</row>
    <row r="9" spans="2:13" ht="14.25" customHeight="1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</row>
    <row r="10" spans="2:13" ht="14.2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</row>
    <row r="11" spans="2:13" ht="14.25" customHeight="1">
      <c r="B11" s="8" t="s">
        <v>14</v>
      </c>
      <c r="C11" s="8"/>
      <c r="D11" s="8"/>
      <c r="E11" s="8"/>
      <c r="F11" s="8"/>
      <c r="G11" s="8"/>
      <c r="H11" s="8"/>
      <c r="I11" s="8"/>
      <c r="J11" s="9">
        <f>SUM(J4:J10)</f>
        <v>10.6</v>
      </c>
      <c r="K11" s="8"/>
      <c r="L11" s="8"/>
      <c r="M11" s="1"/>
    </row>
    <row r="12" spans="2:13" ht="14.25" customHeight="1"/>
    <row r="13" spans="2:13" ht="14.25" customHeight="1"/>
    <row r="14" spans="2:13" ht="14.25" customHeight="1">
      <c r="B14" s="10" t="s">
        <v>15</v>
      </c>
      <c r="C14" s="11" t="s">
        <v>13</v>
      </c>
      <c r="D14" s="12" t="s">
        <v>16</v>
      </c>
      <c r="K14" s="12" t="s">
        <v>17</v>
      </c>
    </row>
    <row r="15" spans="2:13" ht="14.25" customHeight="1"/>
    <row r="16" spans="2:13" ht="14.25" customHeight="1"/>
    <row r="17" spans="2:2" ht="14.25" customHeight="1">
      <c r="B17" s="1" t="s">
        <v>18</v>
      </c>
    </row>
    <row r="18" spans="2:2" ht="14.25" customHeight="1">
      <c r="B18" s="1" t="s">
        <v>19</v>
      </c>
    </row>
    <row r="19" spans="2:2" ht="14.25" customHeight="1">
      <c r="B19" s="1" t="s">
        <v>20</v>
      </c>
    </row>
    <row r="20" spans="2:2" ht="14.25" customHeight="1"/>
    <row r="21" spans="2:2" ht="14.25" customHeight="1">
      <c r="B21" s="1" t="s">
        <v>21</v>
      </c>
    </row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'Data Validation'!$T$5:$T$7</xm:f>
          </x14:formula1>
          <xm:sqref>M4:M11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showGridLines="0" topLeftCell="A7" workbookViewId="0">
      <selection activeCell="J17" sqref="J17"/>
    </sheetView>
  </sheetViews>
  <sheetFormatPr defaultColWidth="14.44140625" defaultRowHeight="15" customHeight="1"/>
  <cols>
    <col min="1" max="1" width="8.6640625" customWidth="1"/>
    <col min="2" max="2" width="12.109375" customWidth="1"/>
    <col min="3" max="5" width="8.6640625" customWidth="1"/>
    <col min="6" max="6" width="12.6640625" customWidth="1"/>
    <col min="7" max="7" width="8.6640625" customWidth="1"/>
    <col min="8" max="8" width="15.5546875" customWidth="1"/>
    <col min="9" max="9" width="8.6640625" customWidth="1"/>
    <col min="10" max="10" width="17.88671875" customWidth="1"/>
    <col min="11" max="11" width="8.6640625" customWidth="1"/>
    <col min="12" max="12" width="15.6640625" customWidth="1"/>
    <col min="13" max="26" width="8.6640625" customWidth="1"/>
  </cols>
  <sheetData>
    <row r="1" spans="1:26" ht="14.25" customHeight="1"/>
    <row r="2" spans="1:26" ht="14.25" customHeight="1"/>
    <row r="3" spans="1:26" ht="14.25" customHeight="1"/>
    <row r="4" spans="1:26" ht="14.25" customHeight="1"/>
    <row r="5" spans="1:26" ht="14.25" customHeight="1">
      <c r="C5" s="1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>
      <c r="B12" s="126" t="s">
        <v>23</v>
      </c>
      <c r="C12" s="127"/>
      <c r="D12" s="128" t="s">
        <v>24</v>
      </c>
      <c r="E12" s="127"/>
      <c r="F12" s="126" t="s">
        <v>25</v>
      </c>
      <c r="G12" s="127"/>
      <c r="H12" s="126" t="s">
        <v>26</v>
      </c>
      <c r="I12" s="127"/>
      <c r="J12" s="126" t="s">
        <v>26</v>
      </c>
      <c r="K12" s="127"/>
      <c r="L12" s="126" t="s">
        <v>27</v>
      </c>
      <c r="M12" s="127"/>
    </row>
    <row r="13" spans="1:26" ht="14.25" customHeight="1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1:26" ht="28.8">
      <c r="A14" s="14"/>
      <c r="B14" s="129" t="s">
        <v>28</v>
      </c>
      <c r="C14" s="130"/>
      <c r="D14" s="130" t="s">
        <v>29</v>
      </c>
      <c r="E14" s="130"/>
      <c r="F14" s="130" t="s">
        <v>30</v>
      </c>
      <c r="G14" s="130"/>
      <c r="H14" s="130" t="s">
        <v>31</v>
      </c>
      <c r="I14" s="130"/>
      <c r="J14" s="130" t="s">
        <v>32</v>
      </c>
      <c r="K14" s="130"/>
      <c r="L14" s="131" t="s">
        <v>33</v>
      </c>
      <c r="M14" s="130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15.2">
      <c r="A15" s="14"/>
      <c r="B15" s="130"/>
      <c r="C15" s="130"/>
      <c r="D15" s="130"/>
      <c r="E15" s="130"/>
      <c r="F15" s="130" t="s">
        <v>34</v>
      </c>
      <c r="G15" s="130"/>
      <c r="H15" s="130" t="s">
        <v>35</v>
      </c>
      <c r="I15" s="130"/>
      <c r="J15" s="130" t="s">
        <v>36</v>
      </c>
      <c r="K15" s="130"/>
      <c r="L15" s="130" t="s">
        <v>37</v>
      </c>
      <c r="M15" s="130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8.8">
      <c r="A16" s="14"/>
      <c r="B16" s="130"/>
      <c r="C16" s="130"/>
      <c r="D16" s="130"/>
      <c r="E16" s="130"/>
      <c r="F16" s="130"/>
      <c r="G16" s="130"/>
      <c r="H16" s="130"/>
      <c r="I16" s="130"/>
      <c r="J16" s="130" t="s">
        <v>38</v>
      </c>
      <c r="K16" s="130"/>
      <c r="L16" s="130"/>
      <c r="M16" s="130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57.6">
      <c r="A17" s="14"/>
      <c r="B17" s="130"/>
      <c r="C17" s="130"/>
      <c r="D17" s="130"/>
      <c r="E17" s="130"/>
      <c r="F17" s="130"/>
      <c r="G17" s="130"/>
      <c r="H17" s="130"/>
      <c r="I17" s="130"/>
      <c r="J17" s="130" t="s">
        <v>3351</v>
      </c>
      <c r="K17" s="130"/>
      <c r="L17" s="130"/>
      <c r="M17" s="130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14"/>
      <c r="B18" s="130"/>
      <c r="C18" s="130"/>
      <c r="D18" s="130"/>
      <c r="E18" s="130"/>
      <c r="F18" s="130"/>
      <c r="G18" s="130"/>
      <c r="H18" s="130"/>
      <c r="I18" s="130"/>
      <c r="J18" s="130" t="s">
        <v>39</v>
      </c>
      <c r="K18" s="130"/>
      <c r="L18" s="130"/>
      <c r="M18" s="130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/>
    <row r="20" spans="1:26" ht="14.25" customHeight="1"/>
    <row r="21" spans="1:26" ht="14.25" customHeight="1"/>
    <row r="22" spans="1:26" ht="14.25" customHeight="1"/>
    <row r="23" spans="1:26" ht="14.25" customHeight="1"/>
    <row r="24" spans="1:26" ht="14.25" customHeight="1"/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1000"/>
  <sheetViews>
    <sheetView showGridLines="0" zoomScale="97" workbookViewId="0">
      <selection activeCell="U10" sqref="U10"/>
    </sheetView>
  </sheetViews>
  <sheetFormatPr defaultColWidth="14.44140625" defaultRowHeight="15" customHeight="1"/>
  <cols>
    <col min="1" max="23" width="8.6640625" customWidth="1"/>
    <col min="24" max="24" width="8.109375" customWidth="1"/>
    <col min="25" max="25" width="7" customWidth="1"/>
    <col min="26" max="26" width="10.33203125" customWidth="1"/>
    <col min="27" max="27" width="9.88671875" customWidth="1"/>
    <col min="28" max="28" width="8.109375" customWidth="1"/>
  </cols>
  <sheetData>
    <row r="1" spans="1:28" ht="14.25" customHeight="1"/>
    <row r="2" spans="1:28" ht="14.25" customHeight="1"/>
    <row r="3" spans="1:28" ht="14.25" customHeight="1"/>
    <row r="4" spans="1:28" ht="14.25" customHeight="1"/>
    <row r="5" spans="1:28" ht="14.25" customHeight="1"/>
    <row r="6" spans="1:28" ht="14.25" customHeight="1">
      <c r="A6" s="1">
        <f>60*2</f>
        <v>120</v>
      </c>
      <c r="X6" s="1" t="s">
        <v>3</v>
      </c>
      <c r="Y6" s="1" t="s">
        <v>40</v>
      </c>
      <c r="Z6" s="1" t="s">
        <v>41</v>
      </c>
      <c r="AA6" s="1" t="s">
        <v>42</v>
      </c>
      <c r="AB6" s="1" t="s">
        <v>43</v>
      </c>
    </row>
    <row r="7" spans="1:28" ht="14.25" customHeight="1">
      <c r="A7" s="1">
        <f>A6</f>
        <v>120</v>
      </c>
    </row>
    <row r="8" spans="1:28" ht="14.25" customHeight="1">
      <c r="A8" s="1">
        <f>A7*90%</f>
        <v>108</v>
      </c>
    </row>
    <row r="9" spans="1:28" ht="14.25" customHeight="1">
      <c r="A9" s="1">
        <f>10</f>
        <v>10</v>
      </c>
    </row>
    <row r="10" spans="1:28" ht="14.25" customHeight="1">
      <c r="A10" s="1">
        <f>15</f>
        <v>15</v>
      </c>
      <c r="U10" s="1">
        <f>250000/72</f>
        <v>3472.2222222222222</v>
      </c>
    </row>
    <row r="11" spans="1:28" ht="14.25" customHeight="1">
      <c r="A11" s="1">
        <f>A8*A9*A10</f>
        <v>16200</v>
      </c>
    </row>
    <row r="12" spans="1:28" ht="14.25" customHeight="1"/>
    <row r="13" spans="1:28" ht="14.25" customHeight="1"/>
    <row r="14" spans="1:28" ht="14.25" customHeight="1"/>
    <row r="15" spans="1:28" ht="14.25" customHeight="1"/>
    <row r="16" spans="1:2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1:AG1000"/>
  <sheetViews>
    <sheetView workbookViewId="0">
      <selection activeCell="O4" sqref="O4"/>
    </sheetView>
  </sheetViews>
  <sheetFormatPr defaultColWidth="14.44140625" defaultRowHeight="15" customHeight="1"/>
  <cols>
    <col min="1" max="2" width="8.6640625" customWidth="1"/>
    <col min="3" max="3" width="10.6640625" customWidth="1"/>
    <col min="4" max="4" width="21.6640625" customWidth="1"/>
    <col min="5" max="5" width="8.33203125" customWidth="1"/>
    <col min="6" max="6" width="8.88671875" customWidth="1"/>
    <col min="7" max="7" width="8.33203125" customWidth="1"/>
    <col min="8" max="8" width="14.33203125" customWidth="1"/>
    <col min="9" max="9" width="11" customWidth="1"/>
    <col min="10" max="10" width="6.109375" customWidth="1"/>
    <col min="11" max="12" width="10.6640625" customWidth="1"/>
    <col min="13" max="13" width="12.33203125" customWidth="1"/>
    <col min="14" max="14" width="22.44140625" customWidth="1"/>
    <col min="15" max="15" width="15.33203125" customWidth="1"/>
    <col min="16" max="16" width="14.88671875" customWidth="1"/>
    <col min="17" max="17" width="12.44140625" customWidth="1"/>
    <col min="18" max="18" width="18.33203125" customWidth="1"/>
    <col min="19" max="19" width="12.6640625" customWidth="1"/>
    <col min="20" max="20" width="14.6640625" customWidth="1"/>
    <col min="21" max="21" width="12.5546875" customWidth="1"/>
    <col min="22" max="22" width="15.33203125" customWidth="1"/>
    <col min="23" max="23" width="13.33203125" customWidth="1"/>
    <col min="24" max="33" width="8.6640625" customWidth="1"/>
  </cols>
  <sheetData>
    <row r="1" spans="3:33" ht="14.25" customHeight="1">
      <c r="Y1" s="1" t="s">
        <v>44</v>
      </c>
    </row>
    <row r="2" spans="3:33" ht="14.25" customHeight="1">
      <c r="C2" s="133" t="s">
        <v>45</v>
      </c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5"/>
      <c r="O2" s="136" t="s">
        <v>46</v>
      </c>
      <c r="P2" s="137"/>
      <c r="Q2" s="137"/>
      <c r="R2" s="137"/>
      <c r="S2" s="137"/>
      <c r="T2" s="137"/>
      <c r="U2" s="137"/>
      <c r="V2" s="137"/>
      <c r="W2" s="138"/>
      <c r="Y2" s="133" t="s">
        <v>46</v>
      </c>
      <c r="Z2" s="134"/>
      <c r="AA2" s="134"/>
      <c r="AB2" s="134"/>
      <c r="AC2" s="134"/>
      <c r="AD2" s="134"/>
      <c r="AE2" s="134"/>
      <c r="AF2" s="134"/>
      <c r="AG2" s="135"/>
    </row>
    <row r="3" spans="3:33" ht="14.25" customHeight="1">
      <c r="C3" s="5" t="s">
        <v>42</v>
      </c>
      <c r="D3" s="5"/>
      <c r="E3" s="5"/>
      <c r="F3" s="5"/>
      <c r="G3" s="5"/>
      <c r="H3" s="5"/>
      <c r="I3" s="5"/>
      <c r="J3" s="5"/>
      <c r="K3" s="5"/>
      <c r="L3" s="5"/>
      <c r="M3" s="5"/>
      <c r="N3" s="16"/>
      <c r="O3" s="17"/>
      <c r="P3" s="5"/>
      <c r="Q3" s="5"/>
      <c r="R3" s="5"/>
      <c r="S3" s="5"/>
      <c r="T3" s="5"/>
      <c r="U3" s="5"/>
      <c r="V3" s="5"/>
      <c r="W3" s="18"/>
      <c r="Y3" s="5"/>
      <c r="Z3" s="5"/>
      <c r="AA3" s="5"/>
      <c r="AB3" s="5"/>
      <c r="AC3" s="5"/>
      <c r="AD3" s="5"/>
      <c r="AE3" s="5"/>
      <c r="AF3" s="5"/>
      <c r="AG3" s="5"/>
    </row>
    <row r="4" spans="3:33" ht="14.25" customHeight="1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15" t="s">
        <v>47</v>
      </c>
      <c r="O4" s="19" t="s">
        <v>48</v>
      </c>
      <c r="P4" s="2" t="s">
        <v>49</v>
      </c>
      <c r="Q4" s="2" t="s">
        <v>8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54</v>
      </c>
      <c r="W4" s="20" t="s">
        <v>55</v>
      </c>
    </row>
    <row r="5" spans="3:33" ht="14.25" customHeight="1">
      <c r="C5" s="4">
        <f ca="1">'Summary Sheet'!B4</f>
        <v>46157</v>
      </c>
      <c r="D5" s="4" t="str">
        <f>'Summary Sheet'!C4</f>
        <v>MVDP/GIC/Per/Pier/001</v>
      </c>
      <c r="E5" s="4" t="str">
        <f>'Summary Sheet'!D4</f>
        <v>Gorai IC</v>
      </c>
      <c r="F5" s="4" t="str">
        <f>'Summary Sheet'!E4</f>
        <v>Mr. A</v>
      </c>
      <c r="G5" s="4" t="str">
        <f>'Summary Sheet'!F4</f>
        <v>Mr. B</v>
      </c>
      <c r="H5" s="4" t="str">
        <f>'Summary Sheet'!G4</f>
        <v>I Girder</v>
      </c>
      <c r="I5" s="4" t="str">
        <f>'Summary Sheet'!H4</f>
        <v>VGP24</v>
      </c>
      <c r="J5" s="4" t="str">
        <f>'Summary Sheet'!I4</f>
        <v>M-45</v>
      </c>
      <c r="K5" s="21">
        <f>'Summary Sheet'!J4</f>
        <v>10.6</v>
      </c>
      <c r="L5" s="7">
        <f>'Summary Sheet'!K4</f>
        <v>0.45833333333333331</v>
      </c>
      <c r="M5" s="4" t="str">
        <f>'Summary Sheet'!L4</f>
        <v>Boom placer</v>
      </c>
      <c r="N5" s="22" t="str">
        <f>'Summary Sheet'!M4</f>
        <v>Send Back</v>
      </c>
      <c r="O5" s="17"/>
      <c r="P5" s="5"/>
      <c r="Q5" s="5"/>
      <c r="R5" s="5"/>
      <c r="S5" s="5"/>
      <c r="T5" s="5"/>
      <c r="U5" s="2" t="s">
        <v>10</v>
      </c>
      <c r="V5" s="2" t="s">
        <v>10</v>
      </c>
      <c r="W5" s="20" t="s">
        <v>10</v>
      </c>
    </row>
    <row r="6" spans="3:33" ht="14.25" customHeight="1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6"/>
      <c r="O6" s="17"/>
      <c r="P6" s="5"/>
      <c r="Q6" s="5"/>
      <c r="R6" s="5"/>
      <c r="S6" s="5"/>
      <c r="T6" s="5"/>
      <c r="U6" s="5"/>
      <c r="V6" s="5"/>
      <c r="W6" s="18"/>
    </row>
    <row r="7" spans="3:33" ht="14.25" customHeight="1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6"/>
      <c r="O7" s="17"/>
      <c r="P7" s="5"/>
      <c r="Q7" s="5"/>
      <c r="R7" s="5"/>
      <c r="S7" s="5"/>
      <c r="T7" s="5"/>
      <c r="U7" s="5"/>
      <c r="V7" s="5"/>
      <c r="W7" s="18"/>
    </row>
    <row r="8" spans="3:33" ht="14.25" customHeight="1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6"/>
      <c r="O8" s="17"/>
      <c r="P8" s="5"/>
      <c r="Q8" s="5"/>
      <c r="R8" s="5"/>
      <c r="S8" s="5"/>
      <c r="T8" s="5"/>
      <c r="U8" s="5"/>
      <c r="V8" s="5"/>
      <c r="W8" s="18"/>
    </row>
    <row r="9" spans="3:33" ht="14.25" customHeight="1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6"/>
      <c r="O9" s="17"/>
      <c r="P9" s="5"/>
      <c r="Q9" s="5"/>
      <c r="R9" s="5"/>
      <c r="S9" s="5"/>
      <c r="T9" s="5"/>
      <c r="U9" s="5"/>
      <c r="V9" s="5"/>
      <c r="W9" s="18"/>
    </row>
    <row r="10" spans="3:33" ht="14.25" customHeight="1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6"/>
      <c r="O10" s="17"/>
      <c r="P10" s="5"/>
      <c r="Q10" s="5"/>
      <c r="R10" s="5"/>
      <c r="S10" s="5"/>
      <c r="T10" s="5"/>
      <c r="U10" s="5"/>
      <c r="V10" s="5"/>
      <c r="W10" s="18"/>
    </row>
    <row r="11" spans="3:33" ht="14.25" customHeight="1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6"/>
      <c r="O11" s="17"/>
      <c r="P11" s="5"/>
      <c r="Q11" s="5"/>
      <c r="R11" s="5"/>
      <c r="S11" s="5"/>
      <c r="T11" s="5"/>
      <c r="U11" s="5"/>
      <c r="V11" s="5"/>
      <c r="W11" s="18"/>
    </row>
    <row r="12" spans="3:33" ht="14.25" customHeight="1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6"/>
      <c r="O12" s="17"/>
      <c r="P12" s="5"/>
      <c r="Q12" s="5"/>
      <c r="R12" s="5"/>
      <c r="S12" s="5"/>
      <c r="T12" s="5"/>
      <c r="U12" s="5"/>
      <c r="V12" s="5"/>
      <c r="W12" s="18"/>
    </row>
    <row r="13" spans="3:33" ht="14.25" customHeight="1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16"/>
      <c r="O13" s="17"/>
      <c r="P13" s="5"/>
      <c r="Q13" s="5"/>
      <c r="R13" s="5"/>
      <c r="S13" s="5"/>
      <c r="T13" s="5"/>
      <c r="U13" s="5"/>
      <c r="V13" s="5"/>
      <c r="W13" s="18"/>
    </row>
    <row r="14" spans="3:33" ht="14.25" customHeight="1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6"/>
      <c r="O14" s="23"/>
      <c r="P14" s="24"/>
      <c r="Q14" s="24"/>
      <c r="R14" s="24"/>
      <c r="S14" s="24"/>
      <c r="T14" s="24"/>
      <c r="U14" s="24"/>
      <c r="V14" s="24"/>
      <c r="W14" s="25"/>
    </row>
    <row r="15" spans="3:33" ht="14.25" customHeight="1"/>
    <row r="16" spans="3:3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2:N2"/>
    <mergeCell ref="O2:W2"/>
    <mergeCell ref="Y2:A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1000"/>
  <sheetViews>
    <sheetView tabSelected="1" topLeftCell="A3" workbookViewId="0">
      <selection activeCell="D15" sqref="D15"/>
    </sheetView>
  </sheetViews>
  <sheetFormatPr defaultColWidth="14.44140625" defaultRowHeight="15" customHeight="1"/>
  <cols>
    <col min="1" max="2" width="8.6640625" customWidth="1"/>
    <col min="3" max="3" width="32" customWidth="1"/>
    <col min="4" max="4" width="28.44140625" customWidth="1"/>
    <col min="5" max="5" width="22.6640625" customWidth="1"/>
    <col min="6" max="6" width="7.6640625" customWidth="1"/>
    <col min="7" max="7" width="7.88671875" customWidth="1"/>
    <col min="8" max="8" width="7.6640625" customWidth="1"/>
    <col min="9" max="9" width="9.88671875" customWidth="1"/>
    <col min="10" max="10" width="8.6640625" customWidth="1"/>
    <col min="11" max="11" width="11.33203125" customWidth="1"/>
    <col min="12" max="12" width="10" customWidth="1"/>
    <col min="13" max="13" width="19.44140625" customWidth="1"/>
    <col min="14" max="14" width="11.33203125" customWidth="1"/>
    <col min="15" max="15" width="15.44140625" customWidth="1"/>
    <col min="16" max="26" width="8.6640625" customWidth="1"/>
  </cols>
  <sheetData>
    <row r="1" spans="1:26" ht="14.25" customHeight="1">
      <c r="D1" s="26"/>
      <c r="E1" s="26"/>
    </row>
    <row r="2" spans="1:26" ht="14.25" customHeight="1">
      <c r="B2" s="27" t="s">
        <v>56</v>
      </c>
      <c r="D2" s="13" t="s">
        <v>57</v>
      </c>
      <c r="E2" s="26"/>
    </row>
    <row r="3" spans="1:26" ht="14.25" customHeight="1">
      <c r="A3" s="26"/>
      <c r="B3" s="28">
        <v>1</v>
      </c>
      <c r="C3" s="29" t="s">
        <v>58</v>
      </c>
      <c r="D3" s="30" t="s">
        <v>59</v>
      </c>
      <c r="E3" s="1" t="s">
        <v>60</v>
      </c>
      <c r="F3" s="26"/>
      <c r="G3" s="26"/>
      <c r="H3" s="26"/>
      <c r="I3" s="132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25" customHeight="1">
      <c r="A4" s="26"/>
      <c r="B4" s="28">
        <f t="shared" ref="B4:B12" si="0">B3+1</f>
        <v>2</v>
      </c>
      <c r="C4" s="29" t="s">
        <v>1</v>
      </c>
      <c r="D4" s="31">
        <f ca="1">TODAY()</f>
        <v>46157</v>
      </c>
      <c r="E4" s="1" t="s">
        <v>60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4.25" customHeight="1">
      <c r="B5" s="28">
        <f t="shared" si="0"/>
        <v>3</v>
      </c>
      <c r="C5" s="32" t="s">
        <v>3</v>
      </c>
      <c r="D5" s="26" t="s">
        <v>61</v>
      </c>
      <c r="E5" s="1" t="s">
        <v>60</v>
      </c>
    </row>
    <row r="6" spans="1:26" ht="14.25" customHeight="1">
      <c r="B6" s="28">
        <f t="shared" si="0"/>
        <v>4</v>
      </c>
      <c r="C6" s="32" t="s">
        <v>62</v>
      </c>
      <c r="D6" s="26" t="s">
        <v>63</v>
      </c>
      <c r="E6" s="1" t="s">
        <v>60</v>
      </c>
    </row>
    <row r="7" spans="1:26" ht="14.25" customHeight="1">
      <c r="B7" s="28">
        <f t="shared" si="0"/>
        <v>5</v>
      </c>
      <c r="C7" s="32" t="s">
        <v>6</v>
      </c>
      <c r="D7" s="26" t="s">
        <v>689</v>
      </c>
      <c r="E7" s="1" t="s">
        <v>60</v>
      </c>
      <c r="H7" s="33"/>
      <c r="I7" s="33"/>
      <c r="J7" s="33"/>
      <c r="K7" s="33" t="s">
        <v>3</v>
      </c>
      <c r="L7" s="1" t="s">
        <v>65</v>
      </c>
      <c r="M7" s="1" t="s">
        <v>66</v>
      </c>
      <c r="N7" s="33" t="s">
        <v>7</v>
      </c>
      <c r="O7" s="33" t="s">
        <v>67</v>
      </c>
    </row>
    <row r="8" spans="1:26" ht="14.25" customHeight="1">
      <c r="B8" s="28">
        <f t="shared" si="0"/>
        <v>6</v>
      </c>
      <c r="C8" s="32" t="s">
        <v>7</v>
      </c>
      <c r="D8" s="26" t="s">
        <v>68</v>
      </c>
      <c r="E8" s="1" t="s">
        <v>60</v>
      </c>
      <c r="F8" s="1" t="s">
        <v>69</v>
      </c>
      <c r="H8" s="33"/>
      <c r="I8" s="33"/>
      <c r="J8" s="33"/>
      <c r="K8" s="1" t="s">
        <v>61</v>
      </c>
      <c r="L8" s="1" t="s">
        <v>63</v>
      </c>
      <c r="M8" s="1" t="s">
        <v>70</v>
      </c>
      <c r="N8" s="1" t="s">
        <v>71</v>
      </c>
      <c r="O8" s="1" t="s">
        <v>72</v>
      </c>
    </row>
    <row r="9" spans="1:26" ht="14.25" customHeight="1">
      <c r="B9" s="28">
        <f t="shared" si="0"/>
        <v>7</v>
      </c>
      <c r="C9" s="32" t="s">
        <v>73</v>
      </c>
      <c r="D9" s="26" t="s">
        <v>74</v>
      </c>
      <c r="E9" s="1" t="s">
        <v>60</v>
      </c>
      <c r="H9" s="33"/>
      <c r="I9" s="33"/>
      <c r="J9" s="33"/>
      <c r="K9" s="1" t="s">
        <v>61</v>
      </c>
      <c r="L9" s="1" t="s">
        <v>63</v>
      </c>
      <c r="M9" s="1" t="s">
        <v>75</v>
      </c>
      <c r="N9" s="1" t="s">
        <v>71</v>
      </c>
    </row>
    <row r="10" spans="1:26" ht="14.25" customHeight="1">
      <c r="B10" s="28">
        <f t="shared" si="0"/>
        <v>8</v>
      </c>
      <c r="C10" s="34" t="s">
        <v>76</v>
      </c>
      <c r="D10" s="35" t="s">
        <v>77</v>
      </c>
      <c r="E10" s="1" t="s">
        <v>60</v>
      </c>
      <c r="F10" s="36"/>
      <c r="G10" s="36"/>
      <c r="H10" s="37"/>
      <c r="I10" s="33"/>
      <c r="J10" s="33"/>
      <c r="K10" s="1" t="s">
        <v>61</v>
      </c>
      <c r="L10" s="1" t="s">
        <v>63</v>
      </c>
      <c r="M10" s="1" t="s">
        <v>64</v>
      </c>
      <c r="N10" s="1" t="s">
        <v>71</v>
      </c>
      <c r="O10" s="1" t="s">
        <v>78</v>
      </c>
    </row>
    <row r="11" spans="1:26" ht="14.25" customHeight="1">
      <c r="B11" s="28">
        <f t="shared" si="0"/>
        <v>9</v>
      </c>
      <c r="C11" s="34" t="s">
        <v>79</v>
      </c>
      <c r="D11" s="35" t="s">
        <v>80</v>
      </c>
      <c r="E11" s="1" t="s">
        <v>60</v>
      </c>
      <c r="F11" s="35"/>
      <c r="G11" s="35"/>
      <c r="H11" s="26"/>
      <c r="I11" s="26"/>
      <c r="J11" s="26"/>
      <c r="K11" s="1" t="s">
        <v>61</v>
      </c>
      <c r="L11" s="1" t="s">
        <v>63</v>
      </c>
      <c r="M11" s="1" t="s">
        <v>81</v>
      </c>
      <c r="N11" s="1" t="s">
        <v>71</v>
      </c>
      <c r="O11" s="1" t="s">
        <v>82</v>
      </c>
    </row>
    <row r="12" spans="1:26" ht="14.25" customHeight="1">
      <c r="B12" s="28">
        <f t="shared" si="0"/>
        <v>10</v>
      </c>
      <c r="C12" s="34" t="s">
        <v>83</v>
      </c>
      <c r="D12" s="35"/>
      <c r="E12" s="1" t="s">
        <v>60</v>
      </c>
      <c r="F12" s="35"/>
      <c r="G12" s="35"/>
      <c r="H12" s="26"/>
      <c r="I12" s="26"/>
      <c r="J12" s="26"/>
      <c r="K12" s="1" t="s">
        <v>84</v>
      </c>
      <c r="L12" s="1" t="s">
        <v>63</v>
      </c>
      <c r="M12" s="1" t="s">
        <v>85</v>
      </c>
      <c r="N12" s="1" t="s">
        <v>86</v>
      </c>
      <c r="O12" s="1" t="s">
        <v>87</v>
      </c>
    </row>
    <row r="13" spans="1:26" ht="14.25" customHeight="1">
      <c r="B13" s="28">
        <f t="shared" ref="B13:B14" si="1">B12+0.1</f>
        <v>10.1</v>
      </c>
      <c r="C13" s="38" t="s">
        <v>88</v>
      </c>
      <c r="D13" s="39">
        <v>4</v>
      </c>
      <c r="E13" s="1" t="s">
        <v>60</v>
      </c>
      <c r="F13" s="35"/>
      <c r="G13" s="35"/>
      <c r="H13" s="26"/>
      <c r="I13" s="26"/>
      <c r="J13" s="26"/>
      <c r="K13" s="1" t="s">
        <v>61</v>
      </c>
      <c r="L13" s="1" t="s">
        <v>63</v>
      </c>
      <c r="M13" s="1" t="s">
        <v>89</v>
      </c>
      <c r="N13" s="1" t="s">
        <v>90</v>
      </c>
      <c r="O13" s="1" t="s">
        <v>91</v>
      </c>
    </row>
    <row r="14" spans="1:26" ht="14.25" customHeight="1">
      <c r="B14" s="28">
        <f t="shared" si="1"/>
        <v>10.199999999999999</v>
      </c>
      <c r="C14" s="38" t="s">
        <v>92</v>
      </c>
      <c r="D14" s="39">
        <v>1.5</v>
      </c>
      <c r="E14" s="1" t="s">
        <v>60</v>
      </c>
      <c r="F14" s="35" t="s">
        <v>93</v>
      </c>
      <c r="G14" s="35"/>
      <c r="H14" s="26"/>
      <c r="I14" s="26"/>
      <c r="J14" s="26"/>
      <c r="K14" s="40" t="s">
        <v>61</v>
      </c>
      <c r="L14" s="1" t="s">
        <v>63</v>
      </c>
      <c r="M14" s="1" t="s">
        <v>94</v>
      </c>
      <c r="N14" s="1" t="s">
        <v>95</v>
      </c>
    </row>
    <row r="15" spans="1:26" ht="14.25" customHeight="1">
      <c r="B15" s="28">
        <f>B12+1</f>
        <v>11</v>
      </c>
      <c r="C15" s="32" t="s">
        <v>96</v>
      </c>
      <c r="D15" s="41">
        <v>10</v>
      </c>
      <c r="E15" s="1" t="s">
        <v>60</v>
      </c>
      <c r="F15" s="36"/>
      <c r="G15" s="36"/>
      <c r="K15" s="1" t="s">
        <v>84</v>
      </c>
      <c r="L15" s="1" t="s">
        <v>63</v>
      </c>
      <c r="M15" s="1" t="s">
        <v>97</v>
      </c>
      <c r="N15" s="1" t="s">
        <v>98</v>
      </c>
      <c r="O15" s="1" t="s">
        <v>99</v>
      </c>
    </row>
    <row r="16" spans="1:26" ht="14.25" customHeight="1">
      <c r="B16" s="28">
        <f>B15+1</f>
        <v>12</v>
      </c>
      <c r="C16" s="34" t="s">
        <v>100</v>
      </c>
      <c r="D16" s="39"/>
      <c r="E16" s="1" t="s">
        <v>60</v>
      </c>
      <c r="F16" s="36"/>
      <c r="G16" s="36" t="s">
        <v>101</v>
      </c>
      <c r="K16" s="1" t="s">
        <v>61</v>
      </c>
      <c r="L16" s="1" t="s">
        <v>63</v>
      </c>
      <c r="M16" s="1" t="s">
        <v>102</v>
      </c>
      <c r="N16" s="1" t="s">
        <v>71</v>
      </c>
    </row>
    <row r="17" spans="2:15" ht="14.25" customHeight="1">
      <c r="B17" s="28">
        <f t="shared" ref="B17:B18" si="2">B16+0.1</f>
        <v>12.1</v>
      </c>
      <c r="C17" s="42" t="s">
        <v>88</v>
      </c>
      <c r="D17" s="43">
        <v>4.3</v>
      </c>
      <c r="E17" s="1" t="s">
        <v>60</v>
      </c>
      <c r="F17" s="36"/>
      <c r="G17" s="36" t="s">
        <v>103</v>
      </c>
      <c r="K17" s="1" t="s">
        <v>61</v>
      </c>
      <c r="L17" s="1" t="s">
        <v>63</v>
      </c>
      <c r="M17" s="1" t="s">
        <v>104</v>
      </c>
      <c r="N17" s="1" t="s">
        <v>71</v>
      </c>
    </row>
    <row r="18" spans="2:15" ht="14.25" customHeight="1">
      <c r="B18" s="28">
        <f t="shared" si="2"/>
        <v>12.2</v>
      </c>
      <c r="C18" s="42" t="s">
        <v>92</v>
      </c>
      <c r="D18" s="41">
        <v>1.5</v>
      </c>
      <c r="E18" s="1" t="s">
        <v>60</v>
      </c>
      <c r="K18" s="1" t="s">
        <v>105</v>
      </c>
      <c r="L18" s="1" t="s">
        <v>63</v>
      </c>
      <c r="M18" s="1" t="s">
        <v>106</v>
      </c>
      <c r="N18" s="1" t="s">
        <v>86</v>
      </c>
      <c r="O18" s="1" t="s">
        <v>107</v>
      </c>
    </row>
    <row r="19" spans="2:15" ht="14.25" customHeight="1">
      <c r="B19" s="28">
        <f>B15+1</f>
        <v>12</v>
      </c>
      <c r="C19" s="32" t="s">
        <v>108</v>
      </c>
      <c r="D19" s="41">
        <v>10.6</v>
      </c>
      <c r="E19" s="1" t="s">
        <v>60</v>
      </c>
      <c r="F19" s="36"/>
      <c r="G19" s="36"/>
      <c r="K19" s="1" t="s">
        <v>109</v>
      </c>
      <c r="L19" s="1" t="s">
        <v>63</v>
      </c>
      <c r="M19" s="1" t="s">
        <v>110</v>
      </c>
    </row>
    <row r="20" spans="2:15" ht="14.25" customHeight="1">
      <c r="B20" s="28">
        <f t="shared" ref="B20:B28" si="3">B19+1</f>
        <v>13</v>
      </c>
      <c r="C20" s="32" t="s">
        <v>111</v>
      </c>
      <c r="D20" s="44">
        <f>D15-D19</f>
        <v>-0.59999999999999964</v>
      </c>
      <c r="E20" s="1" t="s">
        <v>60</v>
      </c>
    </row>
    <row r="21" spans="2:15" ht="14.25" customHeight="1">
      <c r="B21" s="28">
        <f t="shared" si="3"/>
        <v>14</v>
      </c>
      <c r="C21" s="32" t="s">
        <v>112</v>
      </c>
      <c r="D21" s="44" t="s">
        <v>113</v>
      </c>
      <c r="E21" s="1" t="s">
        <v>60</v>
      </c>
    </row>
    <row r="22" spans="2:15" ht="14.25" customHeight="1">
      <c r="B22" s="28">
        <f t="shared" si="3"/>
        <v>15</v>
      </c>
      <c r="C22" s="32" t="s">
        <v>114</v>
      </c>
      <c r="D22" s="41">
        <f>D19</f>
        <v>10.6</v>
      </c>
      <c r="E22" s="1" t="s">
        <v>60</v>
      </c>
    </row>
    <row r="23" spans="2:15" ht="14.25" customHeight="1">
      <c r="B23" s="28">
        <f t="shared" si="3"/>
        <v>16</v>
      </c>
      <c r="C23" s="32" t="s">
        <v>115</v>
      </c>
      <c r="D23" s="45">
        <v>0.45833333333333331</v>
      </c>
      <c r="E23" s="1" t="s">
        <v>60</v>
      </c>
    </row>
    <row r="24" spans="2:15" ht="14.25" customHeight="1">
      <c r="B24" s="28">
        <f t="shared" si="3"/>
        <v>17</v>
      </c>
      <c r="C24" s="32" t="s">
        <v>11</v>
      </c>
      <c r="D24" s="26" t="s">
        <v>116</v>
      </c>
      <c r="E24" s="1" t="s">
        <v>60</v>
      </c>
      <c r="F24" s="36"/>
      <c r="G24" s="36"/>
    </row>
    <row r="25" spans="2:15" ht="14.25" customHeight="1">
      <c r="B25" s="28">
        <f t="shared" si="3"/>
        <v>18</v>
      </c>
      <c r="C25" s="32" t="s">
        <v>117</v>
      </c>
      <c r="D25" s="26" t="s">
        <v>118</v>
      </c>
      <c r="E25" s="1" t="s">
        <v>60</v>
      </c>
      <c r="F25" s="1" t="s">
        <v>119</v>
      </c>
    </row>
    <row r="26" spans="2:15" ht="14.25" customHeight="1">
      <c r="B26" s="28">
        <f t="shared" si="3"/>
        <v>19</v>
      </c>
      <c r="C26" s="32" t="s">
        <v>120</v>
      </c>
      <c r="D26" s="26" t="s">
        <v>121</v>
      </c>
      <c r="E26" s="1" t="s">
        <v>60</v>
      </c>
    </row>
    <row r="27" spans="2:15" ht="14.25" customHeight="1">
      <c r="B27" s="28">
        <f t="shared" si="3"/>
        <v>20</v>
      </c>
      <c r="C27" s="32" t="s">
        <v>122</v>
      </c>
      <c r="D27" s="26"/>
      <c r="E27" s="1" t="s">
        <v>60</v>
      </c>
    </row>
    <row r="28" spans="2:15" ht="14.25" customHeight="1">
      <c r="B28" s="28">
        <f t="shared" si="3"/>
        <v>21</v>
      </c>
      <c r="C28" s="32" t="s">
        <v>2</v>
      </c>
      <c r="D28" s="26" t="s">
        <v>123</v>
      </c>
      <c r="E28" s="1" t="s">
        <v>124</v>
      </c>
      <c r="F28" s="1" t="s">
        <v>125</v>
      </c>
    </row>
    <row r="29" spans="2:15" ht="14.25" customHeight="1">
      <c r="B29" s="28"/>
      <c r="C29" s="32"/>
      <c r="D29" s="26"/>
    </row>
    <row r="30" spans="2:15" ht="14.25" customHeight="1"/>
    <row r="31" spans="2:15" ht="14.25" customHeight="1"/>
    <row r="32" spans="2:15" ht="14.25" customHeight="1"/>
    <row r="33" spans="4:5" ht="14.25" customHeight="1">
      <c r="D33" s="26"/>
      <c r="E33" s="26"/>
    </row>
    <row r="34" spans="4:5" ht="14.25" customHeight="1">
      <c r="D34" s="26"/>
      <c r="E34" s="26"/>
    </row>
    <row r="35" spans="4:5" ht="14.25" customHeight="1">
      <c r="D35" s="26"/>
      <c r="E35" s="26"/>
    </row>
    <row r="36" spans="4:5" ht="14.25" customHeight="1">
      <c r="D36" s="26"/>
      <c r="E36" s="26"/>
    </row>
    <row r="37" spans="4:5" ht="14.25" customHeight="1">
      <c r="D37" s="26"/>
      <c r="E37" s="26"/>
    </row>
    <row r="38" spans="4:5" ht="14.25" customHeight="1">
      <c r="D38" s="26"/>
      <c r="E38" s="26"/>
    </row>
    <row r="39" spans="4:5" ht="14.25" customHeight="1">
      <c r="D39" s="26"/>
      <c r="E39" s="26"/>
    </row>
    <row r="40" spans="4:5" ht="14.25" customHeight="1">
      <c r="D40" s="26"/>
      <c r="E40" s="26"/>
    </row>
    <row r="41" spans="4:5" ht="14.25" customHeight="1">
      <c r="D41" s="26"/>
      <c r="E41" s="26"/>
    </row>
    <row r="42" spans="4:5" ht="14.25" customHeight="1">
      <c r="D42" s="26"/>
      <c r="E42" s="26"/>
    </row>
    <row r="43" spans="4:5" ht="14.25" customHeight="1">
      <c r="D43" s="26"/>
      <c r="E43" s="26"/>
    </row>
    <row r="44" spans="4:5" ht="14.25" customHeight="1">
      <c r="D44" s="26"/>
      <c r="E44" s="26"/>
    </row>
    <row r="45" spans="4:5" ht="14.25" customHeight="1">
      <c r="D45" s="26"/>
      <c r="E45" s="26"/>
    </row>
    <row r="46" spans="4:5" ht="14.25" customHeight="1">
      <c r="D46" s="26"/>
      <c r="E46" s="26"/>
    </row>
    <row r="47" spans="4:5" ht="14.25" customHeight="1">
      <c r="D47" s="26"/>
      <c r="E47" s="26"/>
    </row>
    <row r="48" spans="4:5" ht="14.25" customHeight="1">
      <c r="D48" s="26"/>
      <c r="E48" s="26"/>
    </row>
    <row r="49" spans="4:5" ht="14.25" customHeight="1">
      <c r="D49" s="26"/>
      <c r="E49" s="26"/>
    </row>
    <row r="50" spans="4:5" ht="14.25" customHeight="1">
      <c r="D50" s="26"/>
      <c r="E50" s="26"/>
    </row>
    <row r="51" spans="4:5" ht="14.25" customHeight="1">
      <c r="D51" s="26"/>
      <c r="E51" s="26"/>
    </row>
    <row r="52" spans="4:5" ht="14.25" customHeight="1">
      <c r="D52" s="26"/>
      <c r="E52" s="26"/>
    </row>
    <row r="53" spans="4:5" ht="14.25" customHeight="1">
      <c r="D53" s="26"/>
      <c r="E53" s="26"/>
    </row>
    <row r="54" spans="4:5" ht="14.25" customHeight="1">
      <c r="D54" s="26"/>
      <c r="E54" s="26"/>
    </row>
    <row r="55" spans="4:5" ht="14.25" customHeight="1">
      <c r="D55" s="26"/>
      <c r="E55" s="26"/>
    </row>
    <row r="56" spans="4:5" ht="14.25" customHeight="1">
      <c r="D56" s="26"/>
      <c r="E56" s="26"/>
    </row>
    <row r="57" spans="4:5" ht="14.25" customHeight="1">
      <c r="D57" s="26"/>
      <c r="E57" s="26"/>
    </row>
    <row r="58" spans="4:5" ht="14.25" customHeight="1">
      <c r="D58" s="26"/>
      <c r="E58" s="26"/>
    </row>
    <row r="59" spans="4:5" ht="14.25" customHeight="1">
      <c r="D59" s="26"/>
      <c r="E59" s="26"/>
    </row>
    <row r="60" spans="4:5" ht="14.25" customHeight="1">
      <c r="D60" s="26"/>
      <c r="E60" s="26"/>
    </row>
    <row r="61" spans="4:5" ht="14.25" customHeight="1">
      <c r="D61" s="26"/>
      <c r="E61" s="26"/>
    </row>
    <row r="62" spans="4:5" ht="14.25" customHeight="1">
      <c r="D62" s="26"/>
      <c r="E62" s="26"/>
    </row>
    <row r="63" spans="4:5" ht="14.25" customHeight="1">
      <c r="D63" s="26"/>
      <c r="E63" s="26"/>
    </row>
    <row r="64" spans="4:5" ht="14.25" customHeight="1">
      <c r="D64" s="26"/>
      <c r="E64" s="26"/>
    </row>
    <row r="65" spans="4:5" ht="14.25" customHeight="1">
      <c r="D65" s="26"/>
      <c r="E65" s="26"/>
    </row>
    <row r="66" spans="4:5" ht="14.25" customHeight="1">
      <c r="D66" s="26"/>
      <c r="E66" s="26"/>
    </row>
    <row r="67" spans="4:5" ht="14.25" customHeight="1">
      <c r="D67" s="26"/>
      <c r="E67" s="26"/>
    </row>
    <row r="68" spans="4:5" ht="14.25" customHeight="1">
      <c r="D68" s="26"/>
      <c r="E68" s="26"/>
    </row>
    <row r="69" spans="4:5" ht="14.25" customHeight="1">
      <c r="D69" s="26"/>
      <c r="E69" s="26"/>
    </row>
    <row r="70" spans="4:5" ht="14.25" customHeight="1">
      <c r="D70" s="26"/>
      <c r="E70" s="26"/>
    </row>
    <row r="71" spans="4:5" ht="14.25" customHeight="1">
      <c r="D71" s="26"/>
      <c r="E71" s="26"/>
    </row>
    <row r="72" spans="4:5" ht="14.25" customHeight="1">
      <c r="D72" s="26"/>
      <c r="E72" s="26"/>
    </row>
    <row r="73" spans="4:5" ht="14.25" customHeight="1">
      <c r="D73" s="26"/>
      <c r="E73" s="26"/>
    </row>
    <row r="74" spans="4:5" ht="14.25" customHeight="1">
      <c r="D74" s="26"/>
      <c r="E74" s="26"/>
    </row>
    <row r="75" spans="4:5" ht="14.25" customHeight="1">
      <c r="D75" s="26"/>
      <c r="E75" s="26"/>
    </row>
    <row r="76" spans="4:5" ht="14.25" customHeight="1">
      <c r="D76" s="26"/>
      <c r="E76" s="26"/>
    </row>
    <row r="77" spans="4:5" ht="14.25" customHeight="1">
      <c r="D77" s="26"/>
      <c r="E77" s="26"/>
    </row>
    <row r="78" spans="4:5" ht="14.25" customHeight="1">
      <c r="D78" s="26"/>
      <c r="E78" s="26"/>
    </row>
    <row r="79" spans="4:5" ht="14.25" customHeight="1">
      <c r="D79" s="26"/>
      <c r="E79" s="26"/>
    </row>
    <row r="80" spans="4:5" ht="14.25" customHeight="1">
      <c r="D80" s="26"/>
      <c r="E80" s="26"/>
    </row>
    <row r="81" spans="4:5" ht="14.25" customHeight="1">
      <c r="D81" s="26"/>
      <c r="E81" s="26"/>
    </row>
    <row r="82" spans="4:5" ht="14.25" customHeight="1">
      <c r="D82" s="26"/>
      <c r="E82" s="26"/>
    </row>
    <row r="83" spans="4:5" ht="14.25" customHeight="1">
      <c r="D83" s="26"/>
      <c r="E83" s="26"/>
    </row>
    <row r="84" spans="4:5" ht="14.25" customHeight="1">
      <c r="D84" s="26"/>
      <c r="E84" s="26"/>
    </row>
    <row r="85" spans="4:5" ht="14.25" customHeight="1">
      <c r="D85" s="26"/>
      <c r="E85" s="26"/>
    </row>
    <row r="86" spans="4:5" ht="14.25" customHeight="1">
      <c r="D86" s="26"/>
      <c r="E86" s="26"/>
    </row>
    <row r="87" spans="4:5" ht="14.25" customHeight="1">
      <c r="D87" s="26"/>
      <c r="E87" s="26"/>
    </row>
    <row r="88" spans="4:5" ht="14.25" customHeight="1">
      <c r="D88" s="26"/>
      <c r="E88" s="26"/>
    </row>
    <row r="89" spans="4:5" ht="14.25" customHeight="1">
      <c r="D89" s="26"/>
      <c r="E89" s="26"/>
    </row>
    <row r="90" spans="4:5" ht="14.25" customHeight="1">
      <c r="D90" s="26"/>
      <c r="E90" s="26"/>
    </row>
    <row r="91" spans="4:5" ht="14.25" customHeight="1">
      <c r="D91" s="26"/>
      <c r="E91" s="26"/>
    </row>
    <row r="92" spans="4:5" ht="14.25" customHeight="1">
      <c r="D92" s="26"/>
      <c r="E92" s="26"/>
    </row>
    <row r="93" spans="4:5" ht="14.25" customHeight="1">
      <c r="D93" s="26"/>
      <c r="E93" s="26"/>
    </row>
    <row r="94" spans="4:5" ht="14.25" customHeight="1">
      <c r="D94" s="26"/>
      <c r="E94" s="26"/>
    </row>
    <row r="95" spans="4:5" ht="14.25" customHeight="1">
      <c r="D95" s="26"/>
      <c r="E95" s="26"/>
    </row>
    <row r="96" spans="4:5" ht="14.25" customHeight="1">
      <c r="D96" s="26"/>
      <c r="E96" s="26"/>
    </row>
    <row r="97" spans="4:5" ht="14.25" customHeight="1">
      <c r="D97" s="26"/>
      <c r="E97" s="26"/>
    </row>
    <row r="98" spans="4:5" ht="14.25" customHeight="1">
      <c r="D98" s="26"/>
      <c r="E98" s="26"/>
    </row>
    <row r="99" spans="4:5" ht="14.25" customHeight="1">
      <c r="D99" s="26"/>
      <c r="E99" s="26"/>
    </row>
    <row r="100" spans="4:5" ht="14.25" customHeight="1">
      <c r="D100" s="26"/>
      <c r="E100" s="26"/>
    </row>
    <row r="101" spans="4:5" ht="14.25" customHeight="1">
      <c r="D101" s="26"/>
      <c r="E101" s="26"/>
    </row>
    <row r="102" spans="4:5" ht="14.25" customHeight="1">
      <c r="D102" s="26"/>
      <c r="E102" s="26"/>
    </row>
    <row r="103" spans="4:5" ht="14.25" customHeight="1">
      <c r="D103" s="26"/>
      <c r="E103" s="26"/>
    </row>
    <row r="104" spans="4:5" ht="14.25" customHeight="1">
      <c r="D104" s="26"/>
      <c r="E104" s="26"/>
    </row>
    <row r="105" spans="4:5" ht="14.25" customHeight="1">
      <c r="D105" s="26"/>
      <c r="E105" s="26"/>
    </row>
    <row r="106" spans="4:5" ht="14.25" customHeight="1">
      <c r="D106" s="26"/>
      <c r="E106" s="26"/>
    </row>
    <row r="107" spans="4:5" ht="14.25" customHeight="1">
      <c r="D107" s="26"/>
      <c r="E107" s="26"/>
    </row>
    <row r="108" spans="4:5" ht="14.25" customHeight="1">
      <c r="D108" s="26"/>
      <c r="E108" s="26"/>
    </row>
    <row r="109" spans="4:5" ht="14.25" customHeight="1">
      <c r="D109" s="26"/>
      <c r="E109" s="26"/>
    </row>
    <row r="110" spans="4:5" ht="14.25" customHeight="1">
      <c r="D110" s="26"/>
      <c r="E110" s="26"/>
    </row>
    <row r="111" spans="4:5" ht="14.25" customHeight="1">
      <c r="D111" s="26"/>
      <c r="E111" s="26"/>
    </row>
    <row r="112" spans="4:5" ht="14.25" customHeight="1">
      <c r="D112" s="26"/>
      <c r="E112" s="26"/>
    </row>
    <row r="113" spans="4:5" ht="14.25" customHeight="1">
      <c r="D113" s="26"/>
      <c r="E113" s="26"/>
    </row>
    <row r="114" spans="4:5" ht="14.25" customHeight="1">
      <c r="D114" s="26"/>
      <c r="E114" s="26"/>
    </row>
    <row r="115" spans="4:5" ht="14.25" customHeight="1">
      <c r="D115" s="26"/>
      <c r="E115" s="26"/>
    </row>
    <row r="116" spans="4:5" ht="14.25" customHeight="1">
      <c r="D116" s="26"/>
      <c r="E116" s="26"/>
    </row>
    <row r="117" spans="4:5" ht="14.25" customHeight="1">
      <c r="D117" s="26"/>
      <c r="E117" s="26"/>
    </row>
    <row r="118" spans="4:5" ht="14.25" customHeight="1">
      <c r="D118" s="26"/>
      <c r="E118" s="26"/>
    </row>
    <row r="119" spans="4:5" ht="14.25" customHeight="1">
      <c r="D119" s="26"/>
      <c r="E119" s="26"/>
    </row>
    <row r="120" spans="4:5" ht="14.25" customHeight="1">
      <c r="D120" s="26"/>
      <c r="E120" s="26"/>
    </row>
    <row r="121" spans="4:5" ht="14.25" customHeight="1">
      <c r="D121" s="26"/>
      <c r="E121" s="26"/>
    </row>
    <row r="122" spans="4:5" ht="14.25" customHeight="1">
      <c r="D122" s="26"/>
      <c r="E122" s="26"/>
    </row>
    <row r="123" spans="4:5" ht="14.25" customHeight="1">
      <c r="D123" s="26"/>
      <c r="E123" s="26"/>
    </row>
    <row r="124" spans="4:5" ht="14.25" customHeight="1">
      <c r="D124" s="26"/>
      <c r="E124" s="26"/>
    </row>
    <row r="125" spans="4:5" ht="14.25" customHeight="1">
      <c r="D125" s="26"/>
      <c r="E125" s="26"/>
    </row>
    <row r="126" spans="4:5" ht="14.25" customHeight="1">
      <c r="D126" s="26"/>
      <c r="E126" s="26"/>
    </row>
    <row r="127" spans="4:5" ht="14.25" customHeight="1">
      <c r="D127" s="26"/>
      <c r="E127" s="26"/>
    </row>
    <row r="128" spans="4:5" ht="14.25" customHeight="1">
      <c r="D128" s="26"/>
      <c r="E128" s="26"/>
    </row>
    <row r="129" spans="4:5" ht="14.25" customHeight="1">
      <c r="D129" s="26"/>
      <c r="E129" s="26"/>
    </row>
    <row r="130" spans="4:5" ht="14.25" customHeight="1">
      <c r="D130" s="26"/>
      <c r="E130" s="26"/>
    </row>
    <row r="131" spans="4:5" ht="14.25" customHeight="1">
      <c r="D131" s="26"/>
      <c r="E131" s="26"/>
    </row>
    <row r="132" spans="4:5" ht="14.25" customHeight="1">
      <c r="D132" s="26"/>
      <c r="E132" s="26"/>
    </row>
    <row r="133" spans="4:5" ht="14.25" customHeight="1">
      <c r="D133" s="26"/>
      <c r="E133" s="26"/>
    </row>
    <row r="134" spans="4:5" ht="14.25" customHeight="1">
      <c r="D134" s="26"/>
      <c r="E134" s="26"/>
    </row>
    <row r="135" spans="4:5" ht="14.25" customHeight="1">
      <c r="D135" s="26"/>
      <c r="E135" s="26"/>
    </row>
    <row r="136" spans="4:5" ht="14.25" customHeight="1">
      <c r="D136" s="26"/>
      <c r="E136" s="26"/>
    </row>
    <row r="137" spans="4:5" ht="14.25" customHeight="1">
      <c r="D137" s="26"/>
      <c r="E137" s="26"/>
    </row>
    <row r="138" spans="4:5" ht="14.25" customHeight="1">
      <c r="D138" s="26"/>
      <c r="E138" s="26"/>
    </row>
    <row r="139" spans="4:5" ht="14.25" customHeight="1">
      <c r="D139" s="26"/>
      <c r="E139" s="26"/>
    </row>
    <row r="140" spans="4:5" ht="14.25" customHeight="1">
      <c r="D140" s="26"/>
      <c r="E140" s="26"/>
    </row>
    <row r="141" spans="4:5" ht="14.25" customHeight="1">
      <c r="D141" s="26"/>
      <c r="E141" s="26"/>
    </row>
    <row r="142" spans="4:5" ht="14.25" customHeight="1">
      <c r="D142" s="26"/>
      <c r="E142" s="26"/>
    </row>
    <row r="143" spans="4:5" ht="14.25" customHeight="1">
      <c r="D143" s="26"/>
      <c r="E143" s="26"/>
    </row>
    <row r="144" spans="4:5" ht="14.25" customHeight="1">
      <c r="D144" s="26"/>
      <c r="E144" s="26"/>
    </row>
    <row r="145" spans="4:5" ht="14.25" customHeight="1">
      <c r="D145" s="26"/>
      <c r="E145" s="26"/>
    </row>
    <row r="146" spans="4:5" ht="14.25" customHeight="1">
      <c r="D146" s="26"/>
      <c r="E146" s="26"/>
    </row>
    <row r="147" spans="4:5" ht="14.25" customHeight="1">
      <c r="D147" s="26"/>
      <c r="E147" s="26"/>
    </row>
    <row r="148" spans="4:5" ht="14.25" customHeight="1">
      <c r="D148" s="26"/>
      <c r="E148" s="26"/>
    </row>
    <row r="149" spans="4:5" ht="14.25" customHeight="1">
      <c r="D149" s="26"/>
      <c r="E149" s="26"/>
    </row>
    <row r="150" spans="4:5" ht="14.25" customHeight="1">
      <c r="D150" s="26"/>
      <c r="E150" s="26"/>
    </row>
    <row r="151" spans="4:5" ht="14.25" customHeight="1">
      <c r="D151" s="26"/>
      <c r="E151" s="26"/>
    </row>
    <row r="152" spans="4:5" ht="14.25" customHeight="1">
      <c r="D152" s="26"/>
      <c r="E152" s="26"/>
    </row>
    <row r="153" spans="4:5" ht="14.25" customHeight="1">
      <c r="D153" s="26"/>
      <c r="E153" s="26"/>
    </row>
    <row r="154" spans="4:5" ht="14.25" customHeight="1">
      <c r="D154" s="26"/>
      <c r="E154" s="26"/>
    </row>
    <row r="155" spans="4:5" ht="14.25" customHeight="1">
      <c r="D155" s="26"/>
      <c r="E155" s="26"/>
    </row>
    <row r="156" spans="4:5" ht="14.25" customHeight="1">
      <c r="D156" s="26"/>
      <c r="E156" s="26"/>
    </row>
    <row r="157" spans="4:5" ht="14.25" customHeight="1">
      <c r="D157" s="26"/>
      <c r="E157" s="26"/>
    </row>
    <row r="158" spans="4:5" ht="14.25" customHeight="1">
      <c r="D158" s="26"/>
      <c r="E158" s="26"/>
    </row>
    <row r="159" spans="4:5" ht="14.25" customHeight="1">
      <c r="D159" s="26"/>
      <c r="E159" s="26"/>
    </row>
    <row r="160" spans="4:5" ht="14.25" customHeight="1">
      <c r="D160" s="26"/>
      <c r="E160" s="26"/>
    </row>
    <row r="161" spans="4:5" ht="14.25" customHeight="1">
      <c r="D161" s="26"/>
      <c r="E161" s="26"/>
    </row>
    <row r="162" spans="4:5" ht="14.25" customHeight="1">
      <c r="D162" s="26"/>
      <c r="E162" s="26"/>
    </row>
    <row r="163" spans="4:5" ht="14.25" customHeight="1">
      <c r="D163" s="26"/>
      <c r="E163" s="26"/>
    </row>
    <row r="164" spans="4:5" ht="14.25" customHeight="1">
      <c r="D164" s="26"/>
      <c r="E164" s="26"/>
    </row>
    <row r="165" spans="4:5" ht="14.25" customHeight="1">
      <c r="D165" s="26"/>
      <c r="E165" s="26"/>
    </row>
    <row r="166" spans="4:5" ht="14.25" customHeight="1">
      <c r="D166" s="26"/>
      <c r="E166" s="26"/>
    </row>
    <row r="167" spans="4:5" ht="14.25" customHeight="1">
      <c r="D167" s="26"/>
      <c r="E167" s="26"/>
    </row>
    <row r="168" spans="4:5" ht="14.25" customHeight="1">
      <c r="D168" s="26"/>
      <c r="E168" s="26"/>
    </row>
    <row r="169" spans="4:5" ht="14.25" customHeight="1">
      <c r="D169" s="26"/>
      <c r="E169" s="26"/>
    </row>
    <row r="170" spans="4:5" ht="14.25" customHeight="1">
      <c r="D170" s="26"/>
      <c r="E170" s="26"/>
    </row>
    <row r="171" spans="4:5" ht="14.25" customHeight="1">
      <c r="D171" s="26"/>
      <c r="E171" s="26"/>
    </row>
    <row r="172" spans="4:5" ht="14.25" customHeight="1">
      <c r="D172" s="26"/>
      <c r="E172" s="26"/>
    </row>
    <row r="173" spans="4:5" ht="14.25" customHeight="1">
      <c r="D173" s="26"/>
      <c r="E173" s="26"/>
    </row>
    <row r="174" spans="4:5" ht="14.25" customHeight="1">
      <c r="D174" s="26"/>
      <c r="E174" s="26"/>
    </row>
    <row r="175" spans="4:5" ht="14.25" customHeight="1">
      <c r="D175" s="26"/>
      <c r="E175" s="26"/>
    </row>
    <row r="176" spans="4:5" ht="14.25" customHeight="1">
      <c r="D176" s="26"/>
      <c r="E176" s="26"/>
    </row>
    <row r="177" spans="4:5" ht="14.25" customHeight="1">
      <c r="D177" s="26"/>
      <c r="E177" s="26"/>
    </row>
    <row r="178" spans="4:5" ht="14.25" customHeight="1">
      <c r="D178" s="26"/>
      <c r="E178" s="26"/>
    </row>
    <row r="179" spans="4:5" ht="14.25" customHeight="1">
      <c r="D179" s="26"/>
      <c r="E179" s="26"/>
    </row>
    <row r="180" spans="4:5" ht="14.25" customHeight="1">
      <c r="D180" s="26"/>
      <c r="E180" s="26"/>
    </row>
    <row r="181" spans="4:5" ht="14.25" customHeight="1">
      <c r="D181" s="26"/>
      <c r="E181" s="26"/>
    </row>
    <row r="182" spans="4:5" ht="14.25" customHeight="1">
      <c r="D182" s="26"/>
      <c r="E182" s="26"/>
    </row>
    <row r="183" spans="4:5" ht="14.25" customHeight="1">
      <c r="D183" s="26"/>
      <c r="E183" s="26"/>
    </row>
    <row r="184" spans="4:5" ht="14.25" customHeight="1">
      <c r="D184" s="26"/>
      <c r="E184" s="26"/>
    </row>
    <row r="185" spans="4:5" ht="14.25" customHeight="1">
      <c r="D185" s="26"/>
      <c r="E185" s="26"/>
    </row>
    <row r="186" spans="4:5" ht="14.25" customHeight="1">
      <c r="D186" s="26"/>
      <c r="E186" s="26"/>
    </row>
    <row r="187" spans="4:5" ht="14.25" customHeight="1">
      <c r="D187" s="26"/>
      <c r="E187" s="26"/>
    </row>
    <row r="188" spans="4:5" ht="14.25" customHeight="1">
      <c r="D188" s="26"/>
      <c r="E188" s="26"/>
    </row>
    <row r="189" spans="4:5" ht="14.25" customHeight="1">
      <c r="D189" s="26"/>
      <c r="E189" s="26"/>
    </row>
    <row r="190" spans="4:5" ht="14.25" customHeight="1">
      <c r="D190" s="26"/>
      <c r="E190" s="26"/>
    </row>
    <row r="191" spans="4:5" ht="14.25" customHeight="1">
      <c r="D191" s="26"/>
      <c r="E191" s="26"/>
    </row>
    <row r="192" spans="4:5" ht="14.25" customHeight="1">
      <c r="D192" s="26"/>
      <c r="E192" s="26"/>
    </row>
    <row r="193" spans="4:5" ht="14.25" customHeight="1">
      <c r="D193" s="26"/>
      <c r="E193" s="26"/>
    </row>
    <row r="194" spans="4:5" ht="14.25" customHeight="1">
      <c r="D194" s="26"/>
      <c r="E194" s="26"/>
    </row>
    <row r="195" spans="4:5" ht="14.25" customHeight="1">
      <c r="D195" s="26"/>
      <c r="E195" s="26"/>
    </row>
    <row r="196" spans="4:5" ht="14.25" customHeight="1">
      <c r="D196" s="26"/>
      <c r="E196" s="26"/>
    </row>
    <row r="197" spans="4:5" ht="14.25" customHeight="1">
      <c r="D197" s="26"/>
      <c r="E197" s="26"/>
    </row>
    <row r="198" spans="4:5" ht="14.25" customHeight="1">
      <c r="D198" s="26"/>
      <c r="E198" s="26"/>
    </row>
    <row r="199" spans="4:5" ht="14.25" customHeight="1">
      <c r="D199" s="26"/>
      <c r="E199" s="26"/>
    </row>
    <row r="200" spans="4:5" ht="14.25" customHeight="1">
      <c r="D200" s="26"/>
      <c r="E200" s="26"/>
    </row>
    <row r="201" spans="4:5" ht="14.25" customHeight="1">
      <c r="D201" s="26"/>
      <c r="E201" s="26"/>
    </row>
    <row r="202" spans="4:5" ht="14.25" customHeight="1">
      <c r="D202" s="26"/>
      <c r="E202" s="26"/>
    </row>
    <row r="203" spans="4:5" ht="14.25" customHeight="1">
      <c r="D203" s="26"/>
      <c r="E203" s="26"/>
    </row>
    <row r="204" spans="4:5" ht="14.25" customHeight="1">
      <c r="D204" s="26"/>
      <c r="E204" s="26"/>
    </row>
    <row r="205" spans="4:5" ht="14.25" customHeight="1">
      <c r="D205" s="26"/>
      <c r="E205" s="26"/>
    </row>
    <row r="206" spans="4:5" ht="14.25" customHeight="1">
      <c r="D206" s="26"/>
      <c r="E206" s="26"/>
    </row>
    <row r="207" spans="4:5" ht="14.25" customHeight="1">
      <c r="D207" s="26"/>
      <c r="E207" s="26"/>
    </row>
    <row r="208" spans="4:5" ht="14.25" customHeight="1">
      <c r="D208" s="26"/>
      <c r="E208" s="26"/>
    </row>
    <row r="209" spans="4:5" ht="14.25" customHeight="1">
      <c r="D209" s="26"/>
      <c r="E209" s="26"/>
    </row>
    <row r="210" spans="4:5" ht="14.25" customHeight="1">
      <c r="D210" s="26"/>
      <c r="E210" s="26"/>
    </row>
    <row r="211" spans="4:5" ht="14.25" customHeight="1">
      <c r="D211" s="26"/>
      <c r="E211" s="26"/>
    </row>
    <row r="212" spans="4:5" ht="14.25" customHeight="1">
      <c r="D212" s="26"/>
      <c r="E212" s="26"/>
    </row>
    <row r="213" spans="4:5" ht="14.25" customHeight="1">
      <c r="D213" s="26"/>
      <c r="E213" s="26"/>
    </row>
    <row r="214" spans="4:5" ht="14.25" customHeight="1">
      <c r="D214" s="26"/>
      <c r="E214" s="26"/>
    </row>
    <row r="215" spans="4:5" ht="14.25" customHeight="1">
      <c r="D215" s="26"/>
      <c r="E215" s="26"/>
    </row>
    <row r="216" spans="4:5" ht="14.25" customHeight="1">
      <c r="D216" s="26"/>
      <c r="E216" s="26"/>
    </row>
    <row r="217" spans="4:5" ht="14.25" customHeight="1">
      <c r="D217" s="26"/>
      <c r="E217" s="26"/>
    </row>
    <row r="218" spans="4:5" ht="14.25" customHeight="1">
      <c r="D218" s="26"/>
      <c r="E218" s="26"/>
    </row>
    <row r="219" spans="4:5" ht="14.25" customHeight="1">
      <c r="D219" s="26"/>
      <c r="E219" s="26"/>
    </row>
    <row r="220" spans="4:5" ht="14.25" customHeight="1">
      <c r="D220" s="26"/>
      <c r="E220" s="26"/>
    </row>
    <row r="221" spans="4:5" ht="14.25" customHeight="1">
      <c r="D221" s="26"/>
      <c r="E221" s="26"/>
    </row>
    <row r="222" spans="4:5" ht="14.25" customHeight="1">
      <c r="D222" s="26"/>
      <c r="E222" s="26"/>
    </row>
    <row r="223" spans="4:5" ht="14.25" customHeight="1">
      <c r="D223" s="26"/>
      <c r="E223" s="26"/>
    </row>
    <row r="224" spans="4:5" ht="14.25" customHeight="1">
      <c r="D224" s="26"/>
      <c r="E224" s="26"/>
    </row>
    <row r="225" spans="4:5" ht="14.25" customHeight="1">
      <c r="D225" s="26"/>
      <c r="E225" s="26"/>
    </row>
    <row r="226" spans="4:5" ht="14.25" customHeight="1">
      <c r="D226" s="26"/>
      <c r="E226" s="26"/>
    </row>
    <row r="227" spans="4:5" ht="14.25" customHeight="1">
      <c r="D227" s="26"/>
      <c r="E227" s="26"/>
    </row>
    <row r="228" spans="4:5" ht="14.25" customHeight="1">
      <c r="D228" s="26"/>
      <c r="E228" s="26"/>
    </row>
    <row r="229" spans="4:5" ht="14.25" customHeight="1">
      <c r="D229" s="26"/>
      <c r="E229" s="26"/>
    </row>
    <row r="230" spans="4:5" ht="14.25" customHeight="1">
      <c r="D230" s="26"/>
      <c r="E230" s="26"/>
    </row>
    <row r="231" spans="4:5" ht="14.25" customHeight="1">
      <c r="D231" s="26"/>
      <c r="E231" s="26"/>
    </row>
    <row r="232" spans="4:5" ht="14.25" customHeight="1">
      <c r="D232" s="26"/>
      <c r="E232" s="26"/>
    </row>
    <row r="233" spans="4:5" ht="14.25" customHeight="1">
      <c r="D233" s="26"/>
      <c r="E233" s="26"/>
    </row>
    <row r="234" spans="4:5" ht="14.25" customHeight="1">
      <c r="D234" s="26"/>
      <c r="E234" s="26"/>
    </row>
    <row r="235" spans="4:5" ht="14.25" customHeight="1">
      <c r="D235" s="26"/>
      <c r="E235" s="26"/>
    </row>
    <row r="236" spans="4:5" ht="14.25" customHeight="1">
      <c r="D236" s="26"/>
      <c r="E236" s="26"/>
    </row>
    <row r="237" spans="4:5" ht="14.25" customHeight="1">
      <c r="D237" s="26"/>
      <c r="E237" s="26"/>
    </row>
    <row r="238" spans="4:5" ht="14.25" customHeight="1">
      <c r="D238" s="26"/>
      <c r="E238" s="26"/>
    </row>
    <row r="239" spans="4:5" ht="14.25" customHeight="1">
      <c r="D239" s="26"/>
      <c r="E239" s="26"/>
    </row>
    <row r="240" spans="4:5" ht="14.25" customHeight="1">
      <c r="D240" s="26"/>
      <c r="E240" s="26"/>
    </row>
    <row r="241" spans="4:5" ht="14.25" customHeight="1">
      <c r="D241" s="26"/>
      <c r="E241" s="26"/>
    </row>
    <row r="242" spans="4:5" ht="14.25" customHeight="1">
      <c r="D242" s="26"/>
      <c r="E242" s="26"/>
    </row>
    <row r="243" spans="4:5" ht="14.25" customHeight="1">
      <c r="D243" s="26"/>
      <c r="E243" s="26"/>
    </row>
    <row r="244" spans="4:5" ht="14.25" customHeight="1">
      <c r="D244" s="26"/>
      <c r="E244" s="26"/>
    </row>
    <row r="245" spans="4:5" ht="14.25" customHeight="1">
      <c r="D245" s="26"/>
      <c r="E245" s="26"/>
    </row>
    <row r="246" spans="4:5" ht="14.25" customHeight="1">
      <c r="D246" s="26"/>
      <c r="E246" s="26"/>
    </row>
    <row r="247" spans="4:5" ht="14.25" customHeight="1">
      <c r="D247" s="26"/>
      <c r="E247" s="26"/>
    </row>
    <row r="248" spans="4:5" ht="14.25" customHeight="1">
      <c r="D248" s="26"/>
      <c r="E248" s="26"/>
    </row>
    <row r="249" spans="4:5" ht="14.25" customHeight="1">
      <c r="D249" s="26"/>
      <c r="E249" s="26"/>
    </row>
    <row r="250" spans="4:5" ht="14.25" customHeight="1">
      <c r="D250" s="26"/>
      <c r="E250" s="26"/>
    </row>
    <row r="251" spans="4:5" ht="14.25" customHeight="1">
      <c r="D251" s="26"/>
      <c r="E251" s="26"/>
    </row>
    <row r="252" spans="4:5" ht="14.25" customHeight="1">
      <c r="D252" s="26"/>
      <c r="E252" s="26"/>
    </row>
    <row r="253" spans="4:5" ht="14.25" customHeight="1">
      <c r="D253" s="26"/>
      <c r="E253" s="26"/>
    </row>
    <row r="254" spans="4:5" ht="14.25" customHeight="1">
      <c r="D254" s="26"/>
      <c r="E254" s="26"/>
    </row>
    <row r="255" spans="4:5" ht="14.25" customHeight="1">
      <c r="D255" s="26"/>
      <c r="E255" s="26"/>
    </row>
    <row r="256" spans="4:5" ht="14.25" customHeight="1">
      <c r="D256" s="26"/>
      <c r="E256" s="26"/>
    </row>
    <row r="257" spans="4:5" ht="14.25" customHeight="1">
      <c r="D257" s="26"/>
      <c r="E257" s="26"/>
    </row>
    <row r="258" spans="4:5" ht="14.25" customHeight="1">
      <c r="D258" s="26"/>
      <c r="E258" s="26"/>
    </row>
    <row r="259" spans="4:5" ht="14.25" customHeight="1">
      <c r="D259" s="26"/>
      <c r="E259" s="26"/>
    </row>
    <row r="260" spans="4:5" ht="14.25" customHeight="1">
      <c r="D260" s="26"/>
      <c r="E260" s="26"/>
    </row>
    <row r="261" spans="4:5" ht="14.25" customHeight="1">
      <c r="D261" s="26"/>
      <c r="E261" s="26"/>
    </row>
    <row r="262" spans="4:5" ht="14.25" customHeight="1">
      <c r="D262" s="26"/>
      <c r="E262" s="26"/>
    </row>
    <row r="263" spans="4:5" ht="14.25" customHeight="1">
      <c r="D263" s="26"/>
      <c r="E263" s="26"/>
    </row>
    <row r="264" spans="4:5" ht="14.25" customHeight="1">
      <c r="D264" s="26"/>
      <c r="E264" s="26"/>
    </row>
    <row r="265" spans="4:5" ht="14.25" customHeight="1">
      <c r="D265" s="26"/>
      <c r="E265" s="26"/>
    </row>
    <row r="266" spans="4:5" ht="14.25" customHeight="1">
      <c r="D266" s="26"/>
      <c r="E266" s="26"/>
    </row>
    <row r="267" spans="4:5" ht="14.25" customHeight="1">
      <c r="D267" s="26"/>
      <c r="E267" s="26"/>
    </row>
    <row r="268" spans="4:5" ht="14.25" customHeight="1">
      <c r="D268" s="26"/>
      <c r="E268" s="26"/>
    </row>
    <row r="269" spans="4:5" ht="14.25" customHeight="1">
      <c r="D269" s="26"/>
      <c r="E269" s="26"/>
    </row>
    <row r="270" spans="4:5" ht="14.25" customHeight="1">
      <c r="D270" s="26"/>
      <c r="E270" s="26"/>
    </row>
    <row r="271" spans="4:5" ht="14.25" customHeight="1">
      <c r="D271" s="26"/>
      <c r="E271" s="26"/>
    </row>
    <row r="272" spans="4:5" ht="14.25" customHeight="1">
      <c r="D272" s="26"/>
      <c r="E272" s="26"/>
    </row>
    <row r="273" spans="4:5" ht="14.25" customHeight="1">
      <c r="D273" s="26"/>
      <c r="E273" s="26"/>
    </row>
    <row r="274" spans="4:5" ht="14.25" customHeight="1">
      <c r="D274" s="26"/>
      <c r="E274" s="26"/>
    </row>
    <row r="275" spans="4:5" ht="14.25" customHeight="1">
      <c r="D275" s="26"/>
      <c r="E275" s="26"/>
    </row>
    <row r="276" spans="4:5" ht="14.25" customHeight="1">
      <c r="D276" s="26"/>
      <c r="E276" s="26"/>
    </row>
    <row r="277" spans="4:5" ht="14.25" customHeight="1">
      <c r="D277" s="26"/>
      <c r="E277" s="26"/>
    </row>
    <row r="278" spans="4:5" ht="14.25" customHeight="1">
      <c r="D278" s="26"/>
      <c r="E278" s="26"/>
    </row>
    <row r="279" spans="4:5" ht="14.25" customHeight="1">
      <c r="D279" s="26"/>
      <c r="E279" s="26"/>
    </row>
    <row r="280" spans="4:5" ht="14.25" customHeight="1">
      <c r="D280" s="26"/>
      <c r="E280" s="26"/>
    </row>
    <row r="281" spans="4:5" ht="14.25" customHeight="1">
      <c r="D281" s="26"/>
      <c r="E281" s="26"/>
    </row>
    <row r="282" spans="4:5" ht="14.25" customHeight="1">
      <c r="D282" s="26"/>
      <c r="E282" s="26"/>
    </row>
    <row r="283" spans="4:5" ht="14.25" customHeight="1">
      <c r="D283" s="26"/>
      <c r="E283" s="26"/>
    </row>
    <row r="284" spans="4:5" ht="14.25" customHeight="1">
      <c r="D284" s="26"/>
      <c r="E284" s="26"/>
    </row>
    <row r="285" spans="4:5" ht="14.25" customHeight="1">
      <c r="D285" s="26"/>
      <c r="E285" s="26"/>
    </row>
    <row r="286" spans="4:5" ht="14.25" customHeight="1">
      <c r="D286" s="26"/>
      <c r="E286" s="26"/>
    </row>
    <row r="287" spans="4:5" ht="14.25" customHeight="1">
      <c r="D287" s="26"/>
      <c r="E287" s="26"/>
    </row>
    <row r="288" spans="4:5" ht="14.25" customHeight="1">
      <c r="D288" s="26"/>
      <c r="E288" s="26"/>
    </row>
    <row r="289" spans="4:5" ht="14.25" customHeight="1">
      <c r="D289" s="26"/>
      <c r="E289" s="26"/>
    </row>
    <row r="290" spans="4:5" ht="14.25" customHeight="1">
      <c r="D290" s="26"/>
      <c r="E290" s="26"/>
    </row>
    <row r="291" spans="4:5" ht="14.25" customHeight="1">
      <c r="D291" s="26"/>
      <c r="E291" s="26"/>
    </row>
    <row r="292" spans="4:5" ht="14.25" customHeight="1">
      <c r="D292" s="26"/>
      <c r="E292" s="26"/>
    </row>
    <row r="293" spans="4:5" ht="14.25" customHeight="1">
      <c r="D293" s="26"/>
      <c r="E293" s="26"/>
    </row>
    <row r="294" spans="4:5" ht="14.25" customHeight="1">
      <c r="D294" s="26"/>
      <c r="E294" s="26"/>
    </row>
    <row r="295" spans="4:5" ht="14.25" customHeight="1">
      <c r="D295" s="26"/>
      <c r="E295" s="26"/>
    </row>
    <row r="296" spans="4:5" ht="14.25" customHeight="1">
      <c r="D296" s="26"/>
      <c r="E296" s="26"/>
    </row>
    <row r="297" spans="4:5" ht="14.25" customHeight="1">
      <c r="D297" s="26"/>
      <c r="E297" s="26"/>
    </row>
    <row r="298" spans="4:5" ht="14.25" customHeight="1">
      <c r="D298" s="26"/>
      <c r="E298" s="26"/>
    </row>
    <row r="299" spans="4:5" ht="14.25" customHeight="1">
      <c r="D299" s="26"/>
      <c r="E299" s="26"/>
    </row>
    <row r="300" spans="4:5" ht="14.25" customHeight="1">
      <c r="D300" s="26"/>
      <c r="E300" s="26"/>
    </row>
    <row r="301" spans="4:5" ht="14.25" customHeight="1">
      <c r="D301" s="26"/>
      <c r="E301" s="26"/>
    </row>
    <row r="302" spans="4:5" ht="14.25" customHeight="1">
      <c r="D302" s="26"/>
      <c r="E302" s="26"/>
    </row>
    <row r="303" spans="4:5" ht="14.25" customHeight="1">
      <c r="D303" s="26"/>
      <c r="E303" s="26"/>
    </row>
    <row r="304" spans="4:5" ht="14.25" customHeight="1">
      <c r="D304" s="26"/>
      <c r="E304" s="26"/>
    </row>
    <row r="305" spans="4:5" ht="14.25" customHeight="1">
      <c r="D305" s="26"/>
      <c r="E305" s="26"/>
    </row>
    <row r="306" spans="4:5" ht="14.25" customHeight="1">
      <c r="D306" s="26"/>
      <c r="E306" s="26"/>
    </row>
    <row r="307" spans="4:5" ht="14.25" customHeight="1">
      <c r="D307" s="26"/>
      <c r="E307" s="26"/>
    </row>
    <row r="308" spans="4:5" ht="14.25" customHeight="1">
      <c r="D308" s="26"/>
      <c r="E308" s="26"/>
    </row>
    <row r="309" spans="4:5" ht="14.25" customHeight="1">
      <c r="D309" s="26"/>
      <c r="E309" s="26"/>
    </row>
    <row r="310" spans="4:5" ht="14.25" customHeight="1">
      <c r="D310" s="26"/>
      <c r="E310" s="26"/>
    </row>
    <row r="311" spans="4:5" ht="14.25" customHeight="1">
      <c r="D311" s="26"/>
      <c r="E311" s="26"/>
    </row>
    <row r="312" spans="4:5" ht="14.25" customHeight="1">
      <c r="D312" s="26"/>
      <c r="E312" s="26"/>
    </row>
    <row r="313" spans="4:5" ht="14.25" customHeight="1">
      <c r="D313" s="26"/>
      <c r="E313" s="26"/>
    </row>
    <row r="314" spans="4:5" ht="14.25" customHeight="1">
      <c r="D314" s="26"/>
      <c r="E314" s="26"/>
    </row>
    <row r="315" spans="4:5" ht="14.25" customHeight="1">
      <c r="D315" s="26"/>
      <c r="E315" s="26"/>
    </row>
    <row r="316" spans="4:5" ht="14.25" customHeight="1">
      <c r="D316" s="26"/>
      <c r="E316" s="26"/>
    </row>
    <row r="317" spans="4:5" ht="14.25" customHeight="1">
      <c r="D317" s="26"/>
      <c r="E317" s="26"/>
    </row>
    <row r="318" spans="4:5" ht="14.25" customHeight="1">
      <c r="D318" s="26"/>
      <c r="E318" s="26"/>
    </row>
    <row r="319" spans="4:5" ht="14.25" customHeight="1">
      <c r="D319" s="26"/>
      <c r="E319" s="26"/>
    </row>
    <row r="320" spans="4:5" ht="14.25" customHeight="1">
      <c r="D320" s="26"/>
      <c r="E320" s="26"/>
    </row>
    <row r="321" spans="4:5" ht="14.25" customHeight="1">
      <c r="D321" s="26"/>
      <c r="E321" s="26"/>
    </row>
    <row r="322" spans="4:5" ht="14.25" customHeight="1">
      <c r="D322" s="26"/>
      <c r="E322" s="26"/>
    </row>
    <row r="323" spans="4:5" ht="14.25" customHeight="1">
      <c r="D323" s="26"/>
      <c r="E323" s="26"/>
    </row>
    <row r="324" spans="4:5" ht="14.25" customHeight="1">
      <c r="D324" s="26"/>
      <c r="E324" s="26"/>
    </row>
    <row r="325" spans="4:5" ht="14.25" customHeight="1">
      <c r="D325" s="26"/>
      <c r="E325" s="26"/>
    </row>
    <row r="326" spans="4:5" ht="14.25" customHeight="1">
      <c r="D326" s="26"/>
      <c r="E326" s="26"/>
    </row>
    <row r="327" spans="4:5" ht="14.25" customHeight="1">
      <c r="D327" s="26"/>
      <c r="E327" s="26"/>
    </row>
    <row r="328" spans="4:5" ht="14.25" customHeight="1">
      <c r="D328" s="26"/>
      <c r="E328" s="26"/>
    </row>
    <row r="329" spans="4:5" ht="14.25" customHeight="1">
      <c r="D329" s="26"/>
      <c r="E329" s="26"/>
    </row>
    <row r="330" spans="4:5" ht="14.25" customHeight="1">
      <c r="D330" s="26"/>
      <c r="E330" s="26"/>
    </row>
    <row r="331" spans="4:5" ht="14.25" customHeight="1">
      <c r="D331" s="26"/>
      <c r="E331" s="26"/>
    </row>
    <row r="332" spans="4:5" ht="14.25" customHeight="1">
      <c r="D332" s="26"/>
      <c r="E332" s="26"/>
    </row>
    <row r="333" spans="4:5" ht="14.25" customHeight="1">
      <c r="D333" s="26"/>
      <c r="E333" s="26"/>
    </row>
    <row r="334" spans="4:5" ht="14.25" customHeight="1">
      <c r="D334" s="26"/>
      <c r="E334" s="26"/>
    </row>
    <row r="335" spans="4:5" ht="14.25" customHeight="1">
      <c r="D335" s="26"/>
      <c r="E335" s="26"/>
    </row>
    <row r="336" spans="4:5" ht="14.25" customHeight="1">
      <c r="D336" s="26"/>
      <c r="E336" s="26"/>
    </row>
    <row r="337" spans="4:5" ht="14.25" customHeight="1">
      <c r="D337" s="26"/>
      <c r="E337" s="26"/>
    </row>
    <row r="338" spans="4:5" ht="14.25" customHeight="1">
      <c r="D338" s="26"/>
      <c r="E338" s="26"/>
    </row>
    <row r="339" spans="4:5" ht="14.25" customHeight="1">
      <c r="D339" s="26"/>
      <c r="E339" s="26"/>
    </row>
    <row r="340" spans="4:5" ht="14.25" customHeight="1">
      <c r="D340" s="26"/>
      <c r="E340" s="26"/>
    </row>
    <row r="341" spans="4:5" ht="14.25" customHeight="1">
      <c r="D341" s="26"/>
      <c r="E341" s="26"/>
    </row>
    <row r="342" spans="4:5" ht="14.25" customHeight="1">
      <c r="D342" s="26"/>
      <c r="E342" s="26"/>
    </row>
    <row r="343" spans="4:5" ht="14.25" customHeight="1">
      <c r="D343" s="26"/>
      <c r="E343" s="26"/>
    </row>
    <row r="344" spans="4:5" ht="14.25" customHeight="1">
      <c r="D344" s="26"/>
      <c r="E344" s="26"/>
    </row>
    <row r="345" spans="4:5" ht="14.25" customHeight="1">
      <c r="D345" s="26"/>
      <c r="E345" s="26"/>
    </row>
    <row r="346" spans="4:5" ht="14.25" customHeight="1">
      <c r="D346" s="26"/>
      <c r="E346" s="26"/>
    </row>
    <row r="347" spans="4:5" ht="14.25" customHeight="1">
      <c r="D347" s="26"/>
      <c r="E347" s="26"/>
    </row>
    <row r="348" spans="4:5" ht="14.25" customHeight="1">
      <c r="D348" s="26"/>
      <c r="E348" s="26"/>
    </row>
    <row r="349" spans="4:5" ht="14.25" customHeight="1">
      <c r="D349" s="26"/>
      <c r="E349" s="26"/>
    </row>
    <row r="350" spans="4:5" ht="14.25" customHeight="1">
      <c r="D350" s="26"/>
      <c r="E350" s="26"/>
    </row>
    <row r="351" spans="4:5" ht="14.25" customHeight="1">
      <c r="D351" s="26"/>
      <c r="E351" s="26"/>
    </row>
    <row r="352" spans="4:5" ht="14.25" customHeight="1">
      <c r="D352" s="26"/>
      <c r="E352" s="26"/>
    </row>
    <row r="353" spans="4:5" ht="14.25" customHeight="1">
      <c r="D353" s="26"/>
      <c r="E353" s="26"/>
    </row>
    <row r="354" spans="4:5" ht="14.25" customHeight="1">
      <c r="D354" s="26"/>
      <c r="E354" s="26"/>
    </row>
    <row r="355" spans="4:5" ht="14.25" customHeight="1">
      <c r="D355" s="26"/>
      <c r="E355" s="26"/>
    </row>
    <row r="356" spans="4:5" ht="14.25" customHeight="1">
      <c r="D356" s="26"/>
      <c r="E356" s="26"/>
    </row>
    <row r="357" spans="4:5" ht="14.25" customHeight="1">
      <c r="D357" s="26"/>
      <c r="E357" s="26"/>
    </row>
    <row r="358" spans="4:5" ht="14.25" customHeight="1">
      <c r="D358" s="26"/>
      <c r="E358" s="26"/>
    </row>
    <row r="359" spans="4:5" ht="14.25" customHeight="1">
      <c r="D359" s="26"/>
      <c r="E359" s="26"/>
    </row>
    <row r="360" spans="4:5" ht="14.25" customHeight="1">
      <c r="D360" s="26"/>
      <c r="E360" s="26"/>
    </row>
    <row r="361" spans="4:5" ht="14.25" customHeight="1">
      <c r="D361" s="26"/>
      <c r="E361" s="26"/>
    </row>
    <row r="362" spans="4:5" ht="14.25" customHeight="1">
      <c r="D362" s="26"/>
      <c r="E362" s="26"/>
    </row>
    <row r="363" spans="4:5" ht="14.25" customHeight="1">
      <c r="D363" s="26"/>
      <c r="E363" s="26"/>
    </row>
    <row r="364" spans="4:5" ht="14.25" customHeight="1">
      <c r="D364" s="26"/>
      <c r="E364" s="26"/>
    </row>
    <row r="365" spans="4:5" ht="14.25" customHeight="1">
      <c r="D365" s="26"/>
      <c r="E365" s="26"/>
    </row>
    <row r="366" spans="4:5" ht="14.25" customHeight="1">
      <c r="D366" s="26"/>
      <c r="E366" s="26"/>
    </row>
    <row r="367" spans="4:5" ht="14.25" customHeight="1">
      <c r="D367" s="26"/>
      <c r="E367" s="26"/>
    </row>
    <row r="368" spans="4:5" ht="14.25" customHeight="1">
      <c r="D368" s="26"/>
      <c r="E368" s="26"/>
    </row>
    <row r="369" spans="4:5" ht="14.25" customHeight="1">
      <c r="D369" s="26"/>
      <c r="E369" s="26"/>
    </row>
    <row r="370" spans="4:5" ht="14.25" customHeight="1">
      <c r="D370" s="26"/>
      <c r="E370" s="26"/>
    </row>
    <row r="371" spans="4:5" ht="14.25" customHeight="1">
      <c r="D371" s="26"/>
      <c r="E371" s="26"/>
    </row>
    <row r="372" spans="4:5" ht="14.25" customHeight="1">
      <c r="D372" s="26"/>
      <c r="E372" s="26"/>
    </row>
    <row r="373" spans="4:5" ht="14.25" customHeight="1">
      <c r="D373" s="26"/>
      <c r="E373" s="26"/>
    </row>
    <row r="374" spans="4:5" ht="14.25" customHeight="1">
      <c r="D374" s="26"/>
      <c r="E374" s="26"/>
    </row>
    <row r="375" spans="4:5" ht="14.25" customHeight="1">
      <c r="D375" s="26"/>
      <c r="E375" s="26"/>
    </row>
    <row r="376" spans="4:5" ht="14.25" customHeight="1">
      <c r="D376" s="26"/>
      <c r="E376" s="26"/>
    </row>
    <row r="377" spans="4:5" ht="14.25" customHeight="1">
      <c r="D377" s="26"/>
      <c r="E377" s="26"/>
    </row>
    <row r="378" spans="4:5" ht="14.25" customHeight="1">
      <c r="D378" s="26"/>
      <c r="E378" s="26"/>
    </row>
    <row r="379" spans="4:5" ht="14.25" customHeight="1">
      <c r="D379" s="26"/>
      <c r="E379" s="26"/>
    </row>
    <row r="380" spans="4:5" ht="14.25" customHeight="1">
      <c r="D380" s="26"/>
      <c r="E380" s="26"/>
    </row>
    <row r="381" spans="4:5" ht="14.25" customHeight="1">
      <c r="D381" s="26"/>
      <c r="E381" s="26"/>
    </row>
    <row r="382" spans="4:5" ht="14.25" customHeight="1">
      <c r="D382" s="26"/>
      <c r="E382" s="26"/>
    </row>
    <row r="383" spans="4:5" ht="14.25" customHeight="1">
      <c r="D383" s="26"/>
      <c r="E383" s="26"/>
    </row>
    <row r="384" spans="4:5" ht="14.25" customHeight="1">
      <c r="D384" s="26"/>
      <c r="E384" s="26"/>
    </row>
    <row r="385" spans="4:5" ht="14.25" customHeight="1">
      <c r="D385" s="26"/>
      <c r="E385" s="26"/>
    </row>
    <row r="386" spans="4:5" ht="14.25" customHeight="1">
      <c r="D386" s="26"/>
      <c r="E386" s="26"/>
    </row>
    <row r="387" spans="4:5" ht="14.25" customHeight="1">
      <c r="D387" s="26"/>
      <c r="E387" s="26"/>
    </row>
    <row r="388" spans="4:5" ht="14.25" customHeight="1">
      <c r="D388" s="26"/>
      <c r="E388" s="26"/>
    </row>
    <row r="389" spans="4:5" ht="14.25" customHeight="1">
      <c r="D389" s="26"/>
      <c r="E389" s="26"/>
    </row>
    <row r="390" spans="4:5" ht="14.25" customHeight="1">
      <c r="D390" s="26"/>
      <c r="E390" s="26"/>
    </row>
    <row r="391" spans="4:5" ht="14.25" customHeight="1">
      <c r="D391" s="26"/>
      <c r="E391" s="26"/>
    </row>
    <row r="392" spans="4:5" ht="14.25" customHeight="1">
      <c r="D392" s="26"/>
      <c r="E392" s="26"/>
    </row>
    <row r="393" spans="4:5" ht="14.25" customHeight="1">
      <c r="D393" s="26"/>
      <c r="E393" s="26"/>
    </row>
    <row r="394" spans="4:5" ht="14.25" customHeight="1">
      <c r="D394" s="26"/>
      <c r="E394" s="26"/>
    </row>
    <row r="395" spans="4:5" ht="14.25" customHeight="1">
      <c r="D395" s="26"/>
      <c r="E395" s="26"/>
    </row>
    <row r="396" spans="4:5" ht="14.25" customHeight="1">
      <c r="D396" s="26"/>
      <c r="E396" s="26"/>
    </row>
    <row r="397" spans="4:5" ht="14.25" customHeight="1">
      <c r="D397" s="26"/>
      <c r="E397" s="26"/>
    </row>
    <row r="398" spans="4:5" ht="14.25" customHeight="1">
      <c r="D398" s="26"/>
      <c r="E398" s="26"/>
    </row>
    <row r="399" spans="4:5" ht="14.25" customHeight="1">
      <c r="D399" s="26"/>
      <c r="E399" s="26"/>
    </row>
    <row r="400" spans="4:5" ht="14.25" customHeight="1">
      <c r="D400" s="26"/>
      <c r="E400" s="26"/>
    </row>
    <row r="401" spans="4:5" ht="14.25" customHeight="1">
      <c r="D401" s="26"/>
      <c r="E401" s="26"/>
    </row>
    <row r="402" spans="4:5" ht="14.25" customHeight="1">
      <c r="D402" s="26"/>
      <c r="E402" s="26"/>
    </row>
    <row r="403" spans="4:5" ht="14.25" customHeight="1">
      <c r="D403" s="26"/>
      <c r="E403" s="26"/>
    </row>
    <row r="404" spans="4:5" ht="14.25" customHeight="1">
      <c r="D404" s="26"/>
      <c r="E404" s="26"/>
    </row>
    <row r="405" spans="4:5" ht="14.25" customHeight="1">
      <c r="D405" s="26"/>
      <c r="E405" s="26"/>
    </row>
    <row r="406" spans="4:5" ht="14.25" customHeight="1">
      <c r="D406" s="26"/>
      <c r="E406" s="26"/>
    </row>
    <row r="407" spans="4:5" ht="14.25" customHeight="1">
      <c r="D407" s="26"/>
      <c r="E407" s="26"/>
    </row>
    <row r="408" spans="4:5" ht="14.25" customHeight="1">
      <c r="D408" s="26"/>
      <c r="E408" s="26"/>
    </row>
    <row r="409" spans="4:5" ht="14.25" customHeight="1">
      <c r="D409" s="26"/>
      <c r="E409" s="26"/>
    </row>
    <row r="410" spans="4:5" ht="14.25" customHeight="1">
      <c r="D410" s="26"/>
      <c r="E410" s="26"/>
    </row>
    <row r="411" spans="4:5" ht="14.25" customHeight="1">
      <c r="D411" s="26"/>
      <c r="E411" s="26"/>
    </row>
    <row r="412" spans="4:5" ht="14.25" customHeight="1">
      <c r="D412" s="26"/>
      <c r="E412" s="26"/>
    </row>
    <row r="413" spans="4:5" ht="14.25" customHeight="1">
      <c r="D413" s="26"/>
      <c r="E413" s="26"/>
    </row>
    <row r="414" spans="4:5" ht="14.25" customHeight="1">
      <c r="D414" s="26"/>
      <c r="E414" s="26"/>
    </row>
    <row r="415" spans="4:5" ht="14.25" customHeight="1">
      <c r="D415" s="26"/>
      <c r="E415" s="26"/>
    </row>
    <row r="416" spans="4:5" ht="14.25" customHeight="1">
      <c r="D416" s="26"/>
      <c r="E416" s="26"/>
    </row>
    <row r="417" spans="4:5" ht="14.25" customHeight="1">
      <c r="D417" s="26"/>
      <c r="E417" s="26"/>
    </row>
    <row r="418" spans="4:5" ht="14.25" customHeight="1">
      <c r="D418" s="26"/>
      <c r="E418" s="26"/>
    </row>
    <row r="419" spans="4:5" ht="14.25" customHeight="1">
      <c r="D419" s="26"/>
      <c r="E419" s="26"/>
    </row>
    <row r="420" spans="4:5" ht="14.25" customHeight="1">
      <c r="D420" s="26"/>
      <c r="E420" s="26"/>
    </row>
    <row r="421" spans="4:5" ht="14.25" customHeight="1">
      <c r="D421" s="26"/>
      <c r="E421" s="26"/>
    </row>
    <row r="422" spans="4:5" ht="14.25" customHeight="1">
      <c r="D422" s="26"/>
      <c r="E422" s="26"/>
    </row>
    <row r="423" spans="4:5" ht="14.25" customHeight="1">
      <c r="D423" s="26"/>
      <c r="E423" s="26"/>
    </row>
    <row r="424" spans="4:5" ht="14.25" customHeight="1">
      <c r="D424" s="26"/>
      <c r="E424" s="26"/>
    </row>
    <row r="425" spans="4:5" ht="14.25" customHeight="1">
      <c r="D425" s="26"/>
      <c r="E425" s="26"/>
    </row>
    <row r="426" spans="4:5" ht="14.25" customHeight="1">
      <c r="D426" s="26"/>
      <c r="E426" s="26"/>
    </row>
    <row r="427" spans="4:5" ht="14.25" customHeight="1">
      <c r="D427" s="26"/>
      <c r="E427" s="26"/>
    </row>
    <row r="428" spans="4:5" ht="14.25" customHeight="1">
      <c r="D428" s="26"/>
      <c r="E428" s="26"/>
    </row>
    <row r="429" spans="4:5" ht="14.25" customHeight="1">
      <c r="D429" s="26"/>
      <c r="E429" s="26"/>
    </row>
    <row r="430" spans="4:5" ht="14.25" customHeight="1">
      <c r="D430" s="26"/>
      <c r="E430" s="26"/>
    </row>
    <row r="431" spans="4:5" ht="14.25" customHeight="1">
      <c r="D431" s="26"/>
      <c r="E431" s="26"/>
    </row>
    <row r="432" spans="4:5" ht="14.25" customHeight="1">
      <c r="D432" s="26"/>
      <c r="E432" s="26"/>
    </row>
    <row r="433" spans="4:5" ht="14.25" customHeight="1">
      <c r="D433" s="26"/>
      <c r="E433" s="26"/>
    </row>
    <row r="434" spans="4:5" ht="14.25" customHeight="1">
      <c r="D434" s="26"/>
      <c r="E434" s="26"/>
    </row>
    <row r="435" spans="4:5" ht="14.25" customHeight="1">
      <c r="D435" s="26"/>
      <c r="E435" s="26"/>
    </row>
    <row r="436" spans="4:5" ht="14.25" customHeight="1">
      <c r="D436" s="26"/>
      <c r="E436" s="26"/>
    </row>
    <row r="437" spans="4:5" ht="14.25" customHeight="1">
      <c r="D437" s="26"/>
      <c r="E437" s="26"/>
    </row>
    <row r="438" spans="4:5" ht="14.25" customHeight="1">
      <c r="D438" s="26"/>
      <c r="E438" s="26"/>
    </row>
    <row r="439" spans="4:5" ht="14.25" customHeight="1">
      <c r="D439" s="26"/>
      <c r="E439" s="26"/>
    </row>
    <row r="440" spans="4:5" ht="14.25" customHeight="1">
      <c r="D440" s="26"/>
      <c r="E440" s="26"/>
    </row>
    <row r="441" spans="4:5" ht="14.25" customHeight="1">
      <c r="D441" s="26"/>
      <c r="E441" s="26"/>
    </row>
    <row r="442" spans="4:5" ht="14.25" customHeight="1">
      <c r="D442" s="26"/>
      <c r="E442" s="26"/>
    </row>
    <row r="443" spans="4:5" ht="14.25" customHeight="1">
      <c r="D443" s="26"/>
      <c r="E443" s="26"/>
    </row>
    <row r="444" spans="4:5" ht="14.25" customHeight="1">
      <c r="D444" s="26"/>
      <c r="E444" s="26"/>
    </row>
    <row r="445" spans="4:5" ht="14.25" customHeight="1">
      <c r="D445" s="26"/>
      <c r="E445" s="26"/>
    </row>
    <row r="446" spans="4:5" ht="14.25" customHeight="1">
      <c r="D446" s="26"/>
      <c r="E446" s="26"/>
    </row>
    <row r="447" spans="4:5" ht="14.25" customHeight="1">
      <c r="D447" s="26"/>
      <c r="E447" s="26"/>
    </row>
    <row r="448" spans="4:5" ht="14.25" customHeight="1">
      <c r="D448" s="26"/>
      <c r="E448" s="26"/>
    </row>
    <row r="449" spans="4:5" ht="14.25" customHeight="1">
      <c r="D449" s="26"/>
      <c r="E449" s="26"/>
    </row>
    <row r="450" spans="4:5" ht="14.25" customHeight="1">
      <c r="D450" s="26"/>
      <c r="E450" s="26"/>
    </row>
    <row r="451" spans="4:5" ht="14.25" customHeight="1">
      <c r="D451" s="26"/>
      <c r="E451" s="26"/>
    </row>
    <row r="452" spans="4:5" ht="14.25" customHeight="1">
      <c r="D452" s="26"/>
      <c r="E452" s="26"/>
    </row>
    <row r="453" spans="4:5" ht="14.25" customHeight="1">
      <c r="D453" s="26"/>
      <c r="E453" s="26"/>
    </row>
    <row r="454" spans="4:5" ht="14.25" customHeight="1">
      <c r="D454" s="26"/>
      <c r="E454" s="26"/>
    </row>
    <row r="455" spans="4:5" ht="14.25" customHeight="1">
      <c r="D455" s="26"/>
      <c r="E455" s="26"/>
    </row>
    <row r="456" spans="4:5" ht="14.25" customHeight="1">
      <c r="D456" s="26"/>
      <c r="E456" s="26"/>
    </row>
    <row r="457" spans="4:5" ht="14.25" customHeight="1">
      <c r="D457" s="26"/>
      <c r="E457" s="26"/>
    </row>
    <row r="458" spans="4:5" ht="14.25" customHeight="1">
      <c r="D458" s="26"/>
      <c r="E458" s="26"/>
    </row>
    <row r="459" spans="4:5" ht="14.25" customHeight="1">
      <c r="D459" s="26"/>
      <c r="E459" s="26"/>
    </row>
    <row r="460" spans="4:5" ht="14.25" customHeight="1">
      <c r="D460" s="26"/>
      <c r="E460" s="26"/>
    </row>
    <row r="461" spans="4:5" ht="14.25" customHeight="1">
      <c r="D461" s="26"/>
      <c r="E461" s="26"/>
    </row>
    <row r="462" spans="4:5" ht="14.25" customHeight="1">
      <c r="D462" s="26"/>
      <c r="E462" s="26"/>
    </row>
    <row r="463" spans="4:5" ht="14.25" customHeight="1">
      <c r="D463" s="26"/>
      <c r="E463" s="26"/>
    </row>
    <row r="464" spans="4:5" ht="14.25" customHeight="1">
      <c r="D464" s="26"/>
      <c r="E464" s="26"/>
    </row>
    <row r="465" spans="4:5" ht="14.25" customHeight="1">
      <c r="D465" s="26"/>
      <c r="E465" s="26"/>
    </row>
    <row r="466" spans="4:5" ht="14.25" customHeight="1">
      <c r="D466" s="26"/>
      <c r="E466" s="26"/>
    </row>
    <row r="467" spans="4:5" ht="14.25" customHeight="1">
      <c r="D467" s="26"/>
      <c r="E467" s="26"/>
    </row>
    <row r="468" spans="4:5" ht="14.25" customHeight="1">
      <c r="D468" s="26"/>
      <c r="E468" s="26"/>
    </row>
    <row r="469" spans="4:5" ht="14.25" customHeight="1">
      <c r="D469" s="26"/>
      <c r="E469" s="26"/>
    </row>
    <row r="470" spans="4:5" ht="14.25" customHeight="1">
      <c r="D470" s="26"/>
      <c r="E470" s="26"/>
    </row>
    <row r="471" spans="4:5" ht="14.25" customHeight="1">
      <c r="D471" s="26"/>
      <c r="E471" s="26"/>
    </row>
    <row r="472" spans="4:5" ht="14.25" customHeight="1">
      <c r="D472" s="26"/>
      <c r="E472" s="26"/>
    </row>
    <row r="473" spans="4:5" ht="14.25" customHeight="1">
      <c r="D473" s="26"/>
      <c r="E473" s="26"/>
    </row>
    <row r="474" spans="4:5" ht="14.25" customHeight="1">
      <c r="D474" s="26"/>
      <c r="E474" s="26"/>
    </row>
    <row r="475" spans="4:5" ht="14.25" customHeight="1">
      <c r="D475" s="26"/>
      <c r="E475" s="26"/>
    </row>
    <row r="476" spans="4:5" ht="14.25" customHeight="1">
      <c r="D476" s="26"/>
      <c r="E476" s="26"/>
    </row>
    <row r="477" spans="4:5" ht="14.25" customHeight="1">
      <c r="D477" s="26"/>
      <c r="E477" s="26"/>
    </row>
    <row r="478" spans="4:5" ht="14.25" customHeight="1">
      <c r="D478" s="26"/>
      <c r="E478" s="26"/>
    </row>
    <row r="479" spans="4:5" ht="14.25" customHeight="1">
      <c r="D479" s="26"/>
      <c r="E479" s="26"/>
    </row>
    <row r="480" spans="4:5" ht="14.25" customHeight="1">
      <c r="D480" s="26"/>
      <c r="E480" s="26"/>
    </row>
    <row r="481" spans="4:5" ht="14.25" customHeight="1">
      <c r="D481" s="26"/>
      <c r="E481" s="26"/>
    </row>
    <row r="482" spans="4:5" ht="14.25" customHeight="1">
      <c r="D482" s="26"/>
      <c r="E482" s="26"/>
    </row>
    <row r="483" spans="4:5" ht="14.25" customHeight="1">
      <c r="D483" s="26"/>
      <c r="E483" s="26"/>
    </row>
    <row r="484" spans="4:5" ht="14.25" customHeight="1">
      <c r="D484" s="26"/>
      <c r="E484" s="26"/>
    </row>
    <row r="485" spans="4:5" ht="14.25" customHeight="1">
      <c r="D485" s="26"/>
      <c r="E485" s="26"/>
    </row>
    <row r="486" spans="4:5" ht="14.25" customHeight="1">
      <c r="D486" s="26"/>
      <c r="E486" s="26"/>
    </row>
    <row r="487" spans="4:5" ht="14.25" customHeight="1">
      <c r="D487" s="26"/>
      <c r="E487" s="26"/>
    </row>
    <row r="488" spans="4:5" ht="14.25" customHeight="1">
      <c r="D488" s="26"/>
      <c r="E488" s="26"/>
    </row>
    <row r="489" spans="4:5" ht="14.25" customHeight="1">
      <c r="D489" s="26"/>
      <c r="E489" s="26"/>
    </row>
    <row r="490" spans="4:5" ht="14.25" customHeight="1">
      <c r="D490" s="26"/>
      <c r="E490" s="26"/>
    </row>
    <row r="491" spans="4:5" ht="14.25" customHeight="1">
      <c r="D491" s="26"/>
      <c r="E491" s="26"/>
    </row>
    <row r="492" spans="4:5" ht="14.25" customHeight="1">
      <c r="D492" s="26"/>
      <c r="E492" s="26"/>
    </row>
    <row r="493" spans="4:5" ht="14.25" customHeight="1">
      <c r="D493" s="26"/>
      <c r="E493" s="26"/>
    </row>
    <row r="494" spans="4:5" ht="14.25" customHeight="1">
      <c r="D494" s="26"/>
      <c r="E494" s="26"/>
    </row>
    <row r="495" spans="4:5" ht="14.25" customHeight="1">
      <c r="D495" s="26"/>
      <c r="E495" s="26"/>
    </row>
    <row r="496" spans="4:5" ht="14.25" customHeight="1">
      <c r="D496" s="26"/>
      <c r="E496" s="26"/>
    </row>
    <row r="497" spans="4:5" ht="14.25" customHeight="1">
      <c r="D497" s="26"/>
      <c r="E497" s="26"/>
    </row>
    <row r="498" spans="4:5" ht="14.25" customHeight="1">
      <c r="D498" s="26"/>
      <c r="E498" s="26"/>
    </row>
    <row r="499" spans="4:5" ht="14.25" customHeight="1">
      <c r="D499" s="26"/>
      <c r="E499" s="26"/>
    </row>
    <row r="500" spans="4:5" ht="14.25" customHeight="1">
      <c r="D500" s="26"/>
      <c r="E500" s="26"/>
    </row>
    <row r="501" spans="4:5" ht="14.25" customHeight="1">
      <c r="D501" s="26"/>
      <c r="E501" s="26"/>
    </row>
    <row r="502" spans="4:5" ht="14.25" customHeight="1">
      <c r="D502" s="26"/>
      <c r="E502" s="26"/>
    </row>
    <row r="503" spans="4:5" ht="14.25" customHeight="1">
      <c r="D503" s="26"/>
      <c r="E503" s="26"/>
    </row>
    <row r="504" spans="4:5" ht="14.25" customHeight="1">
      <c r="D504" s="26"/>
      <c r="E504" s="26"/>
    </row>
    <row r="505" spans="4:5" ht="14.25" customHeight="1">
      <c r="D505" s="26"/>
      <c r="E505" s="26"/>
    </row>
    <row r="506" spans="4:5" ht="14.25" customHeight="1">
      <c r="D506" s="26"/>
      <c r="E506" s="26"/>
    </row>
    <row r="507" spans="4:5" ht="14.25" customHeight="1">
      <c r="D507" s="26"/>
      <c r="E507" s="26"/>
    </row>
    <row r="508" spans="4:5" ht="14.25" customHeight="1">
      <c r="D508" s="26"/>
      <c r="E508" s="26"/>
    </row>
    <row r="509" spans="4:5" ht="14.25" customHeight="1">
      <c r="D509" s="26"/>
      <c r="E509" s="26"/>
    </row>
    <row r="510" spans="4:5" ht="14.25" customHeight="1">
      <c r="D510" s="26"/>
      <c r="E510" s="26"/>
    </row>
    <row r="511" spans="4:5" ht="14.25" customHeight="1">
      <c r="D511" s="26"/>
      <c r="E511" s="26"/>
    </row>
    <row r="512" spans="4:5" ht="14.25" customHeight="1">
      <c r="D512" s="26"/>
      <c r="E512" s="26"/>
    </row>
    <row r="513" spans="4:5" ht="14.25" customHeight="1">
      <c r="D513" s="26"/>
      <c r="E513" s="26"/>
    </row>
    <row r="514" spans="4:5" ht="14.25" customHeight="1">
      <c r="D514" s="26"/>
      <c r="E514" s="26"/>
    </row>
    <row r="515" spans="4:5" ht="14.25" customHeight="1">
      <c r="D515" s="26"/>
      <c r="E515" s="26"/>
    </row>
    <row r="516" spans="4:5" ht="14.25" customHeight="1">
      <c r="D516" s="26"/>
      <c r="E516" s="26"/>
    </row>
    <row r="517" spans="4:5" ht="14.25" customHeight="1">
      <c r="D517" s="26"/>
      <c r="E517" s="26"/>
    </row>
    <row r="518" spans="4:5" ht="14.25" customHeight="1">
      <c r="D518" s="26"/>
      <c r="E518" s="26"/>
    </row>
    <row r="519" spans="4:5" ht="14.25" customHeight="1">
      <c r="D519" s="26"/>
      <c r="E519" s="26"/>
    </row>
    <row r="520" spans="4:5" ht="14.25" customHeight="1">
      <c r="D520" s="26"/>
      <c r="E520" s="26"/>
    </row>
    <row r="521" spans="4:5" ht="14.25" customHeight="1">
      <c r="D521" s="26"/>
      <c r="E521" s="26"/>
    </row>
    <row r="522" spans="4:5" ht="14.25" customHeight="1">
      <c r="D522" s="26"/>
      <c r="E522" s="26"/>
    </row>
    <row r="523" spans="4:5" ht="14.25" customHeight="1">
      <c r="D523" s="26"/>
      <c r="E523" s="26"/>
    </row>
    <row r="524" spans="4:5" ht="14.25" customHeight="1">
      <c r="D524" s="26"/>
      <c r="E524" s="26"/>
    </row>
    <row r="525" spans="4:5" ht="14.25" customHeight="1">
      <c r="D525" s="26"/>
      <c r="E525" s="26"/>
    </row>
    <row r="526" spans="4:5" ht="14.25" customHeight="1">
      <c r="D526" s="26"/>
      <c r="E526" s="26"/>
    </row>
    <row r="527" spans="4:5" ht="14.25" customHeight="1">
      <c r="D527" s="26"/>
      <c r="E527" s="26"/>
    </row>
    <row r="528" spans="4:5" ht="14.25" customHeight="1">
      <c r="D528" s="26"/>
      <c r="E528" s="26"/>
    </row>
    <row r="529" spans="4:5" ht="14.25" customHeight="1">
      <c r="D529" s="26"/>
      <c r="E529" s="26"/>
    </row>
    <row r="530" spans="4:5" ht="14.25" customHeight="1">
      <c r="D530" s="26"/>
      <c r="E530" s="26"/>
    </row>
    <row r="531" spans="4:5" ht="14.25" customHeight="1">
      <c r="D531" s="26"/>
      <c r="E531" s="26"/>
    </row>
    <row r="532" spans="4:5" ht="14.25" customHeight="1">
      <c r="D532" s="26"/>
      <c r="E532" s="26"/>
    </row>
    <row r="533" spans="4:5" ht="14.25" customHeight="1">
      <c r="D533" s="26"/>
      <c r="E533" s="26"/>
    </row>
    <row r="534" spans="4:5" ht="14.25" customHeight="1">
      <c r="D534" s="26"/>
      <c r="E534" s="26"/>
    </row>
    <row r="535" spans="4:5" ht="14.25" customHeight="1">
      <c r="D535" s="26"/>
      <c r="E535" s="26"/>
    </row>
    <row r="536" spans="4:5" ht="14.25" customHeight="1">
      <c r="D536" s="26"/>
      <c r="E536" s="26"/>
    </row>
    <row r="537" spans="4:5" ht="14.25" customHeight="1">
      <c r="D537" s="26"/>
      <c r="E537" s="26"/>
    </row>
    <row r="538" spans="4:5" ht="14.25" customHeight="1">
      <c r="D538" s="26"/>
      <c r="E538" s="26"/>
    </row>
    <row r="539" spans="4:5" ht="14.25" customHeight="1">
      <c r="D539" s="26"/>
      <c r="E539" s="26"/>
    </row>
    <row r="540" spans="4:5" ht="14.25" customHeight="1">
      <c r="D540" s="26"/>
      <c r="E540" s="26"/>
    </row>
    <row r="541" spans="4:5" ht="14.25" customHeight="1">
      <c r="D541" s="26"/>
      <c r="E541" s="26"/>
    </row>
    <row r="542" spans="4:5" ht="14.25" customHeight="1">
      <c r="D542" s="26"/>
      <c r="E542" s="26"/>
    </row>
    <row r="543" spans="4:5" ht="14.25" customHeight="1">
      <c r="D543" s="26"/>
      <c r="E543" s="26"/>
    </row>
    <row r="544" spans="4:5" ht="14.25" customHeight="1">
      <c r="D544" s="26"/>
      <c r="E544" s="26"/>
    </row>
    <row r="545" spans="4:5" ht="14.25" customHeight="1">
      <c r="D545" s="26"/>
      <c r="E545" s="26"/>
    </row>
    <row r="546" spans="4:5" ht="14.25" customHeight="1">
      <c r="D546" s="26"/>
      <c r="E546" s="26"/>
    </row>
    <row r="547" spans="4:5" ht="14.25" customHeight="1">
      <c r="D547" s="26"/>
      <c r="E547" s="26"/>
    </row>
    <row r="548" spans="4:5" ht="14.25" customHeight="1">
      <c r="D548" s="26"/>
      <c r="E548" s="26"/>
    </row>
    <row r="549" spans="4:5" ht="14.25" customHeight="1">
      <c r="D549" s="26"/>
      <c r="E549" s="26"/>
    </row>
    <row r="550" spans="4:5" ht="14.25" customHeight="1">
      <c r="D550" s="26"/>
      <c r="E550" s="26"/>
    </row>
    <row r="551" spans="4:5" ht="14.25" customHeight="1">
      <c r="D551" s="26"/>
      <c r="E551" s="26"/>
    </row>
    <row r="552" spans="4:5" ht="14.25" customHeight="1">
      <c r="D552" s="26"/>
      <c r="E552" s="26"/>
    </row>
    <row r="553" spans="4:5" ht="14.25" customHeight="1">
      <c r="D553" s="26"/>
      <c r="E553" s="26"/>
    </row>
    <row r="554" spans="4:5" ht="14.25" customHeight="1">
      <c r="D554" s="26"/>
      <c r="E554" s="26"/>
    </row>
    <row r="555" spans="4:5" ht="14.25" customHeight="1">
      <c r="D555" s="26"/>
      <c r="E555" s="26"/>
    </row>
    <row r="556" spans="4:5" ht="14.25" customHeight="1">
      <c r="D556" s="26"/>
      <c r="E556" s="26"/>
    </row>
    <row r="557" spans="4:5" ht="14.25" customHeight="1">
      <c r="D557" s="26"/>
      <c r="E557" s="26"/>
    </row>
    <row r="558" spans="4:5" ht="14.25" customHeight="1">
      <c r="D558" s="26"/>
      <c r="E558" s="26"/>
    </row>
    <row r="559" spans="4:5" ht="14.25" customHeight="1">
      <c r="D559" s="26"/>
      <c r="E559" s="26"/>
    </row>
    <row r="560" spans="4:5" ht="14.25" customHeight="1">
      <c r="D560" s="26"/>
      <c r="E560" s="26"/>
    </row>
    <row r="561" spans="4:5" ht="14.25" customHeight="1">
      <c r="D561" s="26"/>
      <c r="E561" s="26"/>
    </row>
    <row r="562" spans="4:5" ht="14.25" customHeight="1">
      <c r="D562" s="26"/>
      <c r="E562" s="26"/>
    </row>
    <row r="563" spans="4:5" ht="14.25" customHeight="1">
      <c r="D563" s="26"/>
      <c r="E563" s="26"/>
    </row>
    <row r="564" spans="4:5" ht="14.25" customHeight="1">
      <c r="D564" s="26"/>
      <c r="E564" s="26"/>
    </row>
    <row r="565" spans="4:5" ht="14.25" customHeight="1">
      <c r="D565" s="26"/>
      <c r="E565" s="26"/>
    </row>
    <row r="566" spans="4:5" ht="14.25" customHeight="1">
      <c r="D566" s="26"/>
      <c r="E566" s="26"/>
    </row>
    <row r="567" spans="4:5" ht="14.25" customHeight="1">
      <c r="D567" s="26"/>
      <c r="E567" s="26"/>
    </row>
    <row r="568" spans="4:5" ht="14.25" customHeight="1">
      <c r="D568" s="26"/>
      <c r="E568" s="26"/>
    </row>
    <row r="569" spans="4:5" ht="14.25" customHeight="1">
      <c r="D569" s="26"/>
      <c r="E569" s="26"/>
    </row>
    <row r="570" spans="4:5" ht="14.25" customHeight="1">
      <c r="D570" s="26"/>
      <c r="E570" s="26"/>
    </row>
    <row r="571" spans="4:5" ht="14.25" customHeight="1">
      <c r="D571" s="26"/>
      <c r="E571" s="26"/>
    </row>
    <row r="572" spans="4:5" ht="14.25" customHeight="1">
      <c r="D572" s="26"/>
      <c r="E572" s="26"/>
    </row>
    <row r="573" spans="4:5" ht="14.25" customHeight="1">
      <c r="D573" s="26"/>
      <c r="E573" s="26"/>
    </row>
    <row r="574" spans="4:5" ht="14.25" customHeight="1">
      <c r="D574" s="26"/>
      <c r="E574" s="26"/>
    </row>
    <row r="575" spans="4:5" ht="14.25" customHeight="1">
      <c r="D575" s="26"/>
      <c r="E575" s="26"/>
    </row>
    <row r="576" spans="4:5" ht="14.25" customHeight="1">
      <c r="D576" s="26"/>
      <c r="E576" s="26"/>
    </row>
    <row r="577" spans="4:5" ht="14.25" customHeight="1">
      <c r="D577" s="26"/>
      <c r="E577" s="26"/>
    </row>
    <row r="578" spans="4:5" ht="14.25" customHeight="1">
      <c r="D578" s="26"/>
      <c r="E578" s="26"/>
    </row>
    <row r="579" spans="4:5" ht="14.25" customHeight="1">
      <c r="D579" s="26"/>
      <c r="E579" s="26"/>
    </row>
    <row r="580" spans="4:5" ht="14.25" customHeight="1">
      <c r="D580" s="26"/>
      <c r="E580" s="26"/>
    </row>
    <row r="581" spans="4:5" ht="14.25" customHeight="1">
      <c r="D581" s="26"/>
      <c r="E581" s="26"/>
    </row>
    <row r="582" spans="4:5" ht="14.25" customHeight="1">
      <c r="D582" s="26"/>
      <c r="E582" s="26"/>
    </row>
    <row r="583" spans="4:5" ht="14.25" customHeight="1">
      <c r="D583" s="26"/>
      <c r="E583" s="26"/>
    </row>
    <row r="584" spans="4:5" ht="14.25" customHeight="1">
      <c r="D584" s="26"/>
      <c r="E584" s="26"/>
    </row>
    <row r="585" spans="4:5" ht="14.25" customHeight="1">
      <c r="D585" s="26"/>
      <c r="E585" s="26"/>
    </row>
    <row r="586" spans="4:5" ht="14.25" customHeight="1">
      <c r="D586" s="26"/>
      <c r="E586" s="26"/>
    </row>
    <row r="587" spans="4:5" ht="14.25" customHeight="1">
      <c r="D587" s="26"/>
      <c r="E587" s="26"/>
    </row>
    <row r="588" spans="4:5" ht="14.25" customHeight="1">
      <c r="D588" s="26"/>
      <c r="E588" s="26"/>
    </row>
    <row r="589" spans="4:5" ht="14.25" customHeight="1">
      <c r="D589" s="26"/>
      <c r="E589" s="26"/>
    </row>
    <row r="590" spans="4:5" ht="14.25" customHeight="1">
      <c r="D590" s="26"/>
      <c r="E590" s="26"/>
    </row>
    <row r="591" spans="4:5" ht="14.25" customHeight="1">
      <c r="D591" s="26"/>
      <c r="E591" s="26"/>
    </row>
    <row r="592" spans="4:5" ht="14.25" customHeight="1">
      <c r="D592" s="26"/>
      <c r="E592" s="26"/>
    </row>
    <row r="593" spans="4:5" ht="14.25" customHeight="1">
      <c r="D593" s="26"/>
      <c r="E593" s="26"/>
    </row>
    <row r="594" spans="4:5" ht="14.25" customHeight="1">
      <c r="D594" s="26"/>
      <c r="E594" s="26"/>
    </row>
    <row r="595" spans="4:5" ht="14.25" customHeight="1">
      <c r="D595" s="26"/>
      <c r="E595" s="26"/>
    </row>
    <row r="596" spans="4:5" ht="14.25" customHeight="1">
      <c r="D596" s="26"/>
      <c r="E596" s="26"/>
    </row>
    <row r="597" spans="4:5" ht="14.25" customHeight="1">
      <c r="D597" s="26"/>
      <c r="E597" s="26"/>
    </row>
    <row r="598" spans="4:5" ht="14.25" customHeight="1">
      <c r="D598" s="26"/>
      <c r="E598" s="26"/>
    </row>
    <row r="599" spans="4:5" ht="14.25" customHeight="1">
      <c r="D599" s="26"/>
      <c r="E599" s="26"/>
    </row>
    <row r="600" spans="4:5" ht="14.25" customHeight="1">
      <c r="D600" s="26"/>
      <c r="E600" s="26"/>
    </row>
    <row r="601" spans="4:5" ht="14.25" customHeight="1">
      <c r="D601" s="26"/>
      <c r="E601" s="26"/>
    </row>
    <row r="602" spans="4:5" ht="14.25" customHeight="1">
      <c r="D602" s="26"/>
      <c r="E602" s="26"/>
    </row>
    <row r="603" spans="4:5" ht="14.25" customHeight="1">
      <c r="D603" s="26"/>
      <c r="E603" s="26"/>
    </row>
    <row r="604" spans="4:5" ht="14.25" customHeight="1">
      <c r="D604" s="26"/>
      <c r="E604" s="26"/>
    </row>
    <row r="605" spans="4:5" ht="14.25" customHeight="1">
      <c r="D605" s="26"/>
      <c r="E605" s="26"/>
    </row>
    <row r="606" spans="4:5" ht="14.25" customHeight="1">
      <c r="D606" s="26"/>
      <c r="E606" s="26"/>
    </row>
    <row r="607" spans="4:5" ht="14.25" customHeight="1">
      <c r="D607" s="26"/>
      <c r="E607" s="26"/>
    </row>
    <row r="608" spans="4:5" ht="14.25" customHeight="1">
      <c r="D608" s="26"/>
      <c r="E608" s="26"/>
    </row>
    <row r="609" spans="4:5" ht="14.25" customHeight="1">
      <c r="D609" s="26"/>
      <c r="E609" s="26"/>
    </row>
    <row r="610" spans="4:5" ht="14.25" customHeight="1">
      <c r="D610" s="26"/>
      <c r="E610" s="26"/>
    </row>
    <row r="611" spans="4:5" ht="14.25" customHeight="1">
      <c r="D611" s="26"/>
      <c r="E611" s="26"/>
    </row>
    <row r="612" spans="4:5" ht="14.25" customHeight="1">
      <c r="D612" s="26"/>
      <c r="E612" s="26"/>
    </row>
    <row r="613" spans="4:5" ht="14.25" customHeight="1">
      <c r="D613" s="26"/>
      <c r="E613" s="26"/>
    </row>
    <row r="614" spans="4:5" ht="14.25" customHeight="1">
      <c r="D614" s="26"/>
      <c r="E614" s="26"/>
    </row>
    <row r="615" spans="4:5" ht="14.25" customHeight="1">
      <c r="D615" s="26"/>
      <c r="E615" s="26"/>
    </row>
    <row r="616" spans="4:5" ht="14.25" customHeight="1">
      <c r="D616" s="26"/>
      <c r="E616" s="26"/>
    </row>
    <row r="617" spans="4:5" ht="14.25" customHeight="1">
      <c r="D617" s="26"/>
      <c r="E617" s="26"/>
    </row>
    <row r="618" spans="4:5" ht="14.25" customHeight="1">
      <c r="D618" s="26"/>
      <c r="E618" s="26"/>
    </row>
    <row r="619" spans="4:5" ht="14.25" customHeight="1">
      <c r="D619" s="26"/>
      <c r="E619" s="26"/>
    </row>
    <row r="620" spans="4:5" ht="14.25" customHeight="1">
      <c r="D620" s="26"/>
      <c r="E620" s="26"/>
    </row>
    <row r="621" spans="4:5" ht="14.25" customHeight="1">
      <c r="D621" s="26"/>
      <c r="E621" s="26"/>
    </row>
    <row r="622" spans="4:5" ht="14.25" customHeight="1">
      <c r="D622" s="26"/>
      <c r="E622" s="26"/>
    </row>
    <row r="623" spans="4:5" ht="14.25" customHeight="1">
      <c r="D623" s="26"/>
      <c r="E623" s="26"/>
    </row>
    <row r="624" spans="4:5" ht="14.25" customHeight="1">
      <c r="D624" s="26"/>
      <c r="E624" s="26"/>
    </row>
    <row r="625" spans="4:5" ht="14.25" customHeight="1">
      <c r="D625" s="26"/>
      <c r="E625" s="26"/>
    </row>
    <row r="626" spans="4:5" ht="14.25" customHeight="1">
      <c r="D626" s="26"/>
      <c r="E626" s="26"/>
    </row>
    <row r="627" spans="4:5" ht="14.25" customHeight="1">
      <c r="D627" s="26"/>
      <c r="E627" s="26"/>
    </row>
    <row r="628" spans="4:5" ht="14.25" customHeight="1">
      <c r="D628" s="26"/>
      <c r="E628" s="26"/>
    </row>
    <row r="629" spans="4:5" ht="14.25" customHeight="1">
      <c r="D629" s="26"/>
      <c r="E629" s="26"/>
    </row>
    <row r="630" spans="4:5" ht="14.25" customHeight="1">
      <c r="D630" s="26"/>
      <c r="E630" s="26"/>
    </row>
    <row r="631" spans="4:5" ht="14.25" customHeight="1">
      <c r="D631" s="26"/>
      <c r="E631" s="26"/>
    </row>
    <row r="632" spans="4:5" ht="14.25" customHeight="1">
      <c r="D632" s="26"/>
      <c r="E632" s="26"/>
    </row>
    <row r="633" spans="4:5" ht="14.25" customHeight="1">
      <c r="D633" s="26"/>
      <c r="E633" s="26"/>
    </row>
    <row r="634" spans="4:5" ht="14.25" customHeight="1">
      <c r="D634" s="26"/>
      <c r="E634" s="26"/>
    </row>
    <row r="635" spans="4:5" ht="14.25" customHeight="1">
      <c r="D635" s="26"/>
      <c r="E635" s="26"/>
    </row>
    <row r="636" spans="4:5" ht="14.25" customHeight="1">
      <c r="D636" s="26"/>
      <c r="E636" s="26"/>
    </row>
    <row r="637" spans="4:5" ht="14.25" customHeight="1">
      <c r="D637" s="26"/>
      <c r="E637" s="26"/>
    </row>
    <row r="638" spans="4:5" ht="14.25" customHeight="1">
      <c r="D638" s="26"/>
      <c r="E638" s="26"/>
    </row>
    <row r="639" spans="4:5" ht="14.25" customHeight="1">
      <c r="D639" s="26"/>
      <c r="E639" s="26"/>
    </row>
    <row r="640" spans="4:5" ht="14.25" customHeight="1">
      <c r="D640" s="26"/>
      <c r="E640" s="26"/>
    </row>
    <row r="641" spans="4:5" ht="14.25" customHeight="1">
      <c r="D641" s="26"/>
      <c r="E641" s="26"/>
    </row>
    <row r="642" spans="4:5" ht="14.25" customHeight="1">
      <c r="D642" s="26"/>
      <c r="E642" s="26"/>
    </row>
    <row r="643" spans="4:5" ht="14.25" customHeight="1">
      <c r="D643" s="26"/>
      <c r="E643" s="26"/>
    </row>
    <row r="644" spans="4:5" ht="14.25" customHeight="1">
      <c r="D644" s="26"/>
      <c r="E644" s="26"/>
    </row>
    <row r="645" spans="4:5" ht="14.25" customHeight="1">
      <c r="D645" s="26"/>
      <c r="E645" s="26"/>
    </row>
    <row r="646" spans="4:5" ht="14.25" customHeight="1">
      <c r="D646" s="26"/>
      <c r="E646" s="26"/>
    </row>
    <row r="647" spans="4:5" ht="14.25" customHeight="1">
      <c r="D647" s="26"/>
      <c r="E647" s="26"/>
    </row>
    <row r="648" spans="4:5" ht="14.25" customHeight="1">
      <c r="D648" s="26"/>
      <c r="E648" s="26"/>
    </row>
    <row r="649" spans="4:5" ht="14.25" customHeight="1">
      <c r="D649" s="26"/>
      <c r="E649" s="26"/>
    </row>
    <row r="650" spans="4:5" ht="14.25" customHeight="1">
      <c r="D650" s="26"/>
      <c r="E650" s="26"/>
    </row>
    <row r="651" spans="4:5" ht="14.25" customHeight="1">
      <c r="D651" s="26"/>
      <c r="E651" s="26"/>
    </row>
    <row r="652" spans="4:5" ht="14.25" customHeight="1">
      <c r="D652" s="26"/>
      <c r="E652" s="26"/>
    </row>
    <row r="653" spans="4:5" ht="14.25" customHeight="1">
      <c r="D653" s="26"/>
      <c r="E653" s="26"/>
    </row>
    <row r="654" spans="4:5" ht="14.25" customHeight="1">
      <c r="D654" s="26"/>
      <c r="E654" s="26"/>
    </row>
    <row r="655" spans="4:5" ht="14.25" customHeight="1">
      <c r="D655" s="26"/>
      <c r="E655" s="26"/>
    </row>
    <row r="656" spans="4:5" ht="14.25" customHeight="1">
      <c r="D656" s="26"/>
      <c r="E656" s="26"/>
    </row>
    <row r="657" spans="4:5" ht="14.25" customHeight="1">
      <c r="D657" s="26"/>
      <c r="E657" s="26"/>
    </row>
    <row r="658" spans="4:5" ht="14.25" customHeight="1">
      <c r="D658" s="26"/>
      <c r="E658" s="26"/>
    </row>
    <row r="659" spans="4:5" ht="14.25" customHeight="1">
      <c r="D659" s="26"/>
      <c r="E659" s="26"/>
    </row>
    <row r="660" spans="4:5" ht="14.25" customHeight="1">
      <c r="D660" s="26"/>
      <c r="E660" s="26"/>
    </row>
    <row r="661" spans="4:5" ht="14.25" customHeight="1">
      <c r="D661" s="26"/>
      <c r="E661" s="26"/>
    </row>
    <row r="662" spans="4:5" ht="14.25" customHeight="1">
      <c r="D662" s="26"/>
      <c r="E662" s="26"/>
    </row>
    <row r="663" spans="4:5" ht="14.25" customHeight="1">
      <c r="D663" s="26"/>
      <c r="E663" s="26"/>
    </row>
    <row r="664" spans="4:5" ht="14.25" customHeight="1">
      <c r="D664" s="26"/>
      <c r="E664" s="26"/>
    </row>
    <row r="665" spans="4:5" ht="14.25" customHeight="1">
      <c r="D665" s="26"/>
      <c r="E665" s="26"/>
    </row>
    <row r="666" spans="4:5" ht="14.25" customHeight="1">
      <c r="D666" s="26"/>
      <c r="E666" s="26"/>
    </row>
    <row r="667" spans="4:5" ht="14.25" customHeight="1">
      <c r="D667" s="26"/>
      <c r="E667" s="26"/>
    </row>
    <row r="668" spans="4:5" ht="14.25" customHeight="1">
      <c r="D668" s="26"/>
      <c r="E668" s="26"/>
    </row>
    <row r="669" spans="4:5" ht="14.25" customHeight="1">
      <c r="D669" s="26"/>
      <c r="E669" s="26"/>
    </row>
    <row r="670" spans="4:5" ht="14.25" customHeight="1">
      <c r="D670" s="26"/>
      <c r="E670" s="26"/>
    </row>
    <row r="671" spans="4:5" ht="14.25" customHeight="1">
      <c r="D671" s="26"/>
      <c r="E671" s="26"/>
    </row>
    <row r="672" spans="4:5" ht="14.25" customHeight="1">
      <c r="D672" s="26"/>
      <c r="E672" s="26"/>
    </row>
    <row r="673" spans="4:5" ht="14.25" customHeight="1">
      <c r="D673" s="26"/>
      <c r="E673" s="26"/>
    </row>
    <row r="674" spans="4:5" ht="14.25" customHeight="1">
      <c r="D674" s="26"/>
      <c r="E674" s="26"/>
    </row>
    <row r="675" spans="4:5" ht="14.25" customHeight="1">
      <c r="D675" s="26"/>
      <c r="E675" s="26"/>
    </row>
    <row r="676" spans="4:5" ht="14.25" customHeight="1">
      <c r="D676" s="26"/>
      <c r="E676" s="26"/>
    </row>
    <row r="677" spans="4:5" ht="14.25" customHeight="1">
      <c r="D677" s="26"/>
      <c r="E677" s="26"/>
    </row>
    <row r="678" spans="4:5" ht="14.25" customHeight="1">
      <c r="D678" s="26"/>
      <c r="E678" s="26"/>
    </row>
    <row r="679" spans="4:5" ht="14.25" customHeight="1">
      <c r="D679" s="26"/>
      <c r="E679" s="26"/>
    </row>
    <row r="680" spans="4:5" ht="14.25" customHeight="1">
      <c r="D680" s="26"/>
      <c r="E680" s="26"/>
    </row>
    <row r="681" spans="4:5" ht="14.25" customHeight="1">
      <c r="D681" s="26"/>
      <c r="E681" s="26"/>
    </row>
    <row r="682" spans="4:5" ht="14.25" customHeight="1">
      <c r="D682" s="26"/>
      <c r="E682" s="26"/>
    </row>
    <row r="683" spans="4:5" ht="14.25" customHeight="1">
      <c r="D683" s="26"/>
      <c r="E683" s="26"/>
    </row>
    <row r="684" spans="4:5" ht="14.25" customHeight="1">
      <c r="D684" s="26"/>
      <c r="E684" s="26"/>
    </row>
    <row r="685" spans="4:5" ht="14.25" customHeight="1">
      <c r="D685" s="26"/>
      <c r="E685" s="26"/>
    </row>
    <row r="686" spans="4:5" ht="14.25" customHeight="1">
      <c r="D686" s="26"/>
      <c r="E686" s="26"/>
    </row>
    <row r="687" spans="4:5" ht="14.25" customHeight="1">
      <c r="D687" s="26"/>
      <c r="E687" s="26"/>
    </row>
    <row r="688" spans="4:5" ht="14.25" customHeight="1">
      <c r="D688" s="26"/>
      <c r="E688" s="26"/>
    </row>
    <row r="689" spans="4:5" ht="14.25" customHeight="1">
      <c r="D689" s="26"/>
      <c r="E689" s="26"/>
    </row>
    <row r="690" spans="4:5" ht="14.25" customHeight="1">
      <c r="D690" s="26"/>
      <c r="E690" s="26"/>
    </row>
    <row r="691" spans="4:5" ht="14.25" customHeight="1">
      <c r="D691" s="26"/>
      <c r="E691" s="26"/>
    </row>
    <row r="692" spans="4:5" ht="14.25" customHeight="1">
      <c r="D692" s="26"/>
      <c r="E692" s="26"/>
    </row>
    <row r="693" spans="4:5" ht="14.25" customHeight="1">
      <c r="D693" s="26"/>
      <c r="E693" s="26"/>
    </row>
    <row r="694" spans="4:5" ht="14.25" customHeight="1">
      <c r="D694" s="26"/>
      <c r="E694" s="26"/>
    </row>
    <row r="695" spans="4:5" ht="14.25" customHeight="1">
      <c r="D695" s="26"/>
      <c r="E695" s="26"/>
    </row>
    <row r="696" spans="4:5" ht="14.25" customHeight="1">
      <c r="D696" s="26"/>
      <c r="E696" s="26"/>
    </row>
    <row r="697" spans="4:5" ht="14.25" customHeight="1">
      <c r="D697" s="26"/>
      <c r="E697" s="26"/>
    </row>
    <row r="698" spans="4:5" ht="14.25" customHeight="1">
      <c r="D698" s="26"/>
      <c r="E698" s="26"/>
    </row>
    <row r="699" spans="4:5" ht="14.25" customHeight="1">
      <c r="D699" s="26"/>
      <c r="E699" s="26"/>
    </row>
    <row r="700" spans="4:5" ht="14.25" customHeight="1">
      <c r="D700" s="26"/>
      <c r="E700" s="26"/>
    </row>
    <row r="701" spans="4:5" ht="14.25" customHeight="1">
      <c r="D701" s="26"/>
      <c r="E701" s="26"/>
    </row>
    <row r="702" spans="4:5" ht="14.25" customHeight="1">
      <c r="D702" s="26"/>
      <c r="E702" s="26"/>
    </row>
    <row r="703" spans="4:5" ht="14.25" customHeight="1">
      <c r="D703" s="26"/>
      <c r="E703" s="26"/>
    </row>
    <row r="704" spans="4:5" ht="14.25" customHeight="1">
      <c r="D704" s="26"/>
      <c r="E704" s="26"/>
    </row>
    <row r="705" spans="4:5" ht="14.25" customHeight="1">
      <c r="D705" s="26"/>
      <c r="E705" s="26"/>
    </row>
    <row r="706" spans="4:5" ht="14.25" customHeight="1">
      <c r="D706" s="26"/>
      <c r="E706" s="26"/>
    </row>
    <row r="707" spans="4:5" ht="14.25" customHeight="1">
      <c r="D707" s="26"/>
      <c r="E707" s="26"/>
    </row>
    <row r="708" spans="4:5" ht="14.25" customHeight="1">
      <c r="D708" s="26"/>
      <c r="E708" s="26"/>
    </row>
    <row r="709" spans="4:5" ht="14.25" customHeight="1">
      <c r="D709" s="26"/>
      <c r="E709" s="26"/>
    </row>
    <row r="710" spans="4:5" ht="14.25" customHeight="1">
      <c r="D710" s="26"/>
      <c r="E710" s="26"/>
    </row>
    <row r="711" spans="4:5" ht="14.25" customHeight="1">
      <c r="D711" s="26"/>
      <c r="E711" s="26"/>
    </row>
    <row r="712" spans="4:5" ht="14.25" customHeight="1">
      <c r="D712" s="26"/>
      <c r="E712" s="26"/>
    </row>
    <row r="713" spans="4:5" ht="14.25" customHeight="1">
      <c r="D713" s="26"/>
      <c r="E713" s="26"/>
    </row>
    <row r="714" spans="4:5" ht="14.25" customHeight="1">
      <c r="D714" s="26"/>
      <c r="E714" s="26"/>
    </row>
    <row r="715" spans="4:5" ht="14.25" customHeight="1">
      <c r="D715" s="26"/>
      <c r="E715" s="26"/>
    </row>
    <row r="716" spans="4:5" ht="14.25" customHeight="1">
      <c r="D716" s="26"/>
      <c r="E716" s="26"/>
    </row>
    <row r="717" spans="4:5" ht="14.25" customHeight="1">
      <c r="D717" s="26"/>
      <c r="E717" s="26"/>
    </row>
    <row r="718" spans="4:5" ht="14.25" customHeight="1">
      <c r="D718" s="26"/>
      <c r="E718" s="26"/>
    </row>
    <row r="719" spans="4:5" ht="14.25" customHeight="1">
      <c r="D719" s="26"/>
      <c r="E719" s="26"/>
    </row>
    <row r="720" spans="4:5" ht="14.25" customHeight="1">
      <c r="D720" s="26"/>
      <c r="E720" s="26"/>
    </row>
    <row r="721" spans="4:5" ht="14.25" customHeight="1">
      <c r="D721" s="26"/>
      <c r="E721" s="26"/>
    </row>
    <row r="722" spans="4:5" ht="14.25" customHeight="1">
      <c r="D722" s="26"/>
      <c r="E722" s="26"/>
    </row>
    <row r="723" spans="4:5" ht="14.25" customHeight="1">
      <c r="D723" s="26"/>
      <c r="E723" s="26"/>
    </row>
    <row r="724" spans="4:5" ht="14.25" customHeight="1">
      <c r="D724" s="26"/>
      <c r="E724" s="26"/>
    </row>
    <row r="725" spans="4:5" ht="14.25" customHeight="1">
      <c r="D725" s="26"/>
      <c r="E725" s="26"/>
    </row>
    <row r="726" spans="4:5" ht="14.25" customHeight="1">
      <c r="D726" s="26"/>
      <c r="E726" s="26"/>
    </row>
    <row r="727" spans="4:5" ht="14.25" customHeight="1">
      <c r="D727" s="26"/>
      <c r="E727" s="26"/>
    </row>
    <row r="728" spans="4:5" ht="14.25" customHeight="1">
      <c r="D728" s="26"/>
      <c r="E728" s="26"/>
    </row>
    <row r="729" spans="4:5" ht="14.25" customHeight="1">
      <c r="D729" s="26"/>
      <c r="E729" s="26"/>
    </row>
    <row r="730" spans="4:5" ht="14.25" customHeight="1">
      <c r="D730" s="26"/>
      <c r="E730" s="26"/>
    </row>
    <row r="731" spans="4:5" ht="14.25" customHeight="1">
      <c r="D731" s="26"/>
      <c r="E731" s="26"/>
    </row>
    <row r="732" spans="4:5" ht="14.25" customHeight="1">
      <c r="D732" s="26"/>
      <c r="E732" s="26"/>
    </row>
    <row r="733" spans="4:5" ht="14.25" customHeight="1">
      <c r="D733" s="26"/>
      <c r="E733" s="26"/>
    </row>
    <row r="734" spans="4:5" ht="14.25" customHeight="1">
      <c r="D734" s="26"/>
      <c r="E734" s="26"/>
    </row>
    <row r="735" spans="4:5" ht="14.25" customHeight="1">
      <c r="D735" s="26"/>
      <c r="E735" s="26"/>
    </row>
    <row r="736" spans="4:5" ht="14.25" customHeight="1">
      <c r="D736" s="26"/>
      <c r="E736" s="26"/>
    </row>
    <row r="737" spans="4:5" ht="14.25" customHeight="1">
      <c r="D737" s="26"/>
      <c r="E737" s="26"/>
    </row>
    <row r="738" spans="4:5" ht="14.25" customHeight="1">
      <c r="D738" s="26"/>
      <c r="E738" s="26"/>
    </row>
    <row r="739" spans="4:5" ht="14.25" customHeight="1">
      <c r="D739" s="26"/>
      <c r="E739" s="26"/>
    </row>
    <row r="740" spans="4:5" ht="14.25" customHeight="1">
      <c r="D740" s="26"/>
      <c r="E740" s="26"/>
    </row>
    <row r="741" spans="4:5" ht="14.25" customHeight="1">
      <c r="D741" s="26"/>
      <c r="E741" s="26"/>
    </row>
    <row r="742" spans="4:5" ht="14.25" customHeight="1">
      <c r="D742" s="26"/>
      <c r="E742" s="26"/>
    </row>
    <row r="743" spans="4:5" ht="14.25" customHeight="1">
      <c r="D743" s="26"/>
      <c r="E743" s="26"/>
    </row>
    <row r="744" spans="4:5" ht="14.25" customHeight="1">
      <c r="D744" s="26"/>
      <c r="E744" s="26"/>
    </row>
    <row r="745" spans="4:5" ht="14.25" customHeight="1">
      <c r="D745" s="26"/>
      <c r="E745" s="26"/>
    </row>
    <row r="746" spans="4:5" ht="14.25" customHeight="1">
      <c r="D746" s="26"/>
      <c r="E746" s="26"/>
    </row>
    <row r="747" spans="4:5" ht="14.25" customHeight="1">
      <c r="D747" s="26"/>
      <c r="E747" s="26"/>
    </row>
    <row r="748" spans="4:5" ht="14.25" customHeight="1">
      <c r="D748" s="26"/>
      <c r="E748" s="26"/>
    </row>
    <row r="749" spans="4:5" ht="14.25" customHeight="1">
      <c r="D749" s="26"/>
      <c r="E749" s="26"/>
    </row>
    <row r="750" spans="4:5" ht="14.25" customHeight="1">
      <c r="D750" s="26"/>
      <c r="E750" s="26"/>
    </row>
    <row r="751" spans="4:5" ht="14.25" customHeight="1">
      <c r="D751" s="26"/>
      <c r="E751" s="26"/>
    </row>
    <row r="752" spans="4:5" ht="14.25" customHeight="1">
      <c r="D752" s="26"/>
      <c r="E752" s="26"/>
    </row>
    <row r="753" spans="4:5" ht="14.25" customHeight="1">
      <c r="D753" s="26"/>
      <c r="E753" s="26"/>
    </row>
    <row r="754" spans="4:5" ht="14.25" customHeight="1">
      <c r="D754" s="26"/>
      <c r="E754" s="26"/>
    </row>
    <row r="755" spans="4:5" ht="14.25" customHeight="1">
      <c r="D755" s="26"/>
      <c r="E755" s="26"/>
    </row>
    <row r="756" spans="4:5" ht="14.25" customHeight="1">
      <c r="D756" s="26"/>
      <c r="E756" s="26"/>
    </row>
    <row r="757" spans="4:5" ht="14.25" customHeight="1">
      <c r="D757" s="26"/>
      <c r="E757" s="26"/>
    </row>
    <row r="758" spans="4:5" ht="14.25" customHeight="1">
      <c r="D758" s="26"/>
      <c r="E758" s="26"/>
    </row>
    <row r="759" spans="4:5" ht="14.25" customHeight="1">
      <c r="D759" s="26"/>
      <c r="E759" s="26"/>
    </row>
    <row r="760" spans="4:5" ht="14.25" customHeight="1">
      <c r="D760" s="26"/>
      <c r="E760" s="26"/>
    </row>
    <row r="761" spans="4:5" ht="14.25" customHeight="1">
      <c r="D761" s="26"/>
      <c r="E761" s="26"/>
    </row>
    <row r="762" spans="4:5" ht="14.25" customHeight="1">
      <c r="D762" s="26"/>
      <c r="E762" s="26"/>
    </row>
    <row r="763" spans="4:5" ht="14.25" customHeight="1">
      <c r="D763" s="26"/>
      <c r="E763" s="26"/>
    </row>
    <row r="764" spans="4:5" ht="14.25" customHeight="1">
      <c r="D764" s="26"/>
      <c r="E764" s="26"/>
    </row>
    <row r="765" spans="4:5" ht="14.25" customHeight="1">
      <c r="D765" s="26"/>
      <c r="E765" s="26"/>
    </row>
    <row r="766" spans="4:5" ht="14.25" customHeight="1">
      <c r="D766" s="26"/>
      <c r="E766" s="26"/>
    </row>
    <row r="767" spans="4:5" ht="14.25" customHeight="1">
      <c r="D767" s="26"/>
      <c r="E767" s="26"/>
    </row>
    <row r="768" spans="4:5" ht="14.25" customHeight="1">
      <c r="D768" s="26"/>
      <c r="E768" s="26"/>
    </row>
    <row r="769" spans="4:5" ht="14.25" customHeight="1">
      <c r="D769" s="26"/>
      <c r="E769" s="26"/>
    </row>
    <row r="770" spans="4:5" ht="14.25" customHeight="1">
      <c r="D770" s="26"/>
      <c r="E770" s="26"/>
    </row>
    <row r="771" spans="4:5" ht="14.25" customHeight="1">
      <c r="D771" s="26"/>
      <c r="E771" s="26"/>
    </row>
    <row r="772" spans="4:5" ht="14.25" customHeight="1">
      <c r="D772" s="26"/>
      <c r="E772" s="26"/>
    </row>
    <row r="773" spans="4:5" ht="14.25" customHeight="1">
      <c r="D773" s="26"/>
      <c r="E773" s="26"/>
    </row>
    <row r="774" spans="4:5" ht="14.25" customHeight="1">
      <c r="D774" s="26"/>
      <c r="E774" s="26"/>
    </row>
    <row r="775" spans="4:5" ht="14.25" customHeight="1">
      <c r="D775" s="26"/>
      <c r="E775" s="26"/>
    </row>
    <row r="776" spans="4:5" ht="14.25" customHeight="1">
      <c r="D776" s="26"/>
      <c r="E776" s="26"/>
    </row>
    <row r="777" spans="4:5" ht="14.25" customHeight="1">
      <c r="D777" s="26"/>
      <c r="E777" s="26"/>
    </row>
    <row r="778" spans="4:5" ht="14.25" customHeight="1">
      <c r="D778" s="26"/>
      <c r="E778" s="26"/>
    </row>
    <row r="779" spans="4:5" ht="14.25" customHeight="1">
      <c r="D779" s="26"/>
      <c r="E779" s="26"/>
    </row>
    <row r="780" spans="4:5" ht="14.25" customHeight="1">
      <c r="D780" s="26"/>
      <c r="E780" s="26"/>
    </row>
    <row r="781" spans="4:5" ht="14.25" customHeight="1">
      <c r="D781" s="26"/>
      <c r="E781" s="26"/>
    </row>
    <row r="782" spans="4:5" ht="14.25" customHeight="1">
      <c r="D782" s="26"/>
      <c r="E782" s="26"/>
    </row>
    <row r="783" spans="4:5" ht="14.25" customHeight="1">
      <c r="D783" s="26"/>
      <c r="E783" s="26"/>
    </row>
    <row r="784" spans="4:5" ht="14.25" customHeight="1">
      <c r="D784" s="26"/>
      <c r="E784" s="26"/>
    </row>
    <row r="785" spans="4:5" ht="14.25" customHeight="1">
      <c r="D785" s="26"/>
      <c r="E785" s="26"/>
    </row>
    <row r="786" spans="4:5" ht="14.25" customHeight="1">
      <c r="D786" s="26"/>
      <c r="E786" s="26"/>
    </row>
    <row r="787" spans="4:5" ht="14.25" customHeight="1">
      <c r="D787" s="26"/>
      <c r="E787" s="26"/>
    </row>
    <row r="788" spans="4:5" ht="14.25" customHeight="1">
      <c r="D788" s="26"/>
      <c r="E788" s="26"/>
    </row>
    <row r="789" spans="4:5" ht="14.25" customHeight="1">
      <c r="D789" s="26"/>
      <c r="E789" s="26"/>
    </row>
    <row r="790" spans="4:5" ht="14.25" customHeight="1">
      <c r="D790" s="26"/>
      <c r="E790" s="26"/>
    </row>
    <row r="791" spans="4:5" ht="14.25" customHeight="1">
      <c r="D791" s="26"/>
      <c r="E791" s="26"/>
    </row>
    <row r="792" spans="4:5" ht="14.25" customHeight="1">
      <c r="D792" s="26"/>
      <c r="E792" s="26"/>
    </row>
    <row r="793" spans="4:5" ht="14.25" customHeight="1">
      <c r="D793" s="26"/>
      <c r="E793" s="26"/>
    </row>
    <row r="794" spans="4:5" ht="14.25" customHeight="1">
      <c r="D794" s="26"/>
      <c r="E794" s="26"/>
    </row>
    <row r="795" spans="4:5" ht="14.25" customHeight="1">
      <c r="D795" s="26"/>
      <c r="E795" s="26"/>
    </row>
    <row r="796" spans="4:5" ht="14.25" customHeight="1">
      <c r="D796" s="26"/>
      <c r="E796" s="26"/>
    </row>
    <row r="797" spans="4:5" ht="14.25" customHeight="1">
      <c r="D797" s="26"/>
      <c r="E797" s="26"/>
    </row>
    <row r="798" spans="4:5" ht="14.25" customHeight="1">
      <c r="D798" s="26"/>
      <c r="E798" s="26"/>
    </row>
    <row r="799" spans="4:5" ht="14.25" customHeight="1">
      <c r="D799" s="26"/>
      <c r="E799" s="26"/>
    </row>
    <row r="800" spans="4:5" ht="14.25" customHeight="1">
      <c r="D800" s="26"/>
      <c r="E800" s="26"/>
    </row>
    <row r="801" spans="4:5" ht="14.25" customHeight="1">
      <c r="D801" s="26"/>
      <c r="E801" s="26"/>
    </row>
    <row r="802" spans="4:5" ht="14.25" customHeight="1">
      <c r="D802" s="26"/>
      <c r="E802" s="26"/>
    </row>
    <row r="803" spans="4:5" ht="14.25" customHeight="1">
      <c r="D803" s="26"/>
      <c r="E803" s="26"/>
    </row>
    <row r="804" spans="4:5" ht="14.25" customHeight="1">
      <c r="D804" s="26"/>
      <c r="E804" s="26"/>
    </row>
    <row r="805" spans="4:5" ht="14.25" customHeight="1">
      <c r="D805" s="26"/>
      <c r="E805" s="26"/>
    </row>
    <row r="806" spans="4:5" ht="14.25" customHeight="1">
      <c r="D806" s="26"/>
      <c r="E806" s="26"/>
    </row>
    <row r="807" spans="4:5" ht="14.25" customHeight="1">
      <c r="D807" s="26"/>
      <c r="E807" s="26"/>
    </row>
    <row r="808" spans="4:5" ht="14.25" customHeight="1">
      <c r="D808" s="26"/>
      <c r="E808" s="26"/>
    </row>
    <row r="809" spans="4:5" ht="14.25" customHeight="1">
      <c r="D809" s="26"/>
      <c r="E809" s="26"/>
    </row>
    <row r="810" spans="4:5" ht="14.25" customHeight="1">
      <c r="D810" s="26"/>
      <c r="E810" s="26"/>
    </row>
    <row r="811" spans="4:5" ht="14.25" customHeight="1">
      <c r="D811" s="26"/>
      <c r="E811" s="26"/>
    </row>
    <row r="812" spans="4:5" ht="14.25" customHeight="1">
      <c r="D812" s="26"/>
      <c r="E812" s="26"/>
    </row>
    <row r="813" spans="4:5" ht="14.25" customHeight="1">
      <c r="D813" s="26"/>
      <c r="E813" s="26"/>
    </row>
    <row r="814" spans="4:5" ht="14.25" customHeight="1">
      <c r="D814" s="26"/>
      <c r="E814" s="26"/>
    </row>
    <row r="815" spans="4:5" ht="14.25" customHeight="1">
      <c r="D815" s="26"/>
      <c r="E815" s="26"/>
    </row>
    <row r="816" spans="4:5" ht="14.25" customHeight="1">
      <c r="D816" s="26"/>
      <c r="E816" s="26"/>
    </row>
    <row r="817" spans="4:5" ht="14.25" customHeight="1">
      <c r="D817" s="26"/>
      <c r="E817" s="26"/>
    </row>
    <row r="818" spans="4:5" ht="14.25" customHeight="1">
      <c r="D818" s="26"/>
      <c r="E818" s="26"/>
    </row>
    <row r="819" spans="4:5" ht="14.25" customHeight="1">
      <c r="D819" s="26"/>
      <c r="E819" s="26"/>
    </row>
    <row r="820" spans="4:5" ht="14.25" customHeight="1">
      <c r="D820" s="26"/>
      <c r="E820" s="26"/>
    </row>
    <row r="821" spans="4:5" ht="14.25" customHeight="1">
      <c r="D821" s="26"/>
      <c r="E821" s="26"/>
    </row>
    <row r="822" spans="4:5" ht="14.25" customHeight="1">
      <c r="D822" s="26"/>
      <c r="E822" s="26"/>
    </row>
    <row r="823" spans="4:5" ht="14.25" customHeight="1">
      <c r="D823" s="26"/>
      <c r="E823" s="26"/>
    </row>
    <row r="824" spans="4:5" ht="14.25" customHeight="1">
      <c r="D824" s="26"/>
      <c r="E824" s="26"/>
    </row>
    <row r="825" spans="4:5" ht="14.25" customHeight="1">
      <c r="D825" s="26"/>
      <c r="E825" s="26"/>
    </row>
    <row r="826" spans="4:5" ht="14.25" customHeight="1">
      <c r="D826" s="26"/>
      <c r="E826" s="26"/>
    </row>
    <row r="827" spans="4:5" ht="14.25" customHeight="1">
      <c r="D827" s="26"/>
      <c r="E827" s="26"/>
    </row>
    <row r="828" spans="4:5" ht="14.25" customHeight="1">
      <c r="D828" s="26"/>
      <c r="E828" s="26"/>
    </row>
    <row r="829" spans="4:5" ht="14.25" customHeight="1">
      <c r="D829" s="26"/>
      <c r="E829" s="26"/>
    </row>
    <row r="830" spans="4:5" ht="14.25" customHeight="1">
      <c r="D830" s="26"/>
      <c r="E830" s="26"/>
    </row>
    <row r="831" spans="4:5" ht="14.25" customHeight="1">
      <c r="D831" s="26"/>
      <c r="E831" s="26"/>
    </row>
    <row r="832" spans="4:5" ht="14.25" customHeight="1">
      <c r="D832" s="26"/>
      <c r="E832" s="26"/>
    </row>
    <row r="833" spans="4:5" ht="14.25" customHeight="1">
      <c r="D833" s="26"/>
      <c r="E833" s="26"/>
    </row>
    <row r="834" spans="4:5" ht="14.25" customHeight="1">
      <c r="D834" s="26"/>
      <c r="E834" s="26"/>
    </row>
    <row r="835" spans="4:5" ht="14.25" customHeight="1">
      <c r="D835" s="26"/>
      <c r="E835" s="26"/>
    </row>
    <row r="836" spans="4:5" ht="14.25" customHeight="1">
      <c r="D836" s="26"/>
      <c r="E836" s="26"/>
    </row>
    <row r="837" spans="4:5" ht="14.25" customHeight="1">
      <c r="D837" s="26"/>
      <c r="E837" s="26"/>
    </row>
    <row r="838" spans="4:5" ht="14.25" customHeight="1">
      <c r="D838" s="26"/>
      <c r="E838" s="26"/>
    </row>
    <row r="839" spans="4:5" ht="14.25" customHeight="1">
      <c r="D839" s="26"/>
      <c r="E839" s="26"/>
    </row>
    <row r="840" spans="4:5" ht="14.25" customHeight="1">
      <c r="D840" s="26"/>
      <c r="E840" s="26"/>
    </row>
    <row r="841" spans="4:5" ht="14.25" customHeight="1">
      <c r="D841" s="26"/>
      <c r="E841" s="26"/>
    </row>
    <row r="842" spans="4:5" ht="14.25" customHeight="1">
      <c r="D842" s="26"/>
      <c r="E842" s="26"/>
    </row>
    <row r="843" spans="4:5" ht="14.25" customHeight="1">
      <c r="D843" s="26"/>
      <c r="E843" s="26"/>
    </row>
    <row r="844" spans="4:5" ht="14.25" customHeight="1">
      <c r="D844" s="26"/>
      <c r="E844" s="26"/>
    </row>
    <row r="845" spans="4:5" ht="14.25" customHeight="1">
      <c r="D845" s="26"/>
      <c r="E845" s="26"/>
    </row>
    <row r="846" spans="4:5" ht="14.25" customHeight="1">
      <c r="D846" s="26"/>
      <c r="E846" s="26"/>
    </row>
    <row r="847" spans="4:5" ht="14.25" customHeight="1">
      <c r="D847" s="26"/>
      <c r="E847" s="26"/>
    </row>
    <row r="848" spans="4:5" ht="14.25" customHeight="1">
      <c r="D848" s="26"/>
      <c r="E848" s="26"/>
    </row>
    <row r="849" spans="4:5" ht="14.25" customHeight="1">
      <c r="D849" s="26"/>
      <c r="E849" s="26"/>
    </row>
    <row r="850" spans="4:5" ht="14.25" customHeight="1">
      <c r="D850" s="26"/>
      <c r="E850" s="26"/>
    </row>
    <row r="851" spans="4:5" ht="14.25" customHeight="1">
      <c r="D851" s="26"/>
      <c r="E851" s="26"/>
    </row>
    <row r="852" spans="4:5" ht="14.25" customHeight="1">
      <c r="D852" s="26"/>
      <c r="E852" s="26"/>
    </row>
    <row r="853" spans="4:5" ht="14.25" customHeight="1">
      <c r="D853" s="26"/>
      <c r="E853" s="26"/>
    </row>
    <row r="854" spans="4:5" ht="14.25" customHeight="1">
      <c r="D854" s="26"/>
      <c r="E854" s="26"/>
    </row>
    <row r="855" spans="4:5" ht="14.25" customHeight="1">
      <c r="D855" s="26"/>
      <c r="E855" s="26"/>
    </row>
    <row r="856" spans="4:5" ht="14.25" customHeight="1">
      <c r="D856" s="26"/>
      <c r="E856" s="26"/>
    </row>
    <row r="857" spans="4:5" ht="14.25" customHeight="1">
      <c r="D857" s="26"/>
      <c r="E857" s="26"/>
    </row>
    <row r="858" spans="4:5" ht="14.25" customHeight="1">
      <c r="D858" s="26"/>
      <c r="E858" s="26"/>
    </row>
    <row r="859" spans="4:5" ht="14.25" customHeight="1">
      <c r="D859" s="26"/>
      <c r="E859" s="26"/>
    </row>
    <row r="860" spans="4:5" ht="14.25" customHeight="1">
      <c r="D860" s="26"/>
      <c r="E860" s="26"/>
    </row>
    <row r="861" spans="4:5" ht="14.25" customHeight="1">
      <c r="D861" s="26"/>
      <c r="E861" s="26"/>
    </row>
    <row r="862" spans="4:5" ht="14.25" customHeight="1">
      <c r="D862" s="26"/>
      <c r="E862" s="26"/>
    </row>
    <row r="863" spans="4:5" ht="14.25" customHeight="1">
      <c r="D863" s="26"/>
      <c r="E863" s="26"/>
    </row>
    <row r="864" spans="4:5" ht="14.25" customHeight="1">
      <c r="D864" s="26"/>
      <c r="E864" s="26"/>
    </row>
    <row r="865" spans="4:5" ht="14.25" customHeight="1">
      <c r="D865" s="26"/>
      <c r="E865" s="26"/>
    </row>
    <row r="866" spans="4:5" ht="14.25" customHeight="1">
      <c r="D866" s="26"/>
      <c r="E866" s="26"/>
    </row>
    <row r="867" spans="4:5" ht="14.25" customHeight="1">
      <c r="D867" s="26"/>
      <c r="E867" s="26"/>
    </row>
    <row r="868" spans="4:5" ht="14.25" customHeight="1">
      <c r="D868" s="26"/>
      <c r="E868" s="26"/>
    </row>
    <row r="869" spans="4:5" ht="14.25" customHeight="1">
      <c r="D869" s="26"/>
      <c r="E869" s="26"/>
    </row>
    <row r="870" spans="4:5" ht="14.25" customHeight="1">
      <c r="D870" s="26"/>
      <c r="E870" s="26"/>
    </row>
    <row r="871" spans="4:5" ht="14.25" customHeight="1">
      <c r="D871" s="26"/>
      <c r="E871" s="26"/>
    </row>
    <row r="872" spans="4:5" ht="14.25" customHeight="1">
      <c r="D872" s="26"/>
      <c r="E872" s="26"/>
    </row>
    <row r="873" spans="4:5" ht="14.25" customHeight="1">
      <c r="D873" s="26"/>
      <c r="E873" s="26"/>
    </row>
    <row r="874" spans="4:5" ht="14.25" customHeight="1">
      <c r="D874" s="26"/>
      <c r="E874" s="26"/>
    </row>
    <row r="875" spans="4:5" ht="14.25" customHeight="1">
      <c r="D875" s="26"/>
      <c r="E875" s="26"/>
    </row>
    <row r="876" spans="4:5" ht="14.25" customHeight="1">
      <c r="D876" s="26"/>
      <c r="E876" s="26"/>
    </row>
    <row r="877" spans="4:5" ht="14.25" customHeight="1">
      <c r="D877" s="26"/>
      <c r="E877" s="26"/>
    </row>
    <row r="878" spans="4:5" ht="14.25" customHeight="1">
      <c r="D878" s="26"/>
      <c r="E878" s="26"/>
    </row>
    <row r="879" spans="4:5" ht="14.25" customHeight="1">
      <c r="D879" s="26"/>
      <c r="E879" s="26"/>
    </row>
    <row r="880" spans="4:5" ht="14.25" customHeight="1">
      <c r="D880" s="26"/>
      <c r="E880" s="26"/>
    </row>
    <row r="881" spans="4:5" ht="14.25" customHeight="1">
      <c r="D881" s="26"/>
      <c r="E881" s="26"/>
    </row>
    <row r="882" spans="4:5" ht="14.25" customHeight="1">
      <c r="D882" s="26"/>
      <c r="E882" s="26"/>
    </row>
    <row r="883" spans="4:5" ht="14.25" customHeight="1">
      <c r="D883" s="26"/>
      <c r="E883" s="26"/>
    </row>
    <row r="884" spans="4:5" ht="14.25" customHeight="1">
      <c r="D884" s="26"/>
      <c r="E884" s="26"/>
    </row>
    <row r="885" spans="4:5" ht="14.25" customHeight="1">
      <c r="D885" s="26"/>
      <c r="E885" s="26"/>
    </row>
    <row r="886" spans="4:5" ht="14.25" customHeight="1">
      <c r="D886" s="26"/>
      <c r="E886" s="26"/>
    </row>
    <row r="887" spans="4:5" ht="14.25" customHeight="1">
      <c r="D887" s="26"/>
      <c r="E887" s="26"/>
    </row>
    <row r="888" spans="4:5" ht="14.25" customHeight="1">
      <c r="D888" s="26"/>
      <c r="E888" s="26"/>
    </row>
    <row r="889" spans="4:5" ht="14.25" customHeight="1">
      <c r="D889" s="26"/>
      <c r="E889" s="26"/>
    </row>
    <row r="890" spans="4:5" ht="14.25" customHeight="1">
      <c r="D890" s="26"/>
      <c r="E890" s="26"/>
    </row>
    <row r="891" spans="4:5" ht="14.25" customHeight="1">
      <c r="D891" s="26"/>
      <c r="E891" s="26"/>
    </row>
    <row r="892" spans="4:5" ht="14.25" customHeight="1">
      <c r="D892" s="26"/>
      <c r="E892" s="26"/>
    </row>
    <row r="893" spans="4:5" ht="14.25" customHeight="1">
      <c r="D893" s="26"/>
      <c r="E893" s="26"/>
    </row>
    <row r="894" spans="4:5" ht="14.25" customHeight="1">
      <c r="D894" s="26"/>
      <c r="E894" s="26"/>
    </row>
    <row r="895" spans="4:5" ht="14.25" customHeight="1">
      <c r="D895" s="26"/>
      <c r="E895" s="26"/>
    </row>
    <row r="896" spans="4:5" ht="14.25" customHeight="1">
      <c r="D896" s="26"/>
      <c r="E896" s="26"/>
    </row>
    <row r="897" spans="4:5" ht="14.25" customHeight="1">
      <c r="D897" s="26"/>
      <c r="E897" s="26"/>
    </row>
    <row r="898" spans="4:5" ht="14.25" customHeight="1">
      <c r="D898" s="26"/>
      <c r="E898" s="26"/>
    </row>
    <row r="899" spans="4:5" ht="14.25" customHeight="1">
      <c r="D899" s="26"/>
      <c r="E899" s="26"/>
    </row>
    <row r="900" spans="4:5" ht="14.25" customHeight="1">
      <c r="D900" s="26"/>
      <c r="E900" s="26"/>
    </row>
    <row r="901" spans="4:5" ht="14.25" customHeight="1">
      <c r="D901" s="26"/>
      <c r="E901" s="26"/>
    </row>
    <row r="902" spans="4:5" ht="14.25" customHeight="1">
      <c r="D902" s="26"/>
      <c r="E902" s="26"/>
    </row>
    <row r="903" spans="4:5" ht="14.25" customHeight="1">
      <c r="D903" s="26"/>
      <c r="E903" s="26"/>
    </row>
    <row r="904" spans="4:5" ht="14.25" customHeight="1">
      <c r="D904" s="26"/>
      <c r="E904" s="26"/>
    </row>
    <row r="905" spans="4:5" ht="14.25" customHeight="1">
      <c r="D905" s="26"/>
      <c r="E905" s="26"/>
    </row>
    <row r="906" spans="4:5" ht="14.25" customHeight="1">
      <c r="D906" s="26"/>
      <c r="E906" s="26"/>
    </row>
    <row r="907" spans="4:5" ht="14.25" customHeight="1">
      <c r="D907" s="26"/>
      <c r="E907" s="26"/>
    </row>
    <row r="908" spans="4:5" ht="14.25" customHeight="1">
      <c r="D908" s="26"/>
      <c r="E908" s="26"/>
    </row>
    <row r="909" spans="4:5" ht="14.25" customHeight="1">
      <c r="D909" s="26"/>
      <c r="E909" s="26"/>
    </row>
    <row r="910" spans="4:5" ht="14.25" customHeight="1">
      <c r="D910" s="26"/>
      <c r="E910" s="26"/>
    </row>
    <row r="911" spans="4:5" ht="14.25" customHeight="1">
      <c r="D911" s="26"/>
      <c r="E911" s="26"/>
    </row>
    <row r="912" spans="4:5" ht="14.25" customHeight="1">
      <c r="D912" s="26"/>
      <c r="E912" s="26"/>
    </row>
    <row r="913" spans="4:5" ht="14.25" customHeight="1">
      <c r="D913" s="26"/>
      <c r="E913" s="26"/>
    </row>
    <row r="914" spans="4:5" ht="14.25" customHeight="1">
      <c r="D914" s="26"/>
      <c r="E914" s="26"/>
    </row>
    <row r="915" spans="4:5" ht="14.25" customHeight="1">
      <c r="D915" s="26"/>
      <c r="E915" s="26"/>
    </row>
    <row r="916" spans="4:5" ht="14.25" customHeight="1">
      <c r="D916" s="26"/>
      <c r="E916" s="26"/>
    </row>
    <row r="917" spans="4:5" ht="14.25" customHeight="1">
      <c r="D917" s="26"/>
      <c r="E917" s="26"/>
    </row>
    <row r="918" spans="4:5" ht="14.25" customHeight="1">
      <c r="D918" s="26"/>
      <c r="E918" s="26"/>
    </row>
    <row r="919" spans="4:5" ht="14.25" customHeight="1">
      <c r="D919" s="26"/>
      <c r="E919" s="26"/>
    </row>
    <row r="920" spans="4:5" ht="14.25" customHeight="1">
      <c r="D920" s="26"/>
      <c r="E920" s="26"/>
    </row>
    <row r="921" spans="4:5" ht="14.25" customHeight="1">
      <c r="D921" s="26"/>
      <c r="E921" s="26"/>
    </row>
    <row r="922" spans="4:5" ht="14.25" customHeight="1">
      <c r="D922" s="26"/>
      <c r="E922" s="26"/>
    </row>
    <row r="923" spans="4:5" ht="14.25" customHeight="1">
      <c r="D923" s="26"/>
      <c r="E923" s="26"/>
    </row>
    <row r="924" spans="4:5" ht="14.25" customHeight="1">
      <c r="D924" s="26"/>
      <c r="E924" s="26"/>
    </row>
    <row r="925" spans="4:5" ht="14.25" customHeight="1">
      <c r="D925" s="26"/>
      <c r="E925" s="26"/>
    </row>
    <row r="926" spans="4:5" ht="14.25" customHeight="1">
      <c r="D926" s="26"/>
      <c r="E926" s="26"/>
    </row>
    <row r="927" spans="4:5" ht="14.25" customHeight="1">
      <c r="D927" s="26"/>
      <c r="E927" s="26"/>
    </row>
    <row r="928" spans="4:5" ht="14.25" customHeight="1">
      <c r="D928" s="26"/>
      <c r="E928" s="26"/>
    </row>
    <row r="929" spans="4:5" ht="14.25" customHeight="1">
      <c r="D929" s="26"/>
      <c r="E929" s="26"/>
    </row>
    <row r="930" spans="4:5" ht="14.25" customHeight="1">
      <c r="D930" s="26"/>
      <c r="E930" s="26"/>
    </row>
    <row r="931" spans="4:5" ht="14.25" customHeight="1">
      <c r="D931" s="26"/>
      <c r="E931" s="26"/>
    </row>
    <row r="932" spans="4:5" ht="14.25" customHeight="1">
      <c r="D932" s="26"/>
      <c r="E932" s="26"/>
    </row>
    <row r="933" spans="4:5" ht="14.25" customHeight="1">
      <c r="D933" s="26"/>
      <c r="E933" s="26"/>
    </row>
    <row r="934" spans="4:5" ht="14.25" customHeight="1">
      <c r="D934" s="26"/>
      <c r="E934" s="26"/>
    </row>
    <row r="935" spans="4:5" ht="14.25" customHeight="1">
      <c r="D935" s="26"/>
      <c r="E935" s="26"/>
    </row>
    <row r="936" spans="4:5" ht="14.25" customHeight="1">
      <c r="D936" s="26"/>
      <c r="E936" s="26"/>
    </row>
    <row r="937" spans="4:5" ht="14.25" customHeight="1">
      <c r="D937" s="26"/>
      <c r="E937" s="26"/>
    </row>
    <row r="938" spans="4:5" ht="14.25" customHeight="1">
      <c r="D938" s="26"/>
      <c r="E938" s="26"/>
    </row>
    <row r="939" spans="4:5" ht="14.25" customHeight="1">
      <c r="D939" s="26"/>
      <c r="E939" s="26"/>
    </row>
    <row r="940" spans="4:5" ht="14.25" customHeight="1">
      <c r="D940" s="26"/>
      <c r="E940" s="26"/>
    </row>
    <row r="941" spans="4:5" ht="14.25" customHeight="1">
      <c r="D941" s="26"/>
      <c r="E941" s="26"/>
    </row>
    <row r="942" spans="4:5" ht="14.25" customHeight="1">
      <c r="D942" s="26"/>
      <c r="E942" s="26"/>
    </row>
    <row r="943" spans="4:5" ht="14.25" customHeight="1">
      <c r="D943" s="26"/>
      <c r="E943" s="26"/>
    </row>
    <row r="944" spans="4:5" ht="14.25" customHeight="1">
      <c r="D944" s="26"/>
      <c r="E944" s="26"/>
    </row>
    <row r="945" spans="4:5" ht="14.25" customHeight="1">
      <c r="D945" s="26"/>
      <c r="E945" s="26"/>
    </row>
    <row r="946" spans="4:5" ht="14.25" customHeight="1">
      <c r="D946" s="26"/>
      <c r="E946" s="26"/>
    </row>
    <row r="947" spans="4:5" ht="14.25" customHeight="1">
      <c r="D947" s="26"/>
      <c r="E947" s="26"/>
    </row>
    <row r="948" spans="4:5" ht="14.25" customHeight="1">
      <c r="D948" s="26"/>
      <c r="E948" s="26"/>
    </row>
    <row r="949" spans="4:5" ht="14.25" customHeight="1">
      <c r="D949" s="26"/>
      <c r="E949" s="26"/>
    </row>
    <row r="950" spans="4:5" ht="14.25" customHeight="1">
      <c r="D950" s="26"/>
      <c r="E950" s="26"/>
    </row>
    <row r="951" spans="4:5" ht="14.25" customHeight="1">
      <c r="D951" s="26"/>
      <c r="E951" s="26"/>
    </row>
    <row r="952" spans="4:5" ht="14.25" customHeight="1">
      <c r="D952" s="26"/>
      <c r="E952" s="26"/>
    </row>
    <row r="953" spans="4:5" ht="14.25" customHeight="1">
      <c r="D953" s="26"/>
      <c r="E953" s="26"/>
    </row>
    <row r="954" spans="4:5" ht="14.25" customHeight="1">
      <c r="D954" s="26"/>
      <c r="E954" s="26"/>
    </row>
    <row r="955" spans="4:5" ht="14.25" customHeight="1">
      <c r="D955" s="26"/>
      <c r="E955" s="26"/>
    </row>
    <row r="956" spans="4:5" ht="14.25" customHeight="1">
      <c r="D956" s="26"/>
      <c r="E956" s="26"/>
    </row>
    <row r="957" spans="4:5" ht="14.25" customHeight="1">
      <c r="D957" s="26"/>
      <c r="E957" s="26"/>
    </row>
    <row r="958" spans="4:5" ht="14.25" customHeight="1">
      <c r="D958" s="26"/>
      <c r="E958" s="26"/>
    </row>
    <row r="959" spans="4:5" ht="14.25" customHeight="1">
      <c r="D959" s="26"/>
      <c r="E959" s="26"/>
    </row>
    <row r="960" spans="4:5" ht="14.25" customHeight="1">
      <c r="D960" s="26"/>
      <c r="E960" s="26"/>
    </row>
    <row r="961" spans="4:5" ht="14.25" customHeight="1">
      <c r="D961" s="26"/>
      <c r="E961" s="26"/>
    </row>
    <row r="962" spans="4:5" ht="14.25" customHeight="1">
      <c r="D962" s="26"/>
      <c r="E962" s="26"/>
    </row>
    <row r="963" spans="4:5" ht="14.25" customHeight="1">
      <c r="D963" s="26"/>
      <c r="E963" s="26"/>
    </row>
    <row r="964" spans="4:5" ht="14.25" customHeight="1">
      <c r="D964" s="26"/>
      <c r="E964" s="26"/>
    </row>
    <row r="965" spans="4:5" ht="14.25" customHeight="1">
      <c r="D965" s="26"/>
      <c r="E965" s="26"/>
    </row>
    <row r="966" spans="4:5" ht="14.25" customHeight="1">
      <c r="D966" s="26"/>
      <c r="E966" s="26"/>
    </row>
    <row r="967" spans="4:5" ht="14.25" customHeight="1">
      <c r="D967" s="26"/>
      <c r="E967" s="26"/>
    </row>
    <row r="968" spans="4:5" ht="14.25" customHeight="1">
      <c r="D968" s="26"/>
      <c r="E968" s="26"/>
    </row>
    <row r="969" spans="4:5" ht="14.25" customHeight="1">
      <c r="D969" s="26"/>
      <c r="E969" s="26"/>
    </row>
    <row r="970" spans="4:5" ht="14.25" customHeight="1">
      <c r="D970" s="26"/>
      <c r="E970" s="26"/>
    </row>
    <row r="971" spans="4:5" ht="14.25" customHeight="1">
      <c r="D971" s="26"/>
      <c r="E971" s="26"/>
    </row>
    <row r="972" spans="4:5" ht="14.25" customHeight="1">
      <c r="D972" s="26"/>
      <c r="E972" s="26"/>
    </row>
    <row r="973" spans="4:5" ht="14.25" customHeight="1">
      <c r="D973" s="26"/>
      <c r="E973" s="26"/>
    </row>
    <row r="974" spans="4:5" ht="14.25" customHeight="1">
      <c r="D974" s="26"/>
      <c r="E974" s="26"/>
    </row>
    <row r="975" spans="4:5" ht="14.25" customHeight="1">
      <c r="D975" s="26"/>
      <c r="E975" s="26"/>
    </row>
    <row r="976" spans="4:5" ht="14.25" customHeight="1">
      <c r="D976" s="26"/>
      <c r="E976" s="26"/>
    </row>
    <row r="977" spans="4:5" ht="14.25" customHeight="1">
      <c r="D977" s="26"/>
      <c r="E977" s="26"/>
    </row>
    <row r="978" spans="4:5" ht="14.25" customHeight="1">
      <c r="D978" s="26"/>
      <c r="E978" s="26"/>
    </row>
    <row r="979" spans="4:5" ht="14.25" customHeight="1">
      <c r="D979" s="26"/>
      <c r="E979" s="26"/>
    </row>
    <row r="980" spans="4:5" ht="14.25" customHeight="1">
      <c r="D980" s="26"/>
      <c r="E980" s="26"/>
    </row>
    <row r="981" spans="4:5" ht="14.25" customHeight="1">
      <c r="D981" s="26"/>
      <c r="E981" s="26"/>
    </row>
    <row r="982" spans="4:5" ht="14.25" customHeight="1">
      <c r="D982" s="26"/>
      <c r="E982" s="26"/>
    </row>
    <row r="983" spans="4:5" ht="14.25" customHeight="1">
      <c r="D983" s="26"/>
      <c r="E983" s="26"/>
    </row>
    <row r="984" spans="4:5" ht="14.25" customHeight="1">
      <c r="D984" s="26"/>
      <c r="E984" s="26"/>
    </row>
    <row r="985" spans="4:5" ht="14.25" customHeight="1">
      <c r="D985" s="26"/>
      <c r="E985" s="26"/>
    </row>
    <row r="986" spans="4:5" ht="14.25" customHeight="1">
      <c r="D986" s="26"/>
      <c r="E986" s="26"/>
    </row>
    <row r="987" spans="4:5" ht="14.25" customHeight="1">
      <c r="D987" s="26"/>
      <c r="E987" s="26"/>
    </row>
    <row r="988" spans="4:5" ht="14.25" customHeight="1">
      <c r="D988" s="26"/>
      <c r="E988" s="26"/>
    </row>
    <row r="989" spans="4:5" ht="14.25" customHeight="1">
      <c r="D989" s="26"/>
      <c r="E989" s="26"/>
    </row>
    <row r="990" spans="4:5" ht="14.25" customHeight="1">
      <c r="D990" s="26"/>
      <c r="E990" s="26"/>
    </row>
    <row r="991" spans="4:5" ht="14.25" customHeight="1">
      <c r="D991" s="26"/>
      <c r="E991" s="26"/>
    </row>
    <row r="992" spans="4:5" ht="14.25" customHeight="1">
      <c r="D992" s="26"/>
      <c r="E992" s="26"/>
    </row>
    <row r="993" spans="4:5" ht="14.25" customHeight="1">
      <c r="D993" s="26"/>
      <c r="E993" s="26"/>
    </row>
    <row r="994" spans="4:5" ht="14.25" customHeight="1">
      <c r="D994" s="26"/>
      <c r="E994" s="26"/>
    </row>
    <row r="995" spans="4:5" ht="14.25" customHeight="1">
      <c r="D995" s="26"/>
      <c r="E995" s="26"/>
    </row>
    <row r="996" spans="4:5" ht="14.25" customHeight="1">
      <c r="D996" s="26"/>
      <c r="E996" s="26"/>
    </row>
    <row r="997" spans="4:5" ht="14.25" customHeight="1">
      <c r="D997" s="26"/>
      <c r="E997" s="26"/>
    </row>
    <row r="998" spans="4:5" ht="14.25" customHeight="1">
      <c r="D998" s="26"/>
      <c r="E998" s="26"/>
    </row>
    <row r="999" spans="4:5" ht="14.25" customHeight="1">
      <c r="D999" s="26"/>
      <c r="E999" s="26"/>
    </row>
    <row r="1000" spans="4:5" ht="14.25" customHeight="1">
      <c r="D1000" s="26"/>
      <c r="E1000" s="26"/>
    </row>
  </sheetData>
  <pageMargins left="0.7" right="0.7" top="0.75" bottom="0.75" header="0" footer="0"/>
  <pageSetup scale="94" orientation="portrait"/>
  <headerFooter>
    <oddFooter>&amp;L_x000D_#000000 Sensitivity: LNT Construction Internal Use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400-000000000000}">
          <x14:formula1>
            <xm:f>'Data Validation'!$E$4:$E$12</xm:f>
          </x14:formula1>
          <xm:sqref>D10</xm:sqref>
        </x14:dataValidation>
        <x14:dataValidation type="list" allowBlank="1" showErrorMessage="1" xr:uid="{00000000-0002-0000-0400-000001000000}">
          <x14:formula1>
            <xm:f>'Data Validation'!$N$4:$N$8</xm:f>
          </x14:formula1>
          <xm:sqref>D9</xm:sqref>
        </x14:dataValidation>
        <x14:dataValidation type="list" allowBlank="1" showErrorMessage="1" xr:uid="{00000000-0002-0000-0400-000002000000}">
          <x14:formula1>
            <xm:f>'Data Validation'!$C$4:$C$6</xm:f>
          </x14:formula1>
          <xm:sqref>D29</xm:sqref>
        </x14:dataValidation>
        <x14:dataValidation type="list" allowBlank="1" showErrorMessage="1" xr:uid="{00000000-0002-0000-0400-000003000000}">
          <x14:formula1>
            <xm:f>'Data Validation'!$M$4:$M$5</xm:f>
          </x14:formula1>
          <xm:sqref>D24</xm:sqref>
        </x14:dataValidation>
        <x14:dataValidation type="list" allowBlank="1" showErrorMessage="1" xr:uid="{00000000-0002-0000-0400-000004000000}">
          <x14:formula1>
            <xm:f>'Data Validation'!$G$4:$G$7</xm:f>
          </x14:formula1>
          <xm:sqref>D5</xm:sqref>
        </x14:dataValidation>
        <x14:dataValidation type="list" allowBlank="1" showErrorMessage="1" xr:uid="{00000000-0002-0000-0400-000005000000}">
          <x14:formula1>
            <xm:f>'Substructure ID'!$D$4:$D$1785</xm:f>
          </x14:formula1>
          <xm:sqref>D8</xm:sqref>
        </x14:dataValidation>
        <x14:dataValidation type="list" allowBlank="1" showErrorMessage="1" xr:uid="{00000000-0002-0000-0400-000006000000}">
          <x14:formula1>
            <xm:f>'Data Validation'!$K$5:$K$28</xm:f>
          </x14:formula1>
          <xm:sqref>D7</xm:sqref>
        </x14:dataValidation>
        <x14:dataValidation type="list" allowBlank="1" showErrorMessage="1" xr:uid="{00000000-0002-0000-0400-000007000000}">
          <x14:formula1>
            <xm:f>'Data Validation'!$I$4:$I$5</xm:f>
          </x14:formula1>
          <xm:sqref>D6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E1000"/>
  <sheetViews>
    <sheetView workbookViewId="0"/>
  </sheetViews>
  <sheetFormatPr defaultColWidth="14.44140625" defaultRowHeight="15" customHeight="1"/>
  <cols>
    <col min="1" max="1" width="8.6640625" customWidth="1"/>
    <col min="2" max="3" width="11" customWidth="1"/>
    <col min="4" max="26" width="8.6640625" customWidth="1"/>
  </cols>
  <sheetData>
    <row r="1" spans="2:5" ht="14.25" customHeight="1"/>
    <row r="2" spans="2:5" ht="14.25" customHeight="1"/>
    <row r="3" spans="2:5" ht="14.25" customHeight="1"/>
    <row r="4" spans="2:5" ht="14.25" customHeight="1">
      <c r="B4" s="26" t="s">
        <v>7</v>
      </c>
      <c r="C4" s="26" t="s">
        <v>126</v>
      </c>
      <c r="D4" s="26" t="s">
        <v>127</v>
      </c>
      <c r="E4" s="26" t="s">
        <v>128</v>
      </c>
    </row>
    <row r="5" spans="2:5" ht="14.25" customHeight="1">
      <c r="B5" s="1" t="s">
        <v>110</v>
      </c>
      <c r="C5" s="26" t="s">
        <v>129</v>
      </c>
      <c r="D5" s="1" t="s">
        <v>130</v>
      </c>
      <c r="E5" s="1" t="s">
        <v>131</v>
      </c>
    </row>
    <row r="6" spans="2:5" ht="14.25" customHeight="1">
      <c r="B6" s="1" t="s">
        <v>110</v>
      </c>
      <c r="C6" s="26" t="s">
        <v>129</v>
      </c>
      <c r="D6" s="1" t="s">
        <v>132</v>
      </c>
      <c r="E6" s="1" t="s">
        <v>131</v>
      </c>
    </row>
    <row r="7" spans="2:5" ht="14.25" customHeight="1">
      <c r="B7" s="1" t="s">
        <v>110</v>
      </c>
      <c r="C7" s="26" t="s">
        <v>133</v>
      </c>
      <c r="D7" s="1" t="s">
        <v>130</v>
      </c>
      <c r="E7" s="1" t="s">
        <v>131</v>
      </c>
    </row>
    <row r="8" spans="2:5" ht="14.25" customHeight="1">
      <c r="B8" s="1" t="s">
        <v>110</v>
      </c>
      <c r="C8" s="26" t="s">
        <v>133</v>
      </c>
      <c r="D8" s="1" t="s">
        <v>132</v>
      </c>
      <c r="E8" s="1" t="s">
        <v>131</v>
      </c>
    </row>
    <row r="9" spans="2:5" ht="14.25" customHeight="1"/>
    <row r="10" spans="2:5" ht="14.25" customHeight="1">
      <c r="B10" s="1" t="s">
        <v>110</v>
      </c>
      <c r="C10" s="26" t="s">
        <v>134</v>
      </c>
      <c r="D10" s="1" t="s">
        <v>130</v>
      </c>
      <c r="E10" s="1" t="s">
        <v>131</v>
      </c>
    </row>
    <row r="11" spans="2:5" ht="14.25" customHeight="1">
      <c r="B11" s="1" t="s">
        <v>110</v>
      </c>
      <c r="C11" s="26" t="s">
        <v>134</v>
      </c>
      <c r="D11" s="1" t="s">
        <v>132</v>
      </c>
      <c r="E11" s="1" t="s">
        <v>131</v>
      </c>
    </row>
    <row r="12" spans="2:5" ht="14.25" customHeight="1">
      <c r="B12" s="1" t="s">
        <v>110</v>
      </c>
      <c r="C12" s="26" t="s">
        <v>135</v>
      </c>
      <c r="D12" s="1" t="s">
        <v>130</v>
      </c>
      <c r="E12" s="1" t="s">
        <v>131</v>
      </c>
    </row>
    <row r="13" spans="2:5" ht="14.25" customHeight="1">
      <c r="B13" s="1" t="s">
        <v>110</v>
      </c>
      <c r="C13" s="26" t="s">
        <v>135</v>
      </c>
      <c r="D13" s="1" t="s">
        <v>132</v>
      </c>
      <c r="E13" s="1" t="s">
        <v>131</v>
      </c>
    </row>
    <row r="14" spans="2:5" ht="14.25" customHeight="1"/>
    <row r="15" spans="2:5" ht="14.25" customHeight="1">
      <c r="B15" s="26" t="s">
        <v>7</v>
      </c>
      <c r="C15" s="26" t="s">
        <v>126</v>
      </c>
      <c r="D15" s="26" t="s">
        <v>127</v>
      </c>
      <c r="E15" s="26" t="s">
        <v>128</v>
      </c>
    </row>
    <row r="16" spans="2:5" ht="14.25" customHeight="1">
      <c r="B16" s="1" t="s">
        <v>136</v>
      </c>
      <c r="C16" s="26" t="s">
        <v>129</v>
      </c>
      <c r="D16" s="1" t="s">
        <v>130</v>
      </c>
      <c r="E16" s="46" t="s">
        <v>137</v>
      </c>
    </row>
    <row r="17" spans="2:5" ht="14.25" customHeight="1">
      <c r="B17" s="1" t="s">
        <v>136</v>
      </c>
      <c r="C17" s="26" t="s">
        <v>129</v>
      </c>
      <c r="D17" s="1" t="s">
        <v>132</v>
      </c>
      <c r="E17" s="46" t="s">
        <v>137</v>
      </c>
    </row>
    <row r="18" spans="2:5" ht="14.25" customHeight="1">
      <c r="B18" s="1" t="s">
        <v>136</v>
      </c>
      <c r="C18" s="26" t="s">
        <v>133</v>
      </c>
      <c r="D18" s="1" t="s">
        <v>130</v>
      </c>
      <c r="E18" s="46" t="s">
        <v>137</v>
      </c>
    </row>
    <row r="19" spans="2:5" ht="14.25" customHeight="1">
      <c r="B19" s="1" t="s">
        <v>136</v>
      </c>
      <c r="C19" s="26" t="s">
        <v>133</v>
      </c>
      <c r="D19" s="1" t="s">
        <v>132</v>
      </c>
      <c r="E19" s="46" t="s">
        <v>137</v>
      </c>
    </row>
    <row r="20" spans="2:5" ht="14.25" customHeight="1"/>
    <row r="21" spans="2:5" ht="14.25" customHeight="1">
      <c r="B21" s="1" t="s">
        <v>136</v>
      </c>
      <c r="C21" s="26" t="s">
        <v>134</v>
      </c>
      <c r="D21" s="1" t="s">
        <v>130</v>
      </c>
      <c r="E21" s="46" t="s">
        <v>137</v>
      </c>
    </row>
    <row r="22" spans="2:5" ht="14.25" customHeight="1">
      <c r="B22" s="1" t="s">
        <v>136</v>
      </c>
      <c r="C22" s="26" t="s">
        <v>134</v>
      </c>
      <c r="D22" s="1" t="s">
        <v>132</v>
      </c>
      <c r="E22" s="46" t="s">
        <v>137</v>
      </c>
    </row>
    <row r="23" spans="2:5" ht="14.25" customHeight="1">
      <c r="B23" s="1" t="s">
        <v>136</v>
      </c>
      <c r="C23" s="26" t="s">
        <v>135</v>
      </c>
      <c r="D23" s="1" t="s">
        <v>130</v>
      </c>
      <c r="E23" s="46" t="s">
        <v>137</v>
      </c>
    </row>
    <row r="24" spans="2:5" ht="14.25" customHeight="1">
      <c r="B24" s="1" t="s">
        <v>136</v>
      </c>
      <c r="C24" s="26" t="s">
        <v>135</v>
      </c>
      <c r="D24" s="1" t="s">
        <v>132</v>
      </c>
      <c r="E24" s="46" t="s">
        <v>137</v>
      </c>
    </row>
    <row r="25" spans="2:5" ht="14.25" customHeight="1"/>
    <row r="26" spans="2:5" ht="14.25" customHeight="1">
      <c r="B26" s="26" t="s">
        <v>7</v>
      </c>
      <c r="C26" s="26" t="s">
        <v>126</v>
      </c>
      <c r="D26" s="26" t="s">
        <v>127</v>
      </c>
      <c r="E26" s="26" t="s">
        <v>128</v>
      </c>
    </row>
    <row r="27" spans="2:5" ht="14.25" customHeight="1">
      <c r="B27" s="1" t="s">
        <v>138</v>
      </c>
      <c r="C27" s="26" t="s">
        <v>129</v>
      </c>
      <c r="D27" s="1" t="s">
        <v>130</v>
      </c>
      <c r="E27" s="46"/>
    </row>
    <row r="28" spans="2:5" ht="14.25" customHeight="1">
      <c r="B28" s="1" t="s">
        <v>138</v>
      </c>
      <c r="C28" s="26" t="s">
        <v>129</v>
      </c>
      <c r="D28" s="1" t="s">
        <v>132</v>
      </c>
      <c r="E28" s="46"/>
    </row>
    <row r="29" spans="2:5" ht="14.25" customHeight="1"/>
    <row r="30" spans="2:5" ht="14.25" customHeight="1">
      <c r="B30" s="26" t="s">
        <v>7</v>
      </c>
      <c r="C30" s="26" t="s">
        <v>126</v>
      </c>
      <c r="D30" s="26" t="s">
        <v>127</v>
      </c>
      <c r="E30" s="26" t="s">
        <v>128</v>
      </c>
    </row>
    <row r="31" spans="2:5" ht="14.25" customHeight="1">
      <c r="B31" s="1" t="s">
        <v>138</v>
      </c>
      <c r="C31" s="26" t="s">
        <v>135</v>
      </c>
      <c r="D31" s="1" t="s">
        <v>130</v>
      </c>
      <c r="E31" s="46"/>
    </row>
    <row r="32" spans="2:5" ht="14.25" customHeight="1">
      <c r="B32" s="1" t="s">
        <v>138</v>
      </c>
      <c r="C32" s="26" t="s">
        <v>135</v>
      </c>
      <c r="D32" s="1" t="s">
        <v>132</v>
      </c>
      <c r="E32" s="4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Q1000"/>
  <sheetViews>
    <sheetView workbookViewId="0"/>
  </sheetViews>
  <sheetFormatPr defaultColWidth="14.44140625" defaultRowHeight="15" customHeight="1"/>
  <cols>
    <col min="1" max="2" width="8.6640625" customWidth="1"/>
    <col min="3" max="3" width="24.33203125" customWidth="1"/>
    <col min="4" max="4" width="10.33203125" customWidth="1"/>
    <col min="5" max="5" width="10.6640625" customWidth="1"/>
    <col min="6" max="7" width="8.6640625" customWidth="1"/>
    <col min="8" max="8" width="9" customWidth="1"/>
    <col min="9" max="9" width="8.5546875" customWidth="1"/>
    <col min="10" max="11" width="8.6640625" customWidth="1"/>
    <col min="12" max="12" width="9.88671875" customWidth="1"/>
    <col min="13" max="13" width="10.33203125" customWidth="1"/>
    <col min="14" max="15" width="8.6640625" customWidth="1"/>
    <col min="16" max="16" width="9.88671875" customWidth="1"/>
    <col min="17" max="17" width="10.33203125" customWidth="1"/>
    <col min="18" max="26" width="8.6640625" customWidth="1"/>
  </cols>
  <sheetData>
    <row r="1" spans="2:17" ht="14.25" customHeight="1">
      <c r="D1" s="47">
        <f>SUM(D6:D228)</f>
        <v>2102.3999999999915</v>
      </c>
      <c r="I1" s="47">
        <f>I41+I130</f>
        <v>1012.8600000000008</v>
      </c>
      <c r="M1" s="47">
        <f>M38+M121</f>
        <v>973.94000000000085</v>
      </c>
      <c r="Q1" s="48">
        <f>SUM(Q5:Q44)</f>
        <v>371.9700000000002</v>
      </c>
    </row>
    <row r="2" spans="2:17" ht="14.25" customHeight="1">
      <c r="B2" s="139" t="s">
        <v>139</v>
      </c>
      <c r="C2" s="140"/>
      <c r="D2" s="141"/>
      <c r="G2" s="139" t="s">
        <v>140</v>
      </c>
      <c r="H2" s="140"/>
      <c r="I2" s="141"/>
      <c r="K2" s="139" t="s">
        <v>141</v>
      </c>
      <c r="L2" s="140"/>
      <c r="M2" s="141"/>
      <c r="O2" s="139" t="s">
        <v>142</v>
      </c>
      <c r="P2" s="140"/>
      <c r="Q2" s="141"/>
    </row>
    <row r="3" spans="2:17" ht="14.25" customHeight="1">
      <c r="B3" s="49" t="s">
        <v>126</v>
      </c>
      <c r="C3" s="50" t="s">
        <v>143</v>
      </c>
      <c r="D3" s="51" t="s">
        <v>144</v>
      </c>
      <c r="E3" s="14" t="s">
        <v>7</v>
      </c>
      <c r="G3" s="49" t="s">
        <v>126</v>
      </c>
      <c r="H3" s="50" t="s">
        <v>143</v>
      </c>
      <c r="I3" s="51" t="s">
        <v>144</v>
      </c>
      <c r="K3" s="49" t="s">
        <v>126</v>
      </c>
      <c r="L3" s="49" t="s">
        <v>143</v>
      </c>
      <c r="M3" s="49" t="s">
        <v>144</v>
      </c>
      <c r="O3" s="49" t="s">
        <v>126</v>
      </c>
      <c r="P3" s="49" t="s">
        <v>143</v>
      </c>
      <c r="Q3" s="49" t="s">
        <v>144</v>
      </c>
    </row>
    <row r="4" spans="2:17" ht="14.25" customHeight="1">
      <c r="B4" s="52" t="s">
        <v>145</v>
      </c>
      <c r="C4" s="53" t="s">
        <v>146</v>
      </c>
      <c r="D4" s="54"/>
      <c r="G4" s="52" t="s">
        <v>145</v>
      </c>
      <c r="H4" s="53" t="s">
        <v>146</v>
      </c>
      <c r="I4" s="54"/>
      <c r="K4" s="52" t="s">
        <v>145</v>
      </c>
      <c r="L4" s="53" t="s">
        <v>147</v>
      </c>
      <c r="M4" s="55"/>
      <c r="O4" s="52" t="s">
        <v>145</v>
      </c>
      <c r="P4" s="53"/>
      <c r="Q4" s="55"/>
    </row>
    <row r="5" spans="2:17" ht="14.25" customHeight="1">
      <c r="B5" s="56" t="s">
        <v>148</v>
      </c>
      <c r="C5" s="57"/>
      <c r="D5" s="58"/>
      <c r="G5" s="56" t="s">
        <v>149</v>
      </c>
      <c r="H5" s="57"/>
      <c r="I5" s="58"/>
      <c r="K5" s="56" t="s">
        <v>150</v>
      </c>
      <c r="L5" s="57"/>
      <c r="M5" s="58"/>
      <c r="O5" s="56" t="s">
        <v>151</v>
      </c>
      <c r="P5" s="57"/>
      <c r="Q5" s="58"/>
    </row>
    <row r="6" spans="2:17" ht="14.25" customHeight="1">
      <c r="B6" s="56" t="s">
        <v>152</v>
      </c>
      <c r="C6" s="56" t="str">
        <f t="shared" ref="C6:C81" si="0">CONCATENATE(B5," - ",B6)</f>
        <v>A1 - A2</v>
      </c>
      <c r="D6" s="59">
        <v>9.6</v>
      </c>
      <c r="E6" s="1" t="s">
        <v>153</v>
      </c>
      <c r="G6" s="56" t="s">
        <v>154</v>
      </c>
      <c r="H6" s="56" t="str">
        <f t="shared" ref="H6:H40" si="1">CONCATENATE(G5, "-",G6)</f>
        <v>C1-C2</v>
      </c>
      <c r="I6" s="59">
        <v>9.6</v>
      </c>
      <c r="K6" s="56" t="s">
        <v>99</v>
      </c>
      <c r="L6" s="56" t="str">
        <f t="shared" ref="L6:L37" si="2">CONCATENATE(K5, "-",K6)</f>
        <v>G1-G2</v>
      </c>
      <c r="M6" s="56">
        <v>5.2</v>
      </c>
      <c r="O6" s="56" t="s">
        <v>155</v>
      </c>
      <c r="P6" s="56" t="str">
        <f t="shared" ref="P6:P44" si="3">CONCATENATE(O5, "-",O6)</f>
        <v>J1-J2</v>
      </c>
      <c r="Q6" s="56">
        <v>9.6</v>
      </c>
    </row>
    <row r="7" spans="2:17" ht="14.25" customHeight="1">
      <c r="B7" s="56" t="s">
        <v>156</v>
      </c>
      <c r="C7" s="56" t="str">
        <f t="shared" si="0"/>
        <v>A2 - A3</v>
      </c>
      <c r="D7" s="59">
        <v>9.6</v>
      </c>
      <c r="E7" s="1" t="s">
        <v>153</v>
      </c>
      <c r="G7" s="56" t="s">
        <v>157</v>
      </c>
      <c r="H7" s="56" t="str">
        <f t="shared" si="1"/>
        <v>C2-C3</v>
      </c>
      <c r="I7" s="59">
        <f>AVERAGE(7.41)</f>
        <v>7.41</v>
      </c>
      <c r="K7" s="56" t="s">
        <v>158</v>
      </c>
      <c r="L7" s="56" t="str">
        <f t="shared" si="2"/>
        <v>G2-G3</v>
      </c>
      <c r="M7" s="56">
        <v>9.6</v>
      </c>
      <c r="O7" s="56" t="s">
        <v>159</v>
      </c>
      <c r="P7" s="56" t="str">
        <f t="shared" si="3"/>
        <v>J2-J3</v>
      </c>
      <c r="Q7" s="56">
        <v>9.6</v>
      </c>
    </row>
    <row r="8" spans="2:17" ht="14.25" customHeight="1">
      <c r="B8" s="56" t="s">
        <v>160</v>
      </c>
      <c r="C8" s="56" t="str">
        <f t="shared" si="0"/>
        <v>A3 - A4</v>
      </c>
      <c r="D8" s="59">
        <v>9.6</v>
      </c>
      <c r="E8" s="1" t="s">
        <v>153</v>
      </c>
      <c r="G8" s="56" t="s">
        <v>161</v>
      </c>
      <c r="H8" s="56" t="str">
        <f t="shared" si="1"/>
        <v>C3-C4</v>
      </c>
      <c r="I8" s="59">
        <v>9.6</v>
      </c>
      <c r="K8" s="56" t="s">
        <v>162</v>
      </c>
      <c r="L8" s="56" t="str">
        <f t="shared" si="2"/>
        <v>G3-G4</v>
      </c>
      <c r="M8" s="56">
        <v>9.6</v>
      </c>
      <c r="O8" s="56" t="s">
        <v>163</v>
      </c>
      <c r="P8" s="56" t="str">
        <f t="shared" si="3"/>
        <v>J3-J4</v>
      </c>
      <c r="Q8" s="56">
        <v>9.6</v>
      </c>
    </row>
    <row r="9" spans="2:17" ht="14.25" customHeight="1">
      <c r="B9" s="56" t="s">
        <v>164</v>
      </c>
      <c r="C9" s="56" t="str">
        <f t="shared" si="0"/>
        <v>A4 - A5</v>
      </c>
      <c r="D9" s="59">
        <v>9.6</v>
      </c>
      <c r="E9" s="1" t="s">
        <v>153</v>
      </c>
      <c r="G9" s="56" t="s">
        <v>165</v>
      </c>
      <c r="H9" s="56" t="str">
        <f t="shared" si="1"/>
        <v>C4-C5</v>
      </c>
      <c r="I9" s="59">
        <v>9.6</v>
      </c>
      <c r="K9" s="56" t="s">
        <v>166</v>
      </c>
      <c r="L9" s="56" t="str">
        <f t="shared" si="2"/>
        <v>G4-G5</v>
      </c>
      <c r="M9" s="56">
        <v>9.6</v>
      </c>
      <c r="O9" s="56" t="s">
        <v>167</v>
      </c>
      <c r="P9" s="56" t="str">
        <f t="shared" si="3"/>
        <v>J4-J5</v>
      </c>
      <c r="Q9" s="56">
        <v>9.6</v>
      </c>
    </row>
    <row r="10" spans="2:17" ht="14.25" customHeight="1">
      <c r="B10" s="56" t="s">
        <v>168</v>
      </c>
      <c r="C10" s="56" t="str">
        <f t="shared" si="0"/>
        <v>A5 - A6</v>
      </c>
      <c r="D10" s="59">
        <v>9.6</v>
      </c>
      <c r="E10" s="1" t="s">
        <v>153</v>
      </c>
      <c r="G10" s="56" t="s">
        <v>169</v>
      </c>
      <c r="H10" s="56" t="str">
        <f t="shared" si="1"/>
        <v>C5-C6</v>
      </c>
      <c r="I10" s="59">
        <v>9.6</v>
      </c>
      <c r="K10" s="56" t="s">
        <v>170</v>
      </c>
      <c r="L10" s="56" t="str">
        <f t="shared" si="2"/>
        <v>G5-G6</v>
      </c>
      <c r="M10" s="56">
        <v>9.6</v>
      </c>
      <c r="O10" s="56" t="s">
        <v>171</v>
      </c>
      <c r="P10" s="56" t="str">
        <f t="shared" si="3"/>
        <v>J5-J6</v>
      </c>
      <c r="Q10" s="56">
        <v>9.6</v>
      </c>
    </row>
    <row r="11" spans="2:17" ht="14.25" customHeight="1">
      <c r="B11" s="56" t="s">
        <v>172</v>
      </c>
      <c r="C11" s="56" t="str">
        <f t="shared" si="0"/>
        <v>A6 - A7</v>
      </c>
      <c r="D11" s="59">
        <v>9.6</v>
      </c>
      <c r="E11" s="1" t="s">
        <v>153</v>
      </c>
      <c r="G11" s="56" t="s">
        <v>173</v>
      </c>
      <c r="H11" s="56" t="str">
        <f t="shared" si="1"/>
        <v>C6-C7</v>
      </c>
      <c r="I11" s="59">
        <v>9.6</v>
      </c>
      <c r="K11" s="56" t="s">
        <v>174</v>
      </c>
      <c r="L11" s="56" t="str">
        <f t="shared" si="2"/>
        <v>G6-G7</v>
      </c>
      <c r="M11" s="56">
        <v>9.6</v>
      </c>
      <c r="O11" s="56" t="s">
        <v>175</v>
      </c>
      <c r="P11" s="56" t="str">
        <f t="shared" si="3"/>
        <v>J6-J7</v>
      </c>
      <c r="Q11" s="56">
        <v>9.6</v>
      </c>
    </row>
    <row r="12" spans="2:17" ht="14.25" customHeight="1">
      <c r="B12" s="56" t="s">
        <v>176</v>
      </c>
      <c r="C12" s="56" t="str">
        <f t="shared" si="0"/>
        <v>A7 - A8</v>
      </c>
      <c r="D12" s="59">
        <v>9.6</v>
      </c>
      <c r="E12" s="1" t="s">
        <v>153</v>
      </c>
      <c r="G12" s="56" t="s">
        <v>177</v>
      </c>
      <c r="H12" s="56" t="str">
        <f t="shared" si="1"/>
        <v>C7-C8</v>
      </c>
      <c r="I12" s="59">
        <v>9.6</v>
      </c>
      <c r="K12" s="56" t="s">
        <v>178</v>
      </c>
      <c r="L12" s="56" t="str">
        <f t="shared" si="2"/>
        <v>G7-G8</v>
      </c>
      <c r="M12" s="56">
        <v>9.6</v>
      </c>
      <c r="O12" s="56" t="s">
        <v>179</v>
      </c>
      <c r="P12" s="56" t="str">
        <f t="shared" si="3"/>
        <v>J7-J8</v>
      </c>
      <c r="Q12" s="56">
        <v>9.6</v>
      </c>
    </row>
    <row r="13" spans="2:17" ht="14.25" customHeight="1">
      <c r="B13" s="56" t="s">
        <v>180</v>
      </c>
      <c r="C13" s="56" t="str">
        <f t="shared" si="0"/>
        <v>A8 - A9</v>
      </c>
      <c r="D13" s="59">
        <v>9.6</v>
      </c>
      <c r="E13" s="1" t="s">
        <v>153</v>
      </c>
      <c r="G13" s="56" t="s">
        <v>181</v>
      </c>
      <c r="H13" s="56" t="str">
        <f t="shared" si="1"/>
        <v>C8-C9</v>
      </c>
      <c r="I13" s="59">
        <f>AVERAGE(4.19)</f>
        <v>4.1900000000000004</v>
      </c>
      <c r="K13" s="56" t="s">
        <v>182</v>
      </c>
      <c r="L13" s="56" t="str">
        <f t="shared" si="2"/>
        <v>G8-G9</v>
      </c>
      <c r="M13" s="56">
        <v>9.6</v>
      </c>
      <c r="O13" s="56" t="s">
        <v>183</v>
      </c>
      <c r="P13" s="56" t="str">
        <f t="shared" si="3"/>
        <v>J8-J9</v>
      </c>
      <c r="Q13" s="56">
        <v>9.6</v>
      </c>
    </row>
    <row r="14" spans="2:17" ht="14.25" customHeight="1">
      <c r="B14" s="56" t="s">
        <v>184</v>
      </c>
      <c r="C14" s="56" t="str">
        <f t="shared" si="0"/>
        <v>A9 - A10</v>
      </c>
      <c r="D14" s="59">
        <v>9.6</v>
      </c>
      <c r="E14" s="1" t="s">
        <v>153</v>
      </c>
      <c r="G14" s="56" t="s">
        <v>185</v>
      </c>
      <c r="H14" s="56" t="str">
        <f t="shared" si="1"/>
        <v>C9-C10</v>
      </c>
      <c r="I14" s="59">
        <v>9.6</v>
      </c>
      <c r="K14" s="56" t="s">
        <v>186</v>
      </c>
      <c r="L14" s="56" t="str">
        <f t="shared" si="2"/>
        <v>G9-G10</v>
      </c>
      <c r="M14" s="56">
        <v>9.6</v>
      </c>
      <c r="O14" s="56" t="s">
        <v>187</v>
      </c>
      <c r="P14" s="56" t="str">
        <f t="shared" si="3"/>
        <v>J9-J10</v>
      </c>
      <c r="Q14" s="56">
        <v>7.17</v>
      </c>
    </row>
    <row r="15" spans="2:17" ht="14.25" customHeight="1">
      <c r="B15" s="56" t="s">
        <v>188</v>
      </c>
      <c r="C15" s="56" t="str">
        <f t="shared" si="0"/>
        <v>A10 - A11</v>
      </c>
      <c r="D15" s="59">
        <v>9.6</v>
      </c>
      <c r="E15" s="1" t="s">
        <v>153</v>
      </c>
      <c r="G15" s="56" t="s">
        <v>189</v>
      </c>
      <c r="H15" s="56" t="str">
        <f t="shared" si="1"/>
        <v>C10-C11</v>
      </c>
      <c r="I15" s="59">
        <v>9.6</v>
      </c>
      <c r="K15" s="56" t="s">
        <v>190</v>
      </c>
      <c r="L15" s="56" t="str">
        <f t="shared" si="2"/>
        <v>G10-G11</v>
      </c>
      <c r="M15" s="56">
        <v>9.6</v>
      </c>
      <c r="O15" s="56" t="s">
        <v>191</v>
      </c>
      <c r="P15" s="56" t="str">
        <f t="shared" si="3"/>
        <v>J10-J11</v>
      </c>
      <c r="Q15" s="56">
        <v>9.6</v>
      </c>
    </row>
    <row r="16" spans="2:17" ht="14.25" customHeight="1">
      <c r="B16" s="56" t="s">
        <v>192</v>
      </c>
      <c r="C16" s="56" t="str">
        <f t="shared" si="0"/>
        <v>A11 - A12</v>
      </c>
      <c r="D16" s="59">
        <v>9.6</v>
      </c>
      <c r="E16" s="1" t="s">
        <v>153</v>
      </c>
      <c r="G16" s="56" t="s">
        <v>193</v>
      </c>
      <c r="H16" s="56" t="str">
        <f t="shared" si="1"/>
        <v>C11-C12</v>
      </c>
      <c r="I16" s="59">
        <v>9.6</v>
      </c>
      <c r="K16" s="56" t="s">
        <v>194</v>
      </c>
      <c r="L16" s="56" t="str">
        <f t="shared" si="2"/>
        <v>G11-G12</v>
      </c>
      <c r="M16" s="56">
        <v>9.6</v>
      </c>
      <c r="O16" s="56" t="s">
        <v>195</v>
      </c>
      <c r="P16" s="56" t="str">
        <f t="shared" si="3"/>
        <v>J11-J12</v>
      </c>
      <c r="Q16" s="56">
        <v>9.6</v>
      </c>
    </row>
    <row r="17" spans="2:17" ht="14.25" customHeight="1">
      <c r="B17" s="56" t="s">
        <v>196</v>
      </c>
      <c r="C17" s="56" t="str">
        <f t="shared" si="0"/>
        <v>A12 - A13</v>
      </c>
      <c r="D17" s="59">
        <v>9.6</v>
      </c>
      <c r="E17" s="1" t="s">
        <v>153</v>
      </c>
      <c r="G17" s="56" t="s">
        <v>197</v>
      </c>
      <c r="H17" s="56" t="str">
        <f t="shared" si="1"/>
        <v>C12-C13</v>
      </c>
      <c r="I17" s="59">
        <v>9.6</v>
      </c>
      <c r="K17" s="56" t="s">
        <v>198</v>
      </c>
      <c r="L17" s="56" t="str">
        <f t="shared" si="2"/>
        <v>G12-G13</v>
      </c>
      <c r="M17" s="56"/>
      <c r="O17" s="56" t="s">
        <v>199</v>
      </c>
      <c r="P17" s="56" t="str">
        <f t="shared" si="3"/>
        <v>J12-J13</v>
      </c>
      <c r="Q17" s="56">
        <v>9.6</v>
      </c>
    </row>
    <row r="18" spans="2:17" ht="14.25" customHeight="1">
      <c r="B18" s="56" t="s">
        <v>200</v>
      </c>
      <c r="C18" s="56" t="str">
        <f t="shared" si="0"/>
        <v>A13 - A14</v>
      </c>
      <c r="D18" s="59">
        <v>9.6</v>
      </c>
      <c r="E18" s="1" t="s">
        <v>153</v>
      </c>
      <c r="G18" s="56" t="s">
        <v>201</v>
      </c>
      <c r="H18" s="56" t="str">
        <f t="shared" si="1"/>
        <v>C13-C14</v>
      </c>
      <c r="I18" s="59">
        <v>9.6</v>
      </c>
      <c r="K18" s="56" t="s">
        <v>202</v>
      </c>
      <c r="L18" s="56" t="str">
        <f t="shared" si="2"/>
        <v>G13-G14</v>
      </c>
      <c r="M18" s="56"/>
      <c r="O18" s="56" t="s">
        <v>203</v>
      </c>
      <c r="P18" s="56" t="str">
        <f t="shared" si="3"/>
        <v>J13-J14</v>
      </c>
      <c r="Q18" s="56">
        <v>9.6</v>
      </c>
    </row>
    <row r="19" spans="2:17" ht="14.25" customHeight="1">
      <c r="B19" s="56" t="s">
        <v>204</v>
      </c>
      <c r="C19" s="56" t="str">
        <f t="shared" si="0"/>
        <v>A14 - A15</v>
      </c>
      <c r="D19" s="59">
        <v>9.6</v>
      </c>
      <c r="E19" s="1" t="s">
        <v>153</v>
      </c>
      <c r="G19" s="56" t="s">
        <v>205</v>
      </c>
      <c r="H19" s="56" t="str">
        <f t="shared" si="1"/>
        <v>C14-C15</v>
      </c>
      <c r="I19" s="59">
        <f>AVERAGE(8.31)</f>
        <v>8.31</v>
      </c>
      <c r="K19" s="56" t="s">
        <v>206</v>
      </c>
      <c r="L19" s="56" t="str">
        <f t="shared" si="2"/>
        <v>G14-G15</v>
      </c>
      <c r="M19" s="56"/>
      <c r="O19" s="56" t="s">
        <v>207</v>
      </c>
      <c r="P19" s="56" t="str">
        <f t="shared" si="3"/>
        <v>J14-J15</v>
      </c>
      <c r="Q19" s="56">
        <v>9.6</v>
      </c>
    </row>
    <row r="20" spans="2:17" ht="14.25" customHeight="1">
      <c r="B20" s="56" t="s">
        <v>208</v>
      </c>
      <c r="C20" s="56" t="str">
        <f t="shared" si="0"/>
        <v>A15 - A16</v>
      </c>
      <c r="D20" s="59">
        <v>9.6</v>
      </c>
      <c r="E20" s="1" t="s">
        <v>153</v>
      </c>
      <c r="G20" s="56" t="s">
        <v>209</v>
      </c>
      <c r="H20" s="56" t="str">
        <f t="shared" si="1"/>
        <v>C15-C16</v>
      </c>
      <c r="I20" s="59">
        <v>9.6</v>
      </c>
      <c r="K20" s="56" t="s">
        <v>210</v>
      </c>
      <c r="L20" s="56" t="str">
        <f t="shared" si="2"/>
        <v>G15-G16</v>
      </c>
      <c r="M20" s="56">
        <v>9.6</v>
      </c>
      <c r="O20" s="56" t="s">
        <v>211</v>
      </c>
      <c r="P20" s="56" t="str">
        <f t="shared" si="3"/>
        <v>J15-J16</v>
      </c>
      <c r="Q20" s="56">
        <v>9.6</v>
      </c>
    </row>
    <row r="21" spans="2:17" ht="14.25" customHeight="1">
      <c r="B21" s="56" t="s">
        <v>212</v>
      </c>
      <c r="C21" s="56" t="str">
        <f t="shared" si="0"/>
        <v>A16 - A17</v>
      </c>
      <c r="D21" s="59">
        <v>9.6</v>
      </c>
      <c r="E21" s="1" t="s">
        <v>153</v>
      </c>
      <c r="G21" s="56" t="s">
        <v>213</v>
      </c>
      <c r="H21" s="56" t="str">
        <f t="shared" si="1"/>
        <v>C16-C17</v>
      </c>
      <c r="I21" s="59">
        <v>9.6</v>
      </c>
      <c r="K21" s="56" t="s">
        <v>214</v>
      </c>
      <c r="L21" s="56" t="str">
        <f t="shared" si="2"/>
        <v>G16-G17</v>
      </c>
      <c r="M21" s="56">
        <v>9.6</v>
      </c>
      <c r="O21" s="56" t="s">
        <v>215</v>
      </c>
      <c r="P21" s="56" t="str">
        <f t="shared" si="3"/>
        <v>J16-J17</v>
      </c>
      <c r="Q21" s="56">
        <v>9.6</v>
      </c>
    </row>
    <row r="22" spans="2:17" ht="14.25" customHeight="1">
      <c r="B22" s="56" t="s">
        <v>216</v>
      </c>
      <c r="C22" s="56" t="str">
        <f t="shared" si="0"/>
        <v>A17 - A18</v>
      </c>
      <c r="D22" s="59">
        <v>9.6</v>
      </c>
      <c r="E22" s="1" t="s">
        <v>153</v>
      </c>
      <c r="G22" s="56" t="s">
        <v>217</v>
      </c>
      <c r="H22" s="56" t="str">
        <f t="shared" si="1"/>
        <v>C17-C18</v>
      </c>
      <c r="I22" s="59">
        <v>9.6</v>
      </c>
      <c r="K22" s="56" t="s">
        <v>218</v>
      </c>
      <c r="L22" s="56" t="str">
        <f t="shared" si="2"/>
        <v>G17-G18</v>
      </c>
      <c r="M22" s="56">
        <v>9.6</v>
      </c>
      <c r="O22" s="56" t="s">
        <v>219</v>
      </c>
      <c r="P22" s="56" t="str">
        <f t="shared" si="3"/>
        <v>J17-J18</v>
      </c>
      <c r="Q22" s="56">
        <v>9.6</v>
      </c>
    </row>
    <row r="23" spans="2:17" ht="14.25" customHeight="1">
      <c r="B23" s="56" t="s">
        <v>220</v>
      </c>
      <c r="C23" s="56" t="str">
        <f t="shared" si="0"/>
        <v>A18 - A19</v>
      </c>
      <c r="D23" s="59">
        <v>9.6</v>
      </c>
      <c r="E23" s="1" t="s">
        <v>153</v>
      </c>
      <c r="G23" s="56" t="s">
        <v>221</v>
      </c>
      <c r="H23" s="56" t="str">
        <f t="shared" si="1"/>
        <v>C18-C19</v>
      </c>
      <c r="I23" s="59">
        <v>9.6</v>
      </c>
      <c r="K23" s="56" t="s">
        <v>222</v>
      </c>
      <c r="L23" s="56" t="str">
        <f t="shared" si="2"/>
        <v>G18-G19</v>
      </c>
      <c r="M23" s="56">
        <v>9.6</v>
      </c>
      <c r="O23" s="56" t="s">
        <v>223</v>
      </c>
      <c r="P23" s="56" t="str">
        <f t="shared" si="3"/>
        <v>J18-J19</v>
      </c>
      <c r="Q23" s="56">
        <v>9.6</v>
      </c>
    </row>
    <row r="24" spans="2:17" ht="14.25" customHeight="1">
      <c r="B24" s="56" t="s">
        <v>224</v>
      </c>
      <c r="C24" s="56" t="str">
        <f t="shared" si="0"/>
        <v>A19 - A20</v>
      </c>
      <c r="D24" s="59">
        <v>9.6</v>
      </c>
      <c r="E24" s="1" t="s">
        <v>153</v>
      </c>
      <c r="G24" s="56" t="s">
        <v>225</v>
      </c>
      <c r="H24" s="56" t="str">
        <f t="shared" si="1"/>
        <v>C19-C20</v>
      </c>
      <c r="I24" s="59">
        <v>9.6</v>
      </c>
      <c r="K24" s="56" t="s">
        <v>226</v>
      </c>
      <c r="L24" s="56" t="str">
        <f t="shared" si="2"/>
        <v>G19-G20</v>
      </c>
      <c r="M24" s="56">
        <v>9.6</v>
      </c>
      <c r="O24" s="56" t="s">
        <v>227</v>
      </c>
      <c r="P24" s="56" t="str">
        <f t="shared" si="3"/>
        <v>J19-J20</v>
      </c>
      <c r="Q24" s="56">
        <v>9.6</v>
      </c>
    </row>
    <row r="25" spans="2:17" ht="14.25" customHeight="1">
      <c r="B25" s="56" t="s">
        <v>228</v>
      </c>
      <c r="C25" s="56" t="str">
        <f t="shared" si="0"/>
        <v>A20 - A21</v>
      </c>
      <c r="D25" s="59">
        <v>9.6</v>
      </c>
      <c r="E25" s="1" t="s">
        <v>153</v>
      </c>
      <c r="G25" s="56" t="s">
        <v>229</v>
      </c>
      <c r="H25" s="56" t="str">
        <f t="shared" si="1"/>
        <v>C20-C21</v>
      </c>
      <c r="I25" s="59">
        <v>9.6</v>
      </c>
      <c r="K25" s="56" t="s">
        <v>230</v>
      </c>
      <c r="L25" s="56" t="str">
        <f t="shared" si="2"/>
        <v>G20-G21</v>
      </c>
      <c r="M25" s="56">
        <v>9.6</v>
      </c>
      <c r="O25" s="56" t="s">
        <v>231</v>
      </c>
      <c r="P25" s="56" t="str">
        <f t="shared" si="3"/>
        <v>J20-J21</v>
      </c>
      <c r="Q25" s="56">
        <v>9.6</v>
      </c>
    </row>
    <row r="26" spans="2:17" ht="14.25" customHeight="1">
      <c r="B26" s="56" t="s">
        <v>232</v>
      </c>
      <c r="C26" s="56" t="str">
        <f t="shared" si="0"/>
        <v>A21 - A22</v>
      </c>
      <c r="D26" s="59">
        <v>9.6</v>
      </c>
      <c r="E26" s="1" t="s">
        <v>153</v>
      </c>
      <c r="G26" s="56" t="s">
        <v>233</v>
      </c>
      <c r="H26" s="56" t="str">
        <f t="shared" si="1"/>
        <v>C21-C22</v>
      </c>
      <c r="I26" s="59">
        <v>9.6</v>
      </c>
      <c r="K26" s="56" t="s">
        <v>234</v>
      </c>
      <c r="L26" s="56" t="str">
        <f t="shared" si="2"/>
        <v>G21-G22</v>
      </c>
      <c r="M26" s="56">
        <v>9.6</v>
      </c>
      <c r="O26" s="56" t="s">
        <v>235</v>
      </c>
      <c r="P26" s="56" t="str">
        <f t="shared" si="3"/>
        <v>J21-J22</v>
      </c>
      <c r="Q26" s="56">
        <v>9.6</v>
      </c>
    </row>
    <row r="27" spans="2:17" ht="14.25" customHeight="1">
      <c r="B27" s="56" t="s">
        <v>236</v>
      </c>
      <c r="C27" s="56" t="str">
        <f t="shared" si="0"/>
        <v>A22 - A23</v>
      </c>
      <c r="D27" s="59">
        <v>9.6</v>
      </c>
      <c r="E27" s="1" t="s">
        <v>153</v>
      </c>
      <c r="G27" s="56" t="s">
        <v>237</v>
      </c>
      <c r="H27" s="56" t="str">
        <f t="shared" si="1"/>
        <v>C22-C23</v>
      </c>
      <c r="I27" s="59">
        <v>9.6</v>
      </c>
      <c r="K27" s="56" t="s">
        <v>238</v>
      </c>
      <c r="L27" s="56" t="str">
        <f t="shared" si="2"/>
        <v>G22-G23</v>
      </c>
      <c r="M27" s="56">
        <v>9.6</v>
      </c>
      <c r="O27" s="56" t="s">
        <v>239</v>
      </c>
      <c r="P27" s="56" t="str">
        <f t="shared" si="3"/>
        <v>J22-J23</v>
      </c>
      <c r="Q27" s="56">
        <v>9.6</v>
      </c>
    </row>
    <row r="28" spans="2:17" ht="14.25" customHeight="1">
      <c r="B28" s="56" t="s">
        <v>240</v>
      </c>
      <c r="C28" s="56" t="str">
        <f t="shared" si="0"/>
        <v>A23 - A24</v>
      </c>
      <c r="D28" s="59">
        <v>9.6</v>
      </c>
      <c r="E28" s="1" t="s">
        <v>153</v>
      </c>
      <c r="G28" s="56" t="s">
        <v>241</v>
      </c>
      <c r="H28" s="56" t="str">
        <f t="shared" si="1"/>
        <v>C23-C24</v>
      </c>
      <c r="I28" s="59">
        <v>9.6</v>
      </c>
      <c r="K28" s="56" t="s">
        <v>242</v>
      </c>
      <c r="L28" s="56" t="str">
        <f t="shared" si="2"/>
        <v>G23-G24</v>
      </c>
      <c r="M28" s="56">
        <v>9.6</v>
      </c>
      <c r="O28" s="56" t="s">
        <v>243</v>
      </c>
      <c r="P28" s="56" t="str">
        <f t="shared" si="3"/>
        <v>J23-J24</v>
      </c>
      <c r="Q28" s="56">
        <v>9.6</v>
      </c>
    </row>
    <row r="29" spans="2:17" ht="14.25" customHeight="1">
      <c r="B29" s="56" t="s">
        <v>244</v>
      </c>
      <c r="C29" s="56" t="str">
        <f t="shared" si="0"/>
        <v>A24 - A25</v>
      </c>
      <c r="D29" s="59">
        <v>9.6</v>
      </c>
      <c r="E29" s="1" t="s">
        <v>153</v>
      </c>
      <c r="G29" s="56" t="s">
        <v>245</v>
      </c>
      <c r="H29" s="56" t="str">
        <f t="shared" si="1"/>
        <v>C24-C25</v>
      </c>
      <c r="I29" s="59">
        <v>9.6</v>
      </c>
      <c r="K29" s="56" t="s">
        <v>246</v>
      </c>
      <c r="L29" s="56" t="str">
        <f t="shared" si="2"/>
        <v>G24-G25</v>
      </c>
      <c r="M29" s="56"/>
      <c r="O29" s="56" t="s">
        <v>247</v>
      </c>
      <c r="P29" s="56" t="str">
        <f t="shared" si="3"/>
        <v>J24-J25</v>
      </c>
      <c r="Q29" s="56">
        <v>9.6</v>
      </c>
    </row>
    <row r="30" spans="2:17" ht="14.25" customHeight="1">
      <c r="B30" s="56" t="s">
        <v>248</v>
      </c>
      <c r="C30" s="56" t="str">
        <f t="shared" si="0"/>
        <v>A25 - A26</v>
      </c>
      <c r="D30" s="59">
        <v>9.6</v>
      </c>
      <c r="E30" s="1" t="s">
        <v>153</v>
      </c>
      <c r="G30" s="56" t="s">
        <v>249</v>
      </c>
      <c r="H30" s="56" t="str">
        <f t="shared" si="1"/>
        <v>C25-C26</v>
      </c>
      <c r="I30" s="59">
        <v>9.6</v>
      </c>
      <c r="K30" s="56" t="s">
        <v>250</v>
      </c>
      <c r="L30" s="56" t="str">
        <f t="shared" si="2"/>
        <v>G25-G26</v>
      </c>
      <c r="M30" s="56"/>
      <c r="O30" s="56" t="s">
        <v>251</v>
      </c>
      <c r="P30" s="56" t="str">
        <f t="shared" si="3"/>
        <v>J25-J26</v>
      </c>
      <c r="Q30" s="56">
        <v>9.6</v>
      </c>
    </row>
    <row r="31" spans="2:17" ht="14.25" customHeight="1">
      <c r="B31" s="56" t="s">
        <v>252</v>
      </c>
      <c r="C31" s="56" t="str">
        <f t="shared" si="0"/>
        <v>A26 - A27</v>
      </c>
      <c r="D31" s="59">
        <v>9.6</v>
      </c>
      <c r="E31" s="1" t="s">
        <v>153</v>
      </c>
      <c r="G31" s="56" t="s">
        <v>253</v>
      </c>
      <c r="H31" s="56" t="str">
        <f t="shared" si="1"/>
        <v>C26-C27</v>
      </c>
      <c r="I31" s="59">
        <v>9.6</v>
      </c>
      <c r="K31" s="56" t="s">
        <v>254</v>
      </c>
      <c r="L31" s="56" t="str">
        <f t="shared" si="2"/>
        <v>G26-G27</v>
      </c>
      <c r="M31" s="56"/>
      <c r="O31" s="56" t="s">
        <v>255</v>
      </c>
      <c r="P31" s="56" t="str">
        <f t="shared" si="3"/>
        <v>J26-J27</v>
      </c>
      <c r="Q31" s="56">
        <v>9.6</v>
      </c>
    </row>
    <row r="32" spans="2:17" ht="14.25" customHeight="1">
      <c r="B32" s="56" t="s">
        <v>256</v>
      </c>
      <c r="C32" s="56" t="str">
        <f t="shared" si="0"/>
        <v>A27 - A28</v>
      </c>
      <c r="D32" s="59">
        <v>9.6</v>
      </c>
      <c r="E32" s="1" t="s">
        <v>153</v>
      </c>
      <c r="G32" s="56" t="s">
        <v>257</v>
      </c>
      <c r="H32" s="56" t="str">
        <f t="shared" si="1"/>
        <v>C27-C28</v>
      </c>
      <c r="I32" s="59">
        <v>9.6</v>
      </c>
      <c r="K32" s="56" t="s">
        <v>258</v>
      </c>
      <c r="L32" s="56" t="str">
        <f t="shared" si="2"/>
        <v>G27-G28</v>
      </c>
      <c r="M32" s="56"/>
      <c r="O32" s="56" t="s">
        <v>259</v>
      </c>
      <c r="P32" s="56" t="str">
        <f t="shared" si="3"/>
        <v>J27-J28</v>
      </c>
      <c r="Q32" s="56">
        <v>9.6</v>
      </c>
    </row>
    <row r="33" spans="2:17" ht="14.25" customHeight="1">
      <c r="B33" s="56" t="s">
        <v>260</v>
      </c>
      <c r="C33" s="56" t="str">
        <f t="shared" si="0"/>
        <v>A28 - A29</v>
      </c>
      <c r="D33" s="59">
        <v>9.6</v>
      </c>
      <c r="E33" s="1" t="s">
        <v>153</v>
      </c>
      <c r="G33" s="56" t="s">
        <v>261</v>
      </c>
      <c r="H33" s="56" t="str">
        <f t="shared" si="1"/>
        <v>C28-C29</v>
      </c>
      <c r="I33" s="59">
        <v>9.6</v>
      </c>
      <c r="K33" s="56" t="s">
        <v>262</v>
      </c>
      <c r="L33" s="56" t="str">
        <f t="shared" si="2"/>
        <v>G28-G29</v>
      </c>
      <c r="M33" s="56">
        <v>6.01</v>
      </c>
      <c r="O33" s="56" t="s">
        <v>263</v>
      </c>
      <c r="P33" s="56" t="str">
        <f t="shared" si="3"/>
        <v>J28-J29</v>
      </c>
      <c r="Q33" s="56">
        <v>9.6</v>
      </c>
    </row>
    <row r="34" spans="2:17" ht="14.25" customHeight="1">
      <c r="B34" s="56" t="s">
        <v>264</v>
      </c>
      <c r="C34" s="56" t="str">
        <f t="shared" si="0"/>
        <v>A29 - A30</v>
      </c>
      <c r="D34" s="59">
        <v>9.6</v>
      </c>
      <c r="E34" s="1" t="s">
        <v>153</v>
      </c>
      <c r="G34" s="56" t="s">
        <v>265</v>
      </c>
      <c r="H34" s="56" t="str">
        <f t="shared" si="1"/>
        <v>C29-C30</v>
      </c>
      <c r="I34" s="59">
        <v>9.6</v>
      </c>
      <c r="K34" s="56" t="s">
        <v>266</v>
      </c>
      <c r="L34" s="56" t="str">
        <f t="shared" si="2"/>
        <v>G29-G30</v>
      </c>
      <c r="M34" s="56">
        <v>9.6</v>
      </c>
      <c r="O34" s="56" t="s">
        <v>267</v>
      </c>
      <c r="P34" s="56" t="str">
        <f t="shared" si="3"/>
        <v>J29-J30</v>
      </c>
      <c r="Q34" s="56">
        <v>9.6</v>
      </c>
    </row>
    <row r="35" spans="2:17" ht="14.25" customHeight="1">
      <c r="B35" s="56" t="s">
        <v>268</v>
      </c>
      <c r="C35" s="56" t="str">
        <f t="shared" si="0"/>
        <v>A30 - A31</v>
      </c>
      <c r="D35" s="59">
        <v>9.6</v>
      </c>
      <c r="E35" s="1" t="s">
        <v>153</v>
      </c>
      <c r="G35" s="56" t="s">
        <v>269</v>
      </c>
      <c r="H35" s="56" t="str">
        <f t="shared" si="1"/>
        <v>C30-C31</v>
      </c>
      <c r="I35" s="59">
        <v>9.6</v>
      </c>
      <c r="K35" s="56" t="s">
        <v>270</v>
      </c>
      <c r="L35" s="56" t="str">
        <f t="shared" si="2"/>
        <v>G30-G31</v>
      </c>
      <c r="M35" s="56">
        <v>9.6</v>
      </c>
      <c r="O35" s="56" t="s">
        <v>271</v>
      </c>
      <c r="P35" s="56" t="str">
        <f t="shared" si="3"/>
        <v>J30-J31</v>
      </c>
      <c r="Q35" s="56">
        <v>9.6</v>
      </c>
    </row>
    <row r="36" spans="2:17" ht="14.25" customHeight="1">
      <c r="B36" s="56" t="s">
        <v>272</v>
      </c>
      <c r="C36" s="56" t="str">
        <f t="shared" si="0"/>
        <v>A31 - A32</v>
      </c>
      <c r="D36" s="59">
        <v>9.6</v>
      </c>
      <c r="E36" s="1" t="s">
        <v>153</v>
      </c>
      <c r="G36" s="56" t="s">
        <v>273</v>
      </c>
      <c r="H36" s="56" t="str">
        <f t="shared" si="1"/>
        <v>C31-C32</v>
      </c>
      <c r="I36" s="59">
        <v>9.6</v>
      </c>
      <c r="K36" s="56" t="s">
        <v>274</v>
      </c>
      <c r="L36" s="56" t="str">
        <f t="shared" si="2"/>
        <v>G31-G32</v>
      </c>
      <c r="M36" s="56">
        <v>9.6</v>
      </c>
      <c r="O36" s="56" t="s">
        <v>275</v>
      </c>
      <c r="P36" s="56" t="str">
        <f t="shared" si="3"/>
        <v>J31-J32</v>
      </c>
      <c r="Q36" s="56">
        <v>9.6</v>
      </c>
    </row>
    <row r="37" spans="2:17" ht="14.25" customHeight="1">
      <c r="B37" s="56" t="s">
        <v>276</v>
      </c>
      <c r="C37" s="56" t="str">
        <f t="shared" si="0"/>
        <v>A32 - A33</v>
      </c>
      <c r="D37" s="59">
        <v>9.6</v>
      </c>
      <c r="E37" s="1" t="s">
        <v>153</v>
      </c>
      <c r="G37" s="56" t="s">
        <v>277</v>
      </c>
      <c r="H37" s="56" t="str">
        <f t="shared" si="1"/>
        <v>C32-C33</v>
      </c>
      <c r="I37" s="59">
        <v>9.6</v>
      </c>
      <c r="K37" s="56" t="s">
        <v>278</v>
      </c>
      <c r="L37" s="56" t="str">
        <f t="shared" si="2"/>
        <v>G32-G33</v>
      </c>
      <c r="M37" s="56">
        <v>9.6</v>
      </c>
      <c r="O37" s="56" t="s">
        <v>279</v>
      </c>
      <c r="P37" s="56" t="str">
        <f t="shared" si="3"/>
        <v>J32-J33</v>
      </c>
      <c r="Q37" s="56">
        <v>9.6</v>
      </c>
    </row>
    <row r="38" spans="2:17" ht="14.25" customHeight="1">
      <c r="B38" s="56" t="s">
        <v>280</v>
      </c>
      <c r="C38" s="56" t="str">
        <f t="shared" si="0"/>
        <v>A33 - A34</v>
      </c>
      <c r="D38" s="59">
        <v>9.6</v>
      </c>
      <c r="E38" s="1" t="s">
        <v>153</v>
      </c>
      <c r="G38" s="56" t="s">
        <v>281</v>
      </c>
      <c r="H38" s="56" t="str">
        <f t="shared" si="1"/>
        <v>C33-C34</v>
      </c>
      <c r="I38" s="59">
        <v>9.6</v>
      </c>
      <c r="K38" s="142" t="s">
        <v>282</v>
      </c>
      <c r="L38" s="141"/>
      <c r="M38" s="60">
        <f>SUM(M5:M37)</f>
        <v>232.00999999999991</v>
      </c>
      <c r="O38" s="56" t="s">
        <v>283</v>
      </c>
      <c r="P38" s="56" t="str">
        <f t="shared" si="3"/>
        <v>J33-J34</v>
      </c>
      <c r="Q38" s="56">
        <v>9.6</v>
      </c>
    </row>
    <row r="39" spans="2:17" ht="14.25" customHeight="1">
      <c r="B39" s="56" t="s">
        <v>284</v>
      </c>
      <c r="C39" s="56" t="str">
        <f t="shared" si="0"/>
        <v>A34 - A35</v>
      </c>
      <c r="D39" s="59">
        <v>9.6</v>
      </c>
      <c r="E39" s="1" t="s">
        <v>153</v>
      </c>
      <c r="G39" s="56" t="s">
        <v>285</v>
      </c>
      <c r="H39" s="56" t="str">
        <f t="shared" si="1"/>
        <v>C34-C35</v>
      </c>
      <c r="I39" s="59">
        <v>2.4</v>
      </c>
      <c r="K39" s="52" t="s">
        <v>286</v>
      </c>
      <c r="L39" s="53" t="s">
        <v>287</v>
      </c>
      <c r="M39" s="54"/>
      <c r="O39" s="56" t="s">
        <v>288</v>
      </c>
      <c r="P39" s="56" t="str">
        <f t="shared" si="3"/>
        <v>J34-J35</v>
      </c>
      <c r="Q39" s="56">
        <v>9.6</v>
      </c>
    </row>
    <row r="40" spans="2:17" ht="14.25" customHeight="1">
      <c r="B40" s="56" t="s">
        <v>289</v>
      </c>
      <c r="C40" s="56" t="str">
        <f t="shared" si="0"/>
        <v>A35 - A36</v>
      </c>
      <c r="D40" s="59">
        <v>9.6</v>
      </c>
      <c r="E40" s="1" t="s">
        <v>153</v>
      </c>
      <c r="G40" s="56" t="s">
        <v>290</v>
      </c>
      <c r="H40" s="56" t="str">
        <f t="shared" si="1"/>
        <v>C35-C36</v>
      </c>
      <c r="I40" s="59">
        <v>9.6</v>
      </c>
      <c r="K40" s="56" t="s">
        <v>291</v>
      </c>
      <c r="L40" s="56"/>
      <c r="M40" s="56"/>
      <c r="O40" s="56" t="s">
        <v>292</v>
      </c>
      <c r="P40" s="56" t="str">
        <f t="shared" si="3"/>
        <v>J35-J36</v>
      </c>
      <c r="Q40" s="56">
        <v>9.6</v>
      </c>
    </row>
    <row r="41" spans="2:17" ht="14.25" customHeight="1">
      <c r="B41" s="56" t="s">
        <v>293</v>
      </c>
      <c r="C41" s="56" t="str">
        <f t="shared" si="0"/>
        <v>A36 - A37</v>
      </c>
      <c r="D41" s="59">
        <v>9.6</v>
      </c>
      <c r="E41" s="1" t="s">
        <v>153</v>
      </c>
      <c r="G41" s="142" t="s">
        <v>282</v>
      </c>
      <c r="H41" s="141"/>
      <c r="I41" s="60">
        <f>SUM(I6:I40)</f>
        <v>319.91000000000003</v>
      </c>
      <c r="K41" s="56" t="s">
        <v>294</v>
      </c>
      <c r="L41" s="56" t="str">
        <f t="shared" ref="L41:L120" si="4">CONCATENATE(K40, "-",K41)</f>
        <v>G34-G35</v>
      </c>
      <c r="M41" s="59">
        <v>5.86</v>
      </c>
      <c r="O41" s="56" t="s">
        <v>295</v>
      </c>
      <c r="P41" s="56" t="str">
        <f t="shared" si="3"/>
        <v>J36-J37</v>
      </c>
      <c r="Q41" s="56">
        <v>9.6</v>
      </c>
    </row>
    <row r="42" spans="2:17" ht="14.25" customHeight="1">
      <c r="B42" s="56" t="s">
        <v>296</v>
      </c>
      <c r="C42" s="56" t="str">
        <f t="shared" si="0"/>
        <v>A37 - A38</v>
      </c>
      <c r="D42" s="59">
        <v>9.6</v>
      </c>
      <c r="E42" s="1" t="s">
        <v>153</v>
      </c>
      <c r="G42" s="52" t="s">
        <v>286</v>
      </c>
      <c r="H42" s="53" t="s">
        <v>147</v>
      </c>
      <c r="I42" s="54"/>
      <c r="K42" s="56" t="s">
        <v>297</v>
      </c>
      <c r="L42" s="56" t="str">
        <f t="shared" si="4"/>
        <v>G35-G36</v>
      </c>
      <c r="M42" s="59">
        <v>4.5</v>
      </c>
      <c r="O42" s="56" t="s">
        <v>298</v>
      </c>
      <c r="P42" s="56" t="str">
        <f t="shared" si="3"/>
        <v>J37-J38</v>
      </c>
      <c r="Q42" s="56">
        <v>9.6</v>
      </c>
    </row>
    <row r="43" spans="2:17" ht="14.25" customHeight="1">
      <c r="B43" s="56" t="s">
        <v>299</v>
      </c>
      <c r="C43" s="56" t="str">
        <f t="shared" si="0"/>
        <v>A38 - A39</v>
      </c>
      <c r="D43" s="59">
        <v>9.6</v>
      </c>
      <c r="E43" s="1" t="s">
        <v>153</v>
      </c>
      <c r="G43" s="56" t="s">
        <v>300</v>
      </c>
      <c r="H43" s="56" t="str">
        <f>CONCATENATE(G40, "-",G43)</f>
        <v>C36-C37</v>
      </c>
      <c r="I43" s="59">
        <v>5.6</v>
      </c>
      <c r="K43" s="56" t="s">
        <v>301</v>
      </c>
      <c r="L43" s="56" t="str">
        <f t="shared" si="4"/>
        <v>G36-G37</v>
      </c>
      <c r="M43" s="59">
        <v>9.6</v>
      </c>
      <c r="O43" s="56" t="s">
        <v>302</v>
      </c>
      <c r="P43" s="56" t="str">
        <f t="shared" si="3"/>
        <v>J38-J39</v>
      </c>
      <c r="Q43" s="56">
        <v>9.6</v>
      </c>
    </row>
    <row r="44" spans="2:17" ht="14.25" customHeight="1">
      <c r="B44" s="56" t="s">
        <v>303</v>
      </c>
      <c r="C44" s="56" t="str">
        <f t="shared" si="0"/>
        <v>A39 - A40</v>
      </c>
      <c r="D44" s="59">
        <v>9.6</v>
      </c>
      <c r="E44" s="1" t="s">
        <v>153</v>
      </c>
      <c r="G44" s="56" t="s">
        <v>304</v>
      </c>
      <c r="H44" s="56" t="str">
        <f t="shared" ref="H44:H129" si="5">CONCATENATE(G43, "-",G44)</f>
        <v>C37-C38</v>
      </c>
      <c r="I44" s="59">
        <v>9.6</v>
      </c>
      <c r="K44" s="56" t="s">
        <v>305</v>
      </c>
      <c r="L44" s="56" t="str">
        <f t="shared" si="4"/>
        <v>G37-G38</v>
      </c>
      <c r="M44" s="59">
        <v>9.6</v>
      </c>
      <c r="O44" s="56" t="s">
        <v>306</v>
      </c>
      <c r="P44" s="56" t="str">
        <f t="shared" si="3"/>
        <v>J39-J40</v>
      </c>
      <c r="Q44" s="56">
        <v>9.6</v>
      </c>
    </row>
    <row r="45" spans="2:17" ht="14.25" customHeight="1">
      <c r="B45" s="56" t="s">
        <v>307</v>
      </c>
      <c r="C45" s="56" t="str">
        <f t="shared" si="0"/>
        <v>A40 - A41</v>
      </c>
      <c r="D45" s="59">
        <v>9.6</v>
      </c>
      <c r="E45" s="1" t="s">
        <v>153</v>
      </c>
      <c r="G45" s="56" t="s">
        <v>308</v>
      </c>
      <c r="H45" s="56" t="str">
        <f t="shared" si="5"/>
        <v>C38-C39</v>
      </c>
      <c r="I45" s="59">
        <v>9.6</v>
      </c>
      <c r="K45" s="56" t="s">
        <v>309</v>
      </c>
      <c r="L45" s="56" t="str">
        <f t="shared" si="4"/>
        <v>G38-G39</v>
      </c>
      <c r="M45" s="59">
        <v>9.6</v>
      </c>
      <c r="O45" s="142" t="s">
        <v>282</v>
      </c>
      <c r="P45" s="141"/>
      <c r="Q45" s="60">
        <f>SUM(Q5:Q44)</f>
        <v>371.9700000000002</v>
      </c>
    </row>
    <row r="46" spans="2:17" ht="14.25" customHeight="1">
      <c r="B46" s="56" t="s">
        <v>310</v>
      </c>
      <c r="C46" s="56" t="str">
        <f t="shared" si="0"/>
        <v>A41 - A42</v>
      </c>
      <c r="D46" s="59">
        <v>9.6</v>
      </c>
      <c r="E46" s="1" t="s">
        <v>153</v>
      </c>
      <c r="G46" s="56" t="s">
        <v>311</v>
      </c>
      <c r="H46" s="56" t="str">
        <f t="shared" si="5"/>
        <v>C39-C40</v>
      </c>
      <c r="I46" s="59">
        <v>9.6</v>
      </c>
      <c r="K46" s="56" t="s">
        <v>312</v>
      </c>
      <c r="L46" s="56" t="str">
        <f t="shared" si="4"/>
        <v>G39-G40</v>
      </c>
      <c r="M46" s="59">
        <v>8.98</v>
      </c>
    </row>
    <row r="47" spans="2:17" ht="14.25" customHeight="1">
      <c r="B47" s="56" t="s">
        <v>313</v>
      </c>
      <c r="C47" s="56" t="str">
        <f t="shared" si="0"/>
        <v>A42 - A43</v>
      </c>
      <c r="D47" s="59">
        <v>9.6</v>
      </c>
      <c r="E47" s="1" t="s">
        <v>153</v>
      </c>
      <c r="G47" s="56" t="s">
        <v>314</v>
      </c>
      <c r="H47" s="56" t="str">
        <f t="shared" si="5"/>
        <v>C40-C41</v>
      </c>
      <c r="I47" s="59">
        <v>9.6</v>
      </c>
      <c r="K47" s="56" t="s">
        <v>315</v>
      </c>
      <c r="L47" s="56" t="str">
        <f t="shared" si="4"/>
        <v>G40-G41</v>
      </c>
      <c r="M47" s="59">
        <v>9.6</v>
      </c>
    </row>
    <row r="48" spans="2:17" ht="14.25" customHeight="1">
      <c r="B48" s="56" t="s">
        <v>316</v>
      </c>
      <c r="C48" s="56" t="str">
        <f t="shared" si="0"/>
        <v>A43 - A44</v>
      </c>
      <c r="D48" s="59">
        <v>9.6</v>
      </c>
      <c r="E48" s="1" t="s">
        <v>153</v>
      </c>
      <c r="G48" s="56" t="s">
        <v>317</v>
      </c>
      <c r="H48" s="56" t="str">
        <f t="shared" si="5"/>
        <v>C41-C42</v>
      </c>
      <c r="I48" s="59">
        <v>9.6</v>
      </c>
      <c r="K48" s="56" t="s">
        <v>318</v>
      </c>
      <c r="L48" s="56" t="str">
        <f t="shared" si="4"/>
        <v>G41-G42</v>
      </c>
      <c r="M48" s="59">
        <v>9.6</v>
      </c>
    </row>
    <row r="49" spans="2:13" ht="14.25" customHeight="1">
      <c r="B49" s="56" t="s">
        <v>319</v>
      </c>
      <c r="C49" s="56" t="str">
        <f t="shared" si="0"/>
        <v>A44 - A45</v>
      </c>
      <c r="D49" s="59">
        <v>9.6</v>
      </c>
      <c r="E49" s="1" t="s">
        <v>153</v>
      </c>
      <c r="G49" s="56" t="s">
        <v>320</v>
      </c>
      <c r="H49" s="56" t="str">
        <f t="shared" si="5"/>
        <v>C42-C43</v>
      </c>
      <c r="I49" s="59">
        <v>9.6</v>
      </c>
      <c r="K49" s="56" t="s">
        <v>321</v>
      </c>
      <c r="L49" s="56" t="str">
        <f t="shared" si="4"/>
        <v>G42-G43</v>
      </c>
      <c r="M49" s="59">
        <v>9.6</v>
      </c>
    </row>
    <row r="50" spans="2:13" ht="14.25" customHeight="1">
      <c r="B50" s="56" t="s">
        <v>322</v>
      </c>
      <c r="C50" s="56" t="str">
        <f t="shared" si="0"/>
        <v>A45 - A46</v>
      </c>
      <c r="D50" s="59">
        <v>9.6</v>
      </c>
      <c r="E50" s="1" t="s">
        <v>153</v>
      </c>
      <c r="G50" s="56" t="s">
        <v>323</v>
      </c>
      <c r="H50" s="56" t="str">
        <f t="shared" si="5"/>
        <v>C43-C44</v>
      </c>
      <c r="I50" s="59">
        <v>9.6</v>
      </c>
      <c r="K50" s="56" t="s">
        <v>324</v>
      </c>
      <c r="L50" s="56" t="str">
        <f t="shared" si="4"/>
        <v>G43-G44</v>
      </c>
      <c r="M50" s="59">
        <v>9.6</v>
      </c>
    </row>
    <row r="51" spans="2:13" ht="14.25" customHeight="1">
      <c r="B51" s="56" t="s">
        <v>325</v>
      </c>
      <c r="C51" s="56" t="str">
        <f t="shared" si="0"/>
        <v>A46 - A47</v>
      </c>
      <c r="D51" s="59">
        <v>9.6</v>
      </c>
      <c r="E51" s="1" t="s">
        <v>153</v>
      </c>
      <c r="G51" s="56" t="s">
        <v>326</v>
      </c>
      <c r="H51" s="56" t="str">
        <f t="shared" si="5"/>
        <v>C44-C45</v>
      </c>
      <c r="I51" s="59">
        <v>9.6</v>
      </c>
      <c r="K51" s="56" t="s">
        <v>327</v>
      </c>
      <c r="L51" s="56" t="str">
        <f t="shared" si="4"/>
        <v>G44-G45</v>
      </c>
      <c r="M51" s="59">
        <v>9.6</v>
      </c>
    </row>
    <row r="52" spans="2:13" ht="14.25" customHeight="1">
      <c r="B52" s="56" t="s">
        <v>328</v>
      </c>
      <c r="C52" s="56" t="str">
        <f t="shared" si="0"/>
        <v>A47 - A48</v>
      </c>
      <c r="D52" s="59">
        <v>9.6</v>
      </c>
      <c r="E52" s="1" t="s">
        <v>153</v>
      </c>
      <c r="G52" s="56" t="s">
        <v>329</v>
      </c>
      <c r="H52" s="56" t="str">
        <f t="shared" si="5"/>
        <v>C45-C46</v>
      </c>
      <c r="I52" s="59">
        <v>9.6</v>
      </c>
      <c r="K52" s="56" t="s">
        <v>330</v>
      </c>
      <c r="L52" s="56" t="str">
        <f t="shared" si="4"/>
        <v>G45-G46</v>
      </c>
      <c r="M52" s="59">
        <v>9.6</v>
      </c>
    </row>
    <row r="53" spans="2:13" ht="14.25" customHeight="1">
      <c r="B53" s="56" t="s">
        <v>331</v>
      </c>
      <c r="C53" s="56" t="str">
        <f t="shared" si="0"/>
        <v>A48 - A49</v>
      </c>
      <c r="D53" s="59">
        <v>9.6</v>
      </c>
      <c r="E53" s="1" t="s">
        <v>153</v>
      </c>
      <c r="G53" s="56" t="s">
        <v>332</v>
      </c>
      <c r="H53" s="56" t="str">
        <f t="shared" si="5"/>
        <v>C46-C47</v>
      </c>
      <c r="I53" s="59">
        <v>9.6</v>
      </c>
      <c r="K53" s="56" t="s">
        <v>333</v>
      </c>
      <c r="L53" s="56" t="str">
        <f t="shared" si="4"/>
        <v>G46-G47</v>
      </c>
      <c r="M53" s="59">
        <v>9.6</v>
      </c>
    </row>
    <row r="54" spans="2:13" ht="14.25" customHeight="1">
      <c r="B54" s="56" t="s">
        <v>334</v>
      </c>
      <c r="C54" s="56" t="str">
        <f t="shared" si="0"/>
        <v>A49 - A50</v>
      </c>
      <c r="D54" s="59">
        <v>9.6</v>
      </c>
      <c r="E54" s="1" t="s">
        <v>153</v>
      </c>
      <c r="G54" s="56" t="s">
        <v>335</v>
      </c>
      <c r="H54" s="56" t="str">
        <f t="shared" si="5"/>
        <v>C47-C48</v>
      </c>
      <c r="I54" s="59">
        <v>9.6</v>
      </c>
      <c r="K54" s="56" t="s">
        <v>336</v>
      </c>
      <c r="L54" s="56" t="str">
        <f t="shared" si="4"/>
        <v>G47-G48</v>
      </c>
      <c r="M54" s="59">
        <v>9.6</v>
      </c>
    </row>
    <row r="55" spans="2:13" ht="14.25" customHeight="1">
      <c r="B55" s="56" t="s">
        <v>337</v>
      </c>
      <c r="C55" s="56" t="str">
        <f t="shared" si="0"/>
        <v>A50 - A51</v>
      </c>
      <c r="D55" s="59">
        <v>9.6</v>
      </c>
      <c r="E55" s="1" t="s">
        <v>153</v>
      </c>
      <c r="G55" s="56" t="s">
        <v>338</v>
      </c>
      <c r="H55" s="56" t="str">
        <f t="shared" si="5"/>
        <v>C48-C49</v>
      </c>
      <c r="I55" s="59">
        <v>9.6</v>
      </c>
      <c r="K55" s="56" t="s">
        <v>339</v>
      </c>
      <c r="L55" s="56" t="str">
        <f t="shared" si="4"/>
        <v>G48-G49</v>
      </c>
      <c r="M55" s="59">
        <v>9.6</v>
      </c>
    </row>
    <row r="56" spans="2:13" ht="14.25" customHeight="1">
      <c r="B56" s="56" t="s">
        <v>340</v>
      </c>
      <c r="C56" s="56" t="str">
        <f t="shared" si="0"/>
        <v>A51 - A52</v>
      </c>
      <c r="D56" s="59">
        <v>9.6</v>
      </c>
      <c r="E56" s="1" t="s">
        <v>153</v>
      </c>
      <c r="G56" s="56" t="s">
        <v>341</v>
      </c>
      <c r="H56" s="56" t="str">
        <f t="shared" si="5"/>
        <v>C49-C50</v>
      </c>
      <c r="I56" s="59">
        <v>9.6</v>
      </c>
      <c r="K56" s="56" t="s">
        <v>342</v>
      </c>
      <c r="L56" s="56" t="str">
        <f t="shared" si="4"/>
        <v>G49-G50</v>
      </c>
      <c r="M56" s="59">
        <v>9.6</v>
      </c>
    </row>
    <row r="57" spans="2:13" ht="14.25" customHeight="1">
      <c r="B57" s="56" t="s">
        <v>343</v>
      </c>
      <c r="C57" s="56" t="str">
        <f t="shared" si="0"/>
        <v>A52 - A53</v>
      </c>
      <c r="D57" s="59">
        <v>9.6</v>
      </c>
      <c r="E57" s="1" t="s">
        <v>153</v>
      </c>
      <c r="G57" s="56" t="s">
        <v>344</v>
      </c>
      <c r="H57" s="56" t="str">
        <f t="shared" si="5"/>
        <v>C50-C51</v>
      </c>
      <c r="I57" s="59">
        <v>9.6</v>
      </c>
      <c r="K57" s="56" t="s">
        <v>345</v>
      </c>
      <c r="L57" s="56" t="str">
        <f t="shared" si="4"/>
        <v>G50-G51</v>
      </c>
      <c r="M57" s="59">
        <v>9.6</v>
      </c>
    </row>
    <row r="58" spans="2:13" ht="14.25" customHeight="1">
      <c r="B58" s="56" t="s">
        <v>346</v>
      </c>
      <c r="C58" s="56" t="str">
        <f t="shared" si="0"/>
        <v>A53 - A54</v>
      </c>
      <c r="D58" s="59">
        <v>9.6</v>
      </c>
      <c r="E58" s="1" t="s">
        <v>153</v>
      </c>
      <c r="G58" s="56" t="s">
        <v>347</v>
      </c>
      <c r="H58" s="56" t="str">
        <f t="shared" si="5"/>
        <v>C51-C52</v>
      </c>
      <c r="I58" s="59">
        <v>9.6</v>
      </c>
      <c r="K58" s="56" t="s">
        <v>348</v>
      </c>
      <c r="L58" s="56" t="str">
        <f t="shared" si="4"/>
        <v>G51-G52</v>
      </c>
      <c r="M58" s="59">
        <v>9.6</v>
      </c>
    </row>
    <row r="59" spans="2:13" ht="14.25" customHeight="1">
      <c r="B59" s="56" t="s">
        <v>349</v>
      </c>
      <c r="C59" s="56" t="str">
        <f t="shared" si="0"/>
        <v>A54 - A55</v>
      </c>
      <c r="D59" s="59">
        <v>9.6</v>
      </c>
      <c r="E59" s="1" t="s">
        <v>153</v>
      </c>
      <c r="G59" s="56" t="s">
        <v>350</v>
      </c>
      <c r="H59" s="56" t="str">
        <f t="shared" si="5"/>
        <v>C52-C53</v>
      </c>
      <c r="I59" s="59">
        <v>9.6</v>
      </c>
      <c r="K59" s="56" t="s">
        <v>351</v>
      </c>
      <c r="L59" s="56" t="str">
        <f t="shared" si="4"/>
        <v>G52-G53</v>
      </c>
      <c r="M59" s="59">
        <v>9.6</v>
      </c>
    </row>
    <row r="60" spans="2:13" ht="14.25" customHeight="1">
      <c r="B60" s="56" t="s">
        <v>352</v>
      </c>
      <c r="C60" s="56" t="str">
        <f t="shared" si="0"/>
        <v>A55 - A56</v>
      </c>
      <c r="D60" s="59">
        <v>9.6</v>
      </c>
      <c r="E60" s="1" t="s">
        <v>153</v>
      </c>
      <c r="G60" s="56" t="s">
        <v>353</v>
      </c>
      <c r="H60" s="56" t="str">
        <f t="shared" si="5"/>
        <v>C53-C54</v>
      </c>
      <c r="I60" s="59">
        <v>2.2999999999999998</v>
      </c>
      <c r="K60" s="56" t="s">
        <v>354</v>
      </c>
      <c r="L60" s="56" t="str">
        <f t="shared" si="4"/>
        <v>G53-G54</v>
      </c>
      <c r="M60" s="59">
        <v>9.6</v>
      </c>
    </row>
    <row r="61" spans="2:13" ht="14.25" customHeight="1">
      <c r="B61" s="56" t="s">
        <v>355</v>
      </c>
      <c r="C61" s="56" t="str">
        <f t="shared" si="0"/>
        <v>A56 - A57</v>
      </c>
      <c r="D61" s="59">
        <v>9.6</v>
      </c>
      <c r="E61" s="1" t="s">
        <v>153</v>
      </c>
      <c r="G61" s="56" t="s">
        <v>356</v>
      </c>
      <c r="H61" s="56" t="str">
        <f t="shared" si="5"/>
        <v>C54-C55</v>
      </c>
      <c r="I61" s="59">
        <v>4.3</v>
      </c>
      <c r="K61" s="56" t="s">
        <v>357</v>
      </c>
      <c r="L61" s="56" t="str">
        <f t="shared" si="4"/>
        <v>G54-G55</v>
      </c>
      <c r="M61" s="59">
        <v>9.6</v>
      </c>
    </row>
    <row r="62" spans="2:13" ht="14.25" customHeight="1">
      <c r="B62" s="56" t="s">
        <v>358</v>
      </c>
      <c r="C62" s="56" t="str">
        <f t="shared" si="0"/>
        <v>A57 - A58</v>
      </c>
      <c r="D62" s="59">
        <v>9.6</v>
      </c>
      <c r="E62" s="1" t="s">
        <v>153</v>
      </c>
      <c r="G62" s="56" t="s">
        <v>359</v>
      </c>
      <c r="H62" s="56" t="str">
        <f t="shared" si="5"/>
        <v>C55-C56</v>
      </c>
      <c r="I62" s="59">
        <v>9.6</v>
      </c>
      <c r="K62" s="56" t="s">
        <v>360</v>
      </c>
      <c r="L62" s="56" t="str">
        <f t="shared" si="4"/>
        <v>G55-G56</v>
      </c>
      <c r="M62" s="59">
        <v>9.6</v>
      </c>
    </row>
    <row r="63" spans="2:13" ht="14.25" customHeight="1">
      <c r="B63" s="56" t="s">
        <v>361</v>
      </c>
      <c r="C63" s="56" t="str">
        <f t="shared" si="0"/>
        <v>A58 - A59</v>
      </c>
      <c r="D63" s="59">
        <v>9.6</v>
      </c>
      <c r="E63" s="1" t="s">
        <v>153</v>
      </c>
      <c r="G63" s="56" t="s">
        <v>362</v>
      </c>
      <c r="H63" s="56" t="str">
        <f t="shared" si="5"/>
        <v>C56-C57</v>
      </c>
      <c r="I63" s="59">
        <v>9.6</v>
      </c>
      <c r="K63" s="56" t="s">
        <v>363</v>
      </c>
      <c r="L63" s="56" t="str">
        <f t="shared" si="4"/>
        <v>G56-G57</v>
      </c>
      <c r="M63" s="59">
        <v>9.6</v>
      </c>
    </row>
    <row r="64" spans="2:13" ht="14.25" customHeight="1">
      <c r="B64" s="56" t="s">
        <v>364</v>
      </c>
      <c r="C64" s="56" t="str">
        <f t="shared" si="0"/>
        <v>A59 - A60</v>
      </c>
      <c r="D64" s="59">
        <v>9.6</v>
      </c>
      <c r="E64" s="1" t="s">
        <v>153</v>
      </c>
      <c r="G64" s="56" t="s">
        <v>365</v>
      </c>
      <c r="H64" s="56" t="str">
        <f t="shared" si="5"/>
        <v>C57-C58</v>
      </c>
      <c r="I64" s="59">
        <v>9.6</v>
      </c>
      <c r="K64" s="56" t="s">
        <v>366</v>
      </c>
      <c r="L64" s="56" t="str">
        <f t="shared" si="4"/>
        <v>G57-G58</v>
      </c>
      <c r="M64" s="59">
        <v>9.6</v>
      </c>
    </row>
    <row r="65" spans="2:13" ht="14.25" customHeight="1">
      <c r="B65" s="56" t="s">
        <v>367</v>
      </c>
      <c r="C65" s="56" t="str">
        <f t="shared" si="0"/>
        <v>A60 - A61</v>
      </c>
      <c r="D65" s="59">
        <v>9.6</v>
      </c>
      <c r="E65" s="1" t="s">
        <v>153</v>
      </c>
      <c r="G65" s="56" t="s">
        <v>368</v>
      </c>
      <c r="H65" s="56" t="str">
        <f t="shared" si="5"/>
        <v>C58-C59</v>
      </c>
      <c r="I65" s="59">
        <v>9.6</v>
      </c>
      <c r="K65" s="56" t="s">
        <v>369</v>
      </c>
      <c r="L65" s="56" t="str">
        <f t="shared" si="4"/>
        <v>G58-G59</v>
      </c>
      <c r="M65" s="59">
        <v>9.6</v>
      </c>
    </row>
    <row r="66" spans="2:13" ht="14.25" customHeight="1">
      <c r="B66" s="56" t="s">
        <v>370</v>
      </c>
      <c r="C66" s="56" t="str">
        <f t="shared" si="0"/>
        <v>A61 - A62</v>
      </c>
      <c r="D66" s="59">
        <v>9.6</v>
      </c>
      <c r="E66" s="1" t="s">
        <v>153</v>
      </c>
      <c r="G66" s="56" t="s">
        <v>371</v>
      </c>
      <c r="H66" s="56" t="str">
        <f t="shared" si="5"/>
        <v>C59-C60</v>
      </c>
      <c r="I66" s="59">
        <v>9.6</v>
      </c>
      <c r="K66" s="56" t="s">
        <v>372</v>
      </c>
      <c r="L66" s="56" t="str">
        <f t="shared" si="4"/>
        <v>G59-G60</v>
      </c>
      <c r="M66" s="59">
        <v>9.6</v>
      </c>
    </row>
    <row r="67" spans="2:13" ht="14.25" customHeight="1">
      <c r="B67" s="56" t="s">
        <v>373</v>
      </c>
      <c r="C67" s="56" t="str">
        <f t="shared" si="0"/>
        <v>A62 - A63</v>
      </c>
      <c r="D67" s="59">
        <v>9.6</v>
      </c>
      <c r="E67" s="1" t="s">
        <v>153</v>
      </c>
      <c r="G67" s="56" t="s">
        <v>374</v>
      </c>
      <c r="H67" s="56" t="str">
        <f t="shared" si="5"/>
        <v>C60-C61</v>
      </c>
      <c r="I67" s="59">
        <v>9.6</v>
      </c>
      <c r="K67" s="56" t="s">
        <v>375</v>
      </c>
      <c r="L67" s="56" t="str">
        <f t="shared" si="4"/>
        <v>G60-G61</v>
      </c>
      <c r="M67" s="59">
        <v>9.6</v>
      </c>
    </row>
    <row r="68" spans="2:13" ht="14.25" customHeight="1">
      <c r="B68" s="56" t="s">
        <v>376</v>
      </c>
      <c r="C68" s="56" t="str">
        <f t="shared" si="0"/>
        <v>A63 - A64</v>
      </c>
      <c r="D68" s="59">
        <v>9.6</v>
      </c>
      <c r="E68" s="1" t="s">
        <v>153</v>
      </c>
      <c r="G68" s="56" t="s">
        <v>377</v>
      </c>
      <c r="H68" s="56" t="str">
        <f t="shared" si="5"/>
        <v>C61-C62</v>
      </c>
      <c r="I68" s="59">
        <v>9.6</v>
      </c>
      <c r="K68" s="56" t="s">
        <v>378</v>
      </c>
      <c r="L68" s="56" t="str">
        <f t="shared" si="4"/>
        <v>G61-G62</v>
      </c>
      <c r="M68" s="59">
        <v>9.6</v>
      </c>
    </row>
    <row r="69" spans="2:13" ht="14.25" customHeight="1">
      <c r="B69" s="56" t="s">
        <v>379</v>
      </c>
      <c r="C69" s="56" t="str">
        <f t="shared" si="0"/>
        <v>A64 - A65</v>
      </c>
      <c r="D69" s="59">
        <v>9.6</v>
      </c>
      <c r="E69" s="1" t="s">
        <v>153</v>
      </c>
      <c r="G69" s="56" t="s">
        <v>380</v>
      </c>
      <c r="H69" s="56" t="str">
        <f t="shared" si="5"/>
        <v>C62-C63</v>
      </c>
      <c r="I69" s="59">
        <v>9.6</v>
      </c>
      <c r="K69" s="56" t="s">
        <v>381</v>
      </c>
      <c r="L69" s="56" t="str">
        <f t="shared" si="4"/>
        <v>G62-G63</v>
      </c>
      <c r="M69" s="59">
        <v>9.6</v>
      </c>
    </row>
    <row r="70" spans="2:13" ht="14.25" customHeight="1">
      <c r="B70" s="56" t="s">
        <v>382</v>
      </c>
      <c r="C70" s="56" t="str">
        <f t="shared" si="0"/>
        <v>A65 - A66</v>
      </c>
      <c r="D70" s="59">
        <v>9.6</v>
      </c>
      <c r="E70" s="1" t="s">
        <v>153</v>
      </c>
      <c r="G70" s="56" t="s">
        <v>383</v>
      </c>
      <c r="H70" s="56" t="str">
        <f t="shared" si="5"/>
        <v>C63-C64</v>
      </c>
      <c r="I70" s="59">
        <v>9.6</v>
      </c>
      <c r="K70" s="56" t="s">
        <v>384</v>
      </c>
      <c r="L70" s="56" t="str">
        <f t="shared" si="4"/>
        <v>G63-G64</v>
      </c>
      <c r="M70" s="59">
        <v>9.6</v>
      </c>
    </row>
    <row r="71" spans="2:13" ht="14.25" customHeight="1">
      <c r="B71" s="56" t="s">
        <v>385</v>
      </c>
      <c r="C71" s="56" t="str">
        <f t="shared" si="0"/>
        <v>A66 - A67</v>
      </c>
      <c r="D71" s="59">
        <v>9.6</v>
      </c>
      <c r="E71" s="1" t="s">
        <v>153</v>
      </c>
      <c r="G71" s="56" t="s">
        <v>386</v>
      </c>
      <c r="H71" s="56" t="str">
        <f t="shared" si="5"/>
        <v>C64-C65</v>
      </c>
      <c r="I71" s="59">
        <v>9.6</v>
      </c>
      <c r="K71" s="56" t="s">
        <v>387</v>
      </c>
      <c r="L71" s="56" t="str">
        <f t="shared" si="4"/>
        <v>G64-G65</v>
      </c>
      <c r="M71" s="59">
        <v>9.6</v>
      </c>
    </row>
    <row r="72" spans="2:13" ht="14.25" customHeight="1">
      <c r="B72" s="56" t="s">
        <v>388</v>
      </c>
      <c r="C72" s="56" t="str">
        <f t="shared" si="0"/>
        <v>A67 - A68</v>
      </c>
      <c r="D72" s="59">
        <v>9.6</v>
      </c>
      <c r="E72" s="1" t="s">
        <v>153</v>
      </c>
      <c r="G72" s="56" t="s">
        <v>389</v>
      </c>
      <c r="H72" s="56" t="str">
        <f t="shared" si="5"/>
        <v>C65-C66</v>
      </c>
      <c r="I72" s="59">
        <v>9.6</v>
      </c>
      <c r="K72" s="56" t="s">
        <v>390</v>
      </c>
      <c r="L72" s="56" t="str">
        <f t="shared" si="4"/>
        <v>G65-G66</v>
      </c>
      <c r="M72" s="59">
        <v>9.6</v>
      </c>
    </row>
    <row r="73" spans="2:13" ht="14.25" customHeight="1">
      <c r="B73" s="56" t="s">
        <v>391</v>
      </c>
      <c r="C73" s="56" t="str">
        <f t="shared" si="0"/>
        <v>A68 - A69</v>
      </c>
      <c r="D73" s="59">
        <v>9.6</v>
      </c>
      <c r="E73" s="1" t="s">
        <v>153</v>
      </c>
      <c r="G73" s="56" t="s">
        <v>392</v>
      </c>
      <c r="H73" s="56" t="str">
        <f t="shared" si="5"/>
        <v>C66-C67</v>
      </c>
      <c r="I73" s="59">
        <v>9.6</v>
      </c>
      <c r="K73" s="56" t="s">
        <v>393</v>
      </c>
      <c r="L73" s="56" t="str">
        <f t="shared" si="4"/>
        <v>G66-G67</v>
      </c>
      <c r="M73" s="59">
        <v>9.6</v>
      </c>
    </row>
    <row r="74" spans="2:13" ht="14.25" customHeight="1">
      <c r="B74" s="56" t="s">
        <v>394</v>
      </c>
      <c r="C74" s="56" t="str">
        <f t="shared" si="0"/>
        <v>A69 - A70</v>
      </c>
      <c r="D74" s="59">
        <v>9.6</v>
      </c>
      <c r="E74" s="1" t="s">
        <v>153</v>
      </c>
      <c r="G74" s="56" t="s">
        <v>395</v>
      </c>
      <c r="H74" s="56" t="str">
        <f t="shared" si="5"/>
        <v>C67-C68</v>
      </c>
      <c r="I74" s="59">
        <v>9.6</v>
      </c>
      <c r="K74" s="56" t="s">
        <v>396</v>
      </c>
      <c r="L74" s="56" t="str">
        <f t="shared" si="4"/>
        <v>G67-G68</v>
      </c>
      <c r="M74" s="59">
        <v>9.6</v>
      </c>
    </row>
    <row r="75" spans="2:13" ht="14.25" customHeight="1">
      <c r="B75" s="56" t="s">
        <v>397</v>
      </c>
      <c r="C75" s="56" t="str">
        <f t="shared" si="0"/>
        <v>A70 - A71</v>
      </c>
      <c r="D75" s="59">
        <v>9.6</v>
      </c>
      <c r="E75" s="1" t="s">
        <v>153</v>
      </c>
      <c r="G75" s="56" t="s">
        <v>398</v>
      </c>
      <c r="H75" s="56" t="str">
        <f t="shared" si="5"/>
        <v>C68-C69</v>
      </c>
      <c r="I75" s="59"/>
      <c r="K75" s="56" t="s">
        <v>399</v>
      </c>
      <c r="L75" s="56" t="str">
        <f t="shared" si="4"/>
        <v>G68-G69</v>
      </c>
      <c r="M75" s="59">
        <v>2.4</v>
      </c>
    </row>
    <row r="76" spans="2:13" ht="14.25" customHeight="1">
      <c r="B76" s="56" t="s">
        <v>400</v>
      </c>
      <c r="C76" s="56" t="str">
        <f t="shared" si="0"/>
        <v>A71 - A72</v>
      </c>
      <c r="D76" s="59">
        <v>9.6</v>
      </c>
      <c r="E76" s="1" t="s">
        <v>153</v>
      </c>
      <c r="G76" s="56" t="s">
        <v>401</v>
      </c>
      <c r="H76" s="56" t="str">
        <f t="shared" si="5"/>
        <v>C69-C70</v>
      </c>
      <c r="I76" s="59"/>
      <c r="K76" s="56" t="s">
        <v>402</v>
      </c>
      <c r="L76" s="56" t="str">
        <f t="shared" si="4"/>
        <v>G69-G70</v>
      </c>
      <c r="M76" s="59">
        <v>9.6</v>
      </c>
    </row>
    <row r="77" spans="2:13" ht="14.25" customHeight="1">
      <c r="B77" s="56" t="s">
        <v>403</v>
      </c>
      <c r="C77" s="56" t="str">
        <f t="shared" si="0"/>
        <v>A72 - A73</v>
      </c>
      <c r="D77" s="59">
        <v>9.6</v>
      </c>
      <c r="E77" s="1" t="s">
        <v>153</v>
      </c>
      <c r="G77" s="56" t="s">
        <v>404</v>
      </c>
      <c r="H77" s="56" t="str">
        <f t="shared" si="5"/>
        <v>C70-C71</v>
      </c>
      <c r="I77" s="59"/>
      <c r="K77" s="56" t="s">
        <v>405</v>
      </c>
      <c r="L77" s="56" t="str">
        <f t="shared" si="4"/>
        <v>G70-G71</v>
      </c>
      <c r="M77" s="59">
        <v>2.06</v>
      </c>
    </row>
    <row r="78" spans="2:13" ht="14.25" customHeight="1">
      <c r="B78" s="56" t="s">
        <v>406</v>
      </c>
      <c r="C78" s="56" t="str">
        <f t="shared" si="0"/>
        <v>A73 - A74</v>
      </c>
      <c r="D78" s="59">
        <v>9.6</v>
      </c>
      <c r="E78" s="1" t="s">
        <v>153</v>
      </c>
      <c r="G78" s="56" t="s">
        <v>407</v>
      </c>
      <c r="H78" s="56" t="str">
        <f t="shared" si="5"/>
        <v>C71-C72</v>
      </c>
      <c r="I78" s="59"/>
      <c r="K78" s="56" t="s">
        <v>408</v>
      </c>
      <c r="L78" s="56" t="str">
        <f t="shared" si="4"/>
        <v>G71-G72</v>
      </c>
      <c r="M78" s="59">
        <v>8.6999999999999993</v>
      </c>
    </row>
    <row r="79" spans="2:13" ht="14.25" customHeight="1">
      <c r="B79" s="56" t="s">
        <v>409</v>
      </c>
      <c r="C79" s="56" t="str">
        <f t="shared" si="0"/>
        <v>A74 - A75</v>
      </c>
      <c r="D79" s="59">
        <v>9.6</v>
      </c>
      <c r="E79" s="1" t="s">
        <v>153</v>
      </c>
      <c r="G79" s="56" t="s">
        <v>410</v>
      </c>
      <c r="H79" s="56" t="str">
        <f t="shared" si="5"/>
        <v>C72-C73</v>
      </c>
      <c r="I79" s="59">
        <v>4.88</v>
      </c>
      <c r="K79" s="56" t="s">
        <v>411</v>
      </c>
      <c r="L79" s="56" t="str">
        <f t="shared" si="4"/>
        <v>G72-G73</v>
      </c>
      <c r="M79" s="59">
        <v>9.6</v>
      </c>
    </row>
    <row r="80" spans="2:13" ht="14.25" customHeight="1">
      <c r="B80" s="56" t="s">
        <v>412</v>
      </c>
      <c r="C80" s="56" t="str">
        <f t="shared" si="0"/>
        <v>A75 - A76</v>
      </c>
      <c r="D80" s="59">
        <v>9.6</v>
      </c>
      <c r="E80" s="1" t="s">
        <v>153</v>
      </c>
      <c r="G80" s="56" t="s">
        <v>413</v>
      </c>
      <c r="H80" s="56" t="str">
        <f t="shared" si="5"/>
        <v>C73-C74</v>
      </c>
      <c r="I80" s="59">
        <v>9.6</v>
      </c>
      <c r="K80" s="56" t="s">
        <v>414</v>
      </c>
      <c r="L80" s="56" t="str">
        <f t="shared" si="4"/>
        <v>G73-G74</v>
      </c>
      <c r="M80" s="59">
        <v>9.6</v>
      </c>
    </row>
    <row r="81" spans="2:13" ht="14.25" customHeight="1">
      <c r="B81" s="56" t="s">
        <v>415</v>
      </c>
      <c r="C81" s="56" t="str">
        <f t="shared" si="0"/>
        <v>A76 - A77</v>
      </c>
      <c r="D81" s="59">
        <v>9.6</v>
      </c>
      <c r="E81" s="1" t="s">
        <v>153</v>
      </c>
      <c r="G81" s="56" t="s">
        <v>416</v>
      </c>
      <c r="H81" s="56" t="str">
        <f t="shared" si="5"/>
        <v>C74-C75</v>
      </c>
      <c r="I81" s="59">
        <v>9.6</v>
      </c>
      <c r="K81" s="56" t="s">
        <v>417</v>
      </c>
      <c r="L81" s="56" t="str">
        <f t="shared" si="4"/>
        <v>G74-G75</v>
      </c>
      <c r="M81" s="59">
        <v>9.6</v>
      </c>
    </row>
    <row r="82" spans="2:13" ht="14.25" customHeight="1">
      <c r="B82" s="56"/>
      <c r="C82" s="56"/>
      <c r="D82" s="59"/>
      <c r="G82" s="56" t="s">
        <v>418</v>
      </c>
      <c r="H82" s="56" t="str">
        <f t="shared" si="5"/>
        <v>C75-C76</v>
      </c>
      <c r="I82" s="59">
        <v>9.6</v>
      </c>
      <c r="K82" s="56" t="s">
        <v>419</v>
      </c>
      <c r="L82" s="56" t="str">
        <f t="shared" si="4"/>
        <v>G75-G76</v>
      </c>
      <c r="M82" s="59">
        <v>9.6</v>
      </c>
    </row>
    <row r="83" spans="2:13" ht="14.25" customHeight="1">
      <c r="B83" s="56" t="s">
        <v>420</v>
      </c>
      <c r="C83" s="56"/>
      <c r="D83" s="59"/>
      <c r="G83" s="56" t="s">
        <v>421</v>
      </c>
      <c r="H83" s="56" t="str">
        <f t="shared" si="5"/>
        <v>C76-C77</v>
      </c>
      <c r="I83" s="59">
        <v>9.6</v>
      </c>
      <c r="K83" s="56" t="s">
        <v>422</v>
      </c>
      <c r="L83" s="56" t="str">
        <f t="shared" si="4"/>
        <v>G76-G77</v>
      </c>
      <c r="M83" s="59">
        <v>9.6</v>
      </c>
    </row>
    <row r="84" spans="2:13" ht="14.25" customHeight="1">
      <c r="B84" s="56" t="s">
        <v>423</v>
      </c>
      <c r="C84" s="56" t="str">
        <f t="shared" ref="C84:C158" si="6">CONCATENATE(B83," - ",B84)</f>
        <v>A78 - A79</v>
      </c>
      <c r="D84" s="59">
        <v>9.6</v>
      </c>
      <c r="G84" s="56" t="s">
        <v>424</v>
      </c>
      <c r="H84" s="56" t="str">
        <f t="shared" si="5"/>
        <v>C77-C78</v>
      </c>
      <c r="I84" s="59">
        <v>9.6</v>
      </c>
      <c r="K84" s="56" t="s">
        <v>425</v>
      </c>
      <c r="L84" s="56" t="str">
        <f t="shared" si="4"/>
        <v>G77-G78</v>
      </c>
      <c r="M84" s="59">
        <v>9.6</v>
      </c>
    </row>
    <row r="85" spans="2:13" ht="14.25" customHeight="1">
      <c r="B85" s="56" t="s">
        <v>426</v>
      </c>
      <c r="C85" s="56" t="str">
        <f t="shared" si="6"/>
        <v>A79 - A80</v>
      </c>
      <c r="D85" s="59">
        <v>9.6</v>
      </c>
      <c r="G85" s="56" t="s">
        <v>427</v>
      </c>
      <c r="H85" s="56" t="str">
        <f t="shared" si="5"/>
        <v>C78-C79</v>
      </c>
      <c r="I85" s="59">
        <v>9.6</v>
      </c>
      <c r="K85" s="56" t="s">
        <v>428</v>
      </c>
      <c r="L85" s="56" t="str">
        <f t="shared" si="4"/>
        <v>G78-G79</v>
      </c>
      <c r="M85" s="59">
        <v>9.6</v>
      </c>
    </row>
    <row r="86" spans="2:13" ht="14.25" customHeight="1">
      <c r="B86" s="56" t="s">
        <v>429</v>
      </c>
      <c r="C86" s="56" t="str">
        <f t="shared" si="6"/>
        <v>A80 - A81</v>
      </c>
      <c r="D86" s="59">
        <v>9.6</v>
      </c>
      <c r="G86" s="56" t="s">
        <v>430</v>
      </c>
      <c r="H86" s="56" t="str">
        <f t="shared" si="5"/>
        <v>C79-C80</v>
      </c>
      <c r="I86" s="59">
        <v>9.6</v>
      </c>
      <c r="K86" s="56" t="s">
        <v>431</v>
      </c>
      <c r="L86" s="56" t="str">
        <f t="shared" si="4"/>
        <v>G79-G80</v>
      </c>
      <c r="M86" s="59">
        <v>9.6</v>
      </c>
    </row>
    <row r="87" spans="2:13" ht="14.25" customHeight="1">
      <c r="B87" s="56" t="s">
        <v>432</v>
      </c>
      <c r="C87" s="56" t="str">
        <f t="shared" si="6"/>
        <v>A81 - A82</v>
      </c>
      <c r="D87" s="59">
        <v>9.6</v>
      </c>
      <c r="G87" s="56" t="s">
        <v>433</v>
      </c>
      <c r="H87" s="56" t="str">
        <f t="shared" si="5"/>
        <v>C80-C81</v>
      </c>
      <c r="I87" s="59">
        <v>9.6</v>
      </c>
      <c r="K87" s="56" t="s">
        <v>434</v>
      </c>
      <c r="L87" s="56" t="str">
        <f t="shared" si="4"/>
        <v>G80-G81</v>
      </c>
      <c r="M87" s="59">
        <v>9.6</v>
      </c>
    </row>
    <row r="88" spans="2:13" ht="14.25" customHeight="1">
      <c r="B88" s="56" t="s">
        <v>435</v>
      </c>
      <c r="C88" s="56" t="str">
        <f t="shared" si="6"/>
        <v>A82 - A83</v>
      </c>
      <c r="D88" s="59">
        <v>9.6</v>
      </c>
      <c r="G88" s="56" t="s">
        <v>436</v>
      </c>
      <c r="H88" s="56" t="str">
        <f t="shared" si="5"/>
        <v>C81-C82</v>
      </c>
      <c r="I88" s="59">
        <v>9.6</v>
      </c>
      <c r="K88" s="56" t="s">
        <v>437</v>
      </c>
      <c r="L88" s="56" t="str">
        <f t="shared" si="4"/>
        <v>G81-G82</v>
      </c>
      <c r="M88" s="59">
        <v>9.6</v>
      </c>
    </row>
    <row r="89" spans="2:13" ht="14.25" customHeight="1">
      <c r="B89" s="56" t="s">
        <v>438</v>
      </c>
      <c r="C89" s="56" t="str">
        <f t="shared" si="6"/>
        <v>A83 - A84</v>
      </c>
      <c r="D89" s="59">
        <v>9.6</v>
      </c>
      <c r="G89" s="56" t="s">
        <v>439</v>
      </c>
      <c r="H89" s="56" t="str">
        <f t="shared" si="5"/>
        <v>C82-C83</v>
      </c>
      <c r="I89" s="59">
        <v>9.6</v>
      </c>
      <c r="K89" s="56" t="s">
        <v>440</v>
      </c>
      <c r="L89" s="56" t="str">
        <f t="shared" si="4"/>
        <v>G82-G83</v>
      </c>
      <c r="M89" s="59">
        <v>9.6</v>
      </c>
    </row>
    <row r="90" spans="2:13" ht="14.25" customHeight="1">
      <c r="B90" s="56" t="s">
        <v>441</v>
      </c>
      <c r="C90" s="56" t="str">
        <f t="shared" si="6"/>
        <v>A84 - A85</v>
      </c>
      <c r="D90" s="59">
        <v>9.6</v>
      </c>
      <c r="G90" s="56" t="s">
        <v>442</v>
      </c>
      <c r="H90" s="56" t="str">
        <f t="shared" si="5"/>
        <v>C83-C84</v>
      </c>
      <c r="I90" s="59">
        <v>9.6</v>
      </c>
      <c r="K90" s="56" t="s">
        <v>443</v>
      </c>
      <c r="L90" s="56" t="str">
        <f t="shared" si="4"/>
        <v>G83-G84</v>
      </c>
      <c r="M90" s="59">
        <v>9.6</v>
      </c>
    </row>
    <row r="91" spans="2:13" ht="14.25" customHeight="1">
      <c r="B91" s="56" t="s">
        <v>444</v>
      </c>
      <c r="C91" s="56" t="str">
        <f t="shared" si="6"/>
        <v>A85 - A86</v>
      </c>
      <c r="D91" s="59">
        <v>9.6</v>
      </c>
      <c r="G91" s="56" t="s">
        <v>445</v>
      </c>
      <c r="H91" s="56" t="str">
        <f t="shared" si="5"/>
        <v>C84-C85</v>
      </c>
      <c r="I91" s="59">
        <v>6.82</v>
      </c>
      <c r="K91" s="56" t="s">
        <v>446</v>
      </c>
      <c r="L91" s="56" t="str">
        <f t="shared" si="4"/>
        <v>G84-G85</v>
      </c>
      <c r="M91" s="59">
        <v>9.6</v>
      </c>
    </row>
    <row r="92" spans="2:13" ht="14.25" customHeight="1">
      <c r="B92" s="56" t="s">
        <v>447</v>
      </c>
      <c r="C92" s="56" t="str">
        <f t="shared" si="6"/>
        <v>A86 - A87</v>
      </c>
      <c r="D92" s="59">
        <v>9.6</v>
      </c>
      <c r="G92" s="56" t="s">
        <v>448</v>
      </c>
      <c r="H92" s="56" t="str">
        <f t="shared" si="5"/>
        <v>C85-C86</v>
      </c>
      <c r="I92" s="59"/>
      <c r="K92" s="56" t="s">
        <v>449</v>
      </c>
      <c r="L92" s="56" t="str">
        <f t="shared" si="4"/>
        <v>G85-G86</v>
      </c>
      <c r="M92" s="59">
        <v>9.6</v>
      </c>
    </row>
    <row r="93" spans="2:13" ht="14.25" customHeight="1">
      <c r="B93" s="56" t="s">
        <v>450</v>
      </c>
      <c r="C93" s="56" t="str">
        <f t="shared" si="6"/>
        <v>A87 - A88</v>
      </c>
      <c r="D93" s="59">
        <v>9.6</v>
      </c>
      <c r="G93" s="56" t="s">
        <v>451</v>
      </c>
      <c r="H93" s="56" t="str">
        <f t="shared" si="5"/>
        <v>C86-C87</v>
      </c>
      <c r="I93" s="59"/>
      <c r="K93" s="56" t="s">
        <v>452</v>
      </c>
      <c r="L93" s="56" t="str">
        <f t="shared" si="4"/>
        <v>G86-G87</v>
      </c>
      <c r="M93" s="59">
        <v>9.6</v>
      </c>
    </row>
    <row r="94" spans="2:13" ht="14.25" customHeight="1">
      <c r="B94" s="56" t="s">
        <v>453</v>
      </c>
      <c r="C94" s="56" t="str">
        <f t="shared" si="6"/>
        <v>A88 - A89</v>
      </c>
      <c r="D94" s="59">
        <v>9.6</v>
      </c>
      <c r="G94" s="56" t="s">
        <v>454</v>
      </c>
      <c r="H94" s="56" t="str">
        <f t="shared" si="5"/>
        <v>C87-C88</v>
      </c>
      <c r="I94" s="59"/>
      <c r="K94" s="56" t="s">
        <v>455</v>
      </c>
      <c r="L94" s="56" t="str">
        <f t="shared" si="4"/>
        <v>G87-G88</v>
      </c>
      <c r="M94" s="59">
        <v>9.6</v>
      </c>
    </row>
    <row r="95" spans="2:13" ht="14.25" customHeight="1">
      <c r="B95" s="56" t="s">
        <v>456</v>
      </c>
      <c r="C95" s="56" t="str">
        <f t="shared" si="6"/>
        <v>A89 - A90</v>
      </c>
      <c r="D95" s="59">
        <v>9.6</v>
      </c>
      <c r="G95" s="56" t="s">
        <v>457</v>
      </c>
      <c r="H95" s="56" t="str">
        <f t="shared" si="5"/>
        <v>C88-C89</v>
      </c>
      <c r="I95" s="59"/>
      <c r="K95" s="56" t="s">
        <v>458</v>
      </c>
      <c r="L95" s="56" t="str">
        <f t="shared" si="4"/>
        <v>G88-G89</v>
      </c>
      <c r="M95" s="59">
        <v>9.6</v>
      </c>
    </row>
    <row r="96" spans="2:13" ht="14.25" customHeight="1">
      <c r="B96" s="56" t="s">
        <v>459</v>
      </c>
      <c r="C96" s="56" t="str">
        <f t="shared" si="6"/>
        <v>A90 - A91</v>
      </c>
      <c r="D96" s="59">
        <v>9.6</v>
      </c>
      <c r="G96" s="56" t="s">
        <v>460</v>
      </c>
      <c r="H96" s="56" t="str">
        <f t="shared" si="5"/>
        <v>C89-C90</v>
      </c>
      <c r="I96" s="59"/>
      <c r="K96" s="56" t="s">
        <v>461</v>
      </c>
      <c r="L96" s="56" t="str">
        <f t="shared" si="4"/>
        <v>G89-G90</v>
      </c>
      <c r="M96" s="59">
        <v>9.6</v>
      </c>
    </row>
    <row r="97" spans="2:13" ht="14.25" customHeight="1">
      <c r="B97" s="56" t="s">
        <v>462</v>
      </c>
      <c r="C97" s="56" t="str">
        <f t="shared" si="6"/>
        <v>A91 - A92</v>
      </c>
      <c r="D97" s="59">
        <v>9.6</v>
      </c>
      <c r="G97" s="56" t="s">
        <v>463</v>
      </c>
      <c r="H97" s="56" t="str">
        <f t="shared" si="5"/>
        <v>C90-C91</v>
      </c>
      <c r="I97" s="59">
        <v>9.6</v>
      </c>
      <c r="K97" s="56" t="s">
        <v>464</v>
      </c>
      <c r="L97" s="56" t="str">
        <f t="shared" si="4"/>
        <v>G90-G91</v>
      </c>
      <c r="M97" s="59">
        <v>9.6</v>
      </c>
    </row>
    <row r="98" spans="2:13" ht="14.25" customHeight="1">
      <c r="B98" s="56" t="s">
        <v>465</v>
      </c>
      <c r="C98" s="56" t="str">
        <f t="shared" si="6"/>
        <v>A92 - A93</v>
      </c>
      <c r="D98" s="59">
        <v>9.6</v>
      </c>
      <c r="G98" s="56" t="s">
        <v>466</v>
      </c>
      <c r="H98" s="56" t="str">
        <f t="shared" si="5"/>
        <v>C91-C92</v>
      </c>
      <c r="I98" s="59">
        <v>9.6</v>
      </c>
      <c r="K98" s="56" t="s">
        <v>467</v>
      </c>
      <c r="L98" s="56" t="str">
        <f t="shared" si="4"/>
        <v>G91-G92</v>
      </c>
      <c r="M98" s="59">
        <v>9.6</v>
      </c>
    </row>
    <row r="99" spans="2:13" ht="14.25" customHeight="1">
      <c r="B99" s="56" t="s">
        <v>468</v>
      </c>
      <c r="C99" s="56" t="str">
        <f t="shared" si="6"/>
        <v>A93 - A94</v>
      </c>
      <c r="D99" s="59">
        <v>9.6</v>
      </c>
      <c r="G99" s="56" t="s">
        <v>469</v>
      </c>
      <c r="H99" s="56" t="str">
        <f t="shared" si="5"/>
        <v>C92-C93</v>
      </c>
      <c r="I99" s="59">
        <v>9.6</v>
      </c>
      <c r="K99" s="56" t="s">
        <v>470</v>
      </c>
      <c r="L99" s="56" t="str">
        <f t="shared" si="4"/>
        <v>G92-G93</v>
      </c>
      <c r="M99" s="59">
        <v>9.6</v>
      </c>
    </row>
    <row r="100" spans="2:13" ht="14.25" customHeight="1">
      <c r="B100" s="56" t="s">
        <v>471</v>
      </c>
      <c r="C100" s="56" t="str">
        <f t="shared" si="6"/>
        <v>A94 - A95</v>
      </c>
      <c r="D100" s="59">
        <v>9.6</v>
      </c>
      <c r="G100" s="56" t="s">
        <v>472</v>
      </c>
      <c r="H100" s="56" t="str">
        <f t="shared" si="5"/>
        <v>C93-C94</v>
      </c>
      <c r="I100" s="59">
        <v>9.6</v>
      </c>
      <c r="K100" s="56" t="s">
        <v>473</v>
      </c>
      <c r="L100" s="56" t="str">
        <f t="shared" si="4"/>
        <v>G93-G94</v>
      </c>
      <c r="M100" s="59">
        <v>9.6</v>
      </c>
    </row>
    <row r="101" spans="2:13" ht="14.25" customHeight="1">
      <c r="B101" s="56" t="s">
        <v>474</v>
      </c>
      <c r="C101" s="56" t="str">
        <f t="shared" si="6"/>
        <v>A95 - A96</v>
      </c>
      <c r="D101" s="59">
        <v>9.6</v>
      </c>
      <c r="G101" s="56" t="s">
        <v>475</v>
      </c>
      <c r="H101" s="56" t="str">
        <f t="shared" si="5"/>
        <v>C94-C95</v>
      </c>
      <c r="I101" s="59">
        <v>9.6</v>
      </c>
      <c r="K101" s="56" t="s">
        <v>476</v>
      </c>
      <c r="L101" s="56" t="str">
        <f t="shared" si="4"/>
        <v>G94-G95</v>
      </c>
      <c r="M101" s="59">
        <v>9.6</v>
      </c>
    </row>
    <row r="102" spans="2:13" ht="14.25" customHeight="1">
      <c r="B102" s="56" t="s">
        <v>477</v>
      </c>
      <c r="C102" s="56" t="str">
        <f t="shared" si="6"/>
        <v>A96 - A97</v>
      </c>
      <c r="D102" s="59">
        <v>9.6</v>
      </c>
      <c r="G102" s="56" t="s">
        <v>478</v>
      </c>
      <c r="H102" s="56" t="str">
        <f t="shared" si="5"/>
        <v>C95-C96</v>
      </c>
      <c r="I102" s="59">
        <v>9.6</v>
      </c>
      <c r="K102" s="56" t="s">
        <v>479</v>
      </c>
      <c r="L102" s="56" t="str">
        <f t="shared" si="4"/>
        <v>G95-G96</v>
      </c>
      <c r="M102" s="59">
        <v>8.6300000000000008</v>
      </c>
    </row>
    <row r="103" spans="2:13" ht="14.25" customHeight="1">
      <c r="B103" s="56" t="s">
        <v>480</v>
      </c>
      <c r="C103" s="56" t="str">
        <f t="shared" si="6"/>
        <v>A97 - A98</v>
      </c>
      <c r="D103" s="59">
        <v>9.6</v>
      </c>
      <c r="G103" s="56" t="s">
        <v>481</v>
      </c>
      <c r="H103" s="56" t="str">
        <f t="shared" si="5"/>
        <v>C96-C97</v>
      </c>
      <c r="I103" s="59">
        <v>9.6</v>
      </c>
      <c r="K103" s="56" t="s">
        <v>482</v>
      </c>
      <c r="L103" s="56" t="str">
        <f t="shared" si="4"/>
        <v>G96-G97</v>
      </c>
      <c r="M103" s="59">
        <v>9.6</v>
      </c>
    </row>
    <row r="104" spans="2:13" ht="14.25" customHeight="1">
      <c r="B104" s="56" t="s">
        <v>483</v>
      </c>
      <c r="C104" s="56" t="str">
        <f t="shared" si="6"/>
        <v>A98 - A99</v>
      </c>
      <c r="D104" s="59">
        <v>9.6</v>
      </c>
      <c r="G104" s="56" t="s">
        <v>484</v>
      </c>
      <c r="H104" s="56" t="str">
        <f t="shared" si="5"/>
        <v>C97-C98</v>
      </c>
      <c r="I104" s="59">
        <v>9.6</v>
      </c>
      <c r="K104" s="56" t="s">
        <v>485</v>
      </c>
      <c r="L104" s="56" t="str">
        <f t="shared" si="4"/>
        <v>G97-G98</v>
      </c>
      <c r="M104" s="59">
        <v>9.6</v>
      </c>
    </row>
    <row r="105" spans="2:13" ht="14.25" customHeight="1">
      <c r="B105" s="56" t="s">
        <v>486</v>
      </c>
      <c r="C105" s="56" t="str">
        <f t="shared" si="6"/>
        <v>A99 - A100</v>
      </c>
      <c r="D105" s="59">
        <v>9.6</v>
      </c>
      <c r="G105" s="56" t="s">
        <v>487</v>
      </c>
      <c r="H105" s="56" t="str">
        <f t="shared" si="5"/>
        <v>C98-C99</v>
      </c>
      <c r="I105" s="59">
        <v>9.6</v>
      </c>
      <c r="K105" s="56" t="s">
        <v>488</v>
      </c>
      <c r="L105" s="56" t="str">
        <f t="shared" si="4"/>
        <v>G98-G99</v>
      </c>
      <c r="M105" s="59">
        <v>9.6</v>
      </c>
    </row>
    <row r="106" spans="2:13" ht="14.25" customHeight="1">
      <c r="B106" s="56" t="s">
        <v>489</v>
      </c>
      <c r="C106" s="56" t="str">
        <f t="shared" si="6"/>
        <v>A100 - A101</v>
      </c>
      <c r="D106" s="59">
        <v>9.6</v>
      </c>
      <c r="G106" s="56" t="s">
        <v>490</v>
      </c>
      <c r="H106" s="56" t="str">
        <f t="shared" si="5"/>
        <v>C99-C100</v>
      </c>
      <c r="I106" s="59">
        <v>9.6</v>
      </c>
      <c r="K106" s="56" t="s">
        <v>491</v>
      </c>
      <c r="L106" s="56" t="str">
        <f t="shared" si="4"/>
        <v>G99-G100</v>
      </c>
      <c r="M106" s="59">
        <v>9.6</v>
      </c>
    </row>
    <row r="107" spans="2:13" ht="14.25" customHeight="1">
      <c r="B107" s="56" t="s">
        <v>492</v>
      </c>
      <c r="C107" s="56" t="str">
        <f t="shared" si="6"/>
        <v>A101 - A102</v>
      </c>
      <c r="D107" s="59">
        <v>9.6</v>
      </c>
      <c r="G107" s="56" t="s">
        <v>493</v>
      </c>
      <c r="H107" s="56" t="str">
        <f t="shared" si="5"/>
        <v>C100-C101</v>
      </c>
      <c r="I107" s="59">
        <v>9.6</v>
      </c>
      <c r="K107" s="56" t="s">
        <v>494</v>
      </c>
      <c r="L107" s="56" t="str">
        <f t="shared" si="4"/>
        <v>G100-G101</v>
      </c>
      <c r="M107" s="59">
        <v>9.6</v>
      </c>
    </row>
    <row r="108" spans="2:13" ht="14.25" customHeight="1">
      <c r="B108" s="56" t="s">
        <v>495</v>
      </c>
      <c r="C108" s="56" t="str">
        <f t="shared" si="6"/>
        <v>A102 - A103</v>
      </c>
      <c r="D108" s="59">
        <v>9.6</v>
      </c>
      <c r="G108" s="56" t="s">
        <v>496</v>
      </c>
      <c r="H108" s="56" t="str">
        <f t="shared" si="5"/>
        <v>C101-C102</v>
      </c>
      <c r="I108" s="59">
        <v>9.6</v>
      </c>
      <c r="K108" s="56" t="s">
        <v>497</v>
      </c>
      <c r="L108" s="56" t="str">
        <f t="shared" si="4"/>
        <v>G101-G102</v>
      </c>
      <c r="M108" s="59">
        <v>9.6</v>
      </c>
    </row>
    <row r="109" spans="2:13" ht="14.25" customHeight="1">
      <c r="B109" s="56" t="s">
        <v>498</v>
      </c>
      <c r="C109" s="56" t="str">
        <f t="shared" si="6"/>
        <v>A103 - A104</v>
      </c>
      <c r="D109" s="59">
        <v>9.6</v>
      </c>
      <c r="G109" s="56" t="s">
        <v>499</v>
      </c>
      <c r="H109" s="56" t="str">
        <f t="shared" si="5"/>
        <v>C102-C103</v>
      </c>
      <c r="I109" s="59">
        <v>9.6</v>
      </c>
      <c r="K109" s="56" t="s">
        <v>500</v>
      </c>
      <c r="L109" s="56" t="str">
        <f t="shared" si="4"/>
        <v>G102-G103</v>
      </c>
      <c r="M109" s="59">
        <v>9.6</v>
      </c>
    </row>
    <row r="110" spans="2:13" ht="14.25" customHeight="1">
      <c r="B110" s="56" t="s">
        <v>501</v>
      </c>
      <c r="C110" s="56" t="str">
        <f t="shared" si="6"/>
        <v>A104 - A105</v>
      </c>
      <c r="D110" s="59">
        <v>9.6</v>
      </c>
      <c r="G110" s="56" t="s">
        <v>502</v>
      </c>
      <c r="H110" s="56" t="str">
        <f t="shared" si="5"/>
        <v>C103-C104</v>
      </c>
      <c r="I110" s="59">
        <v>9.6</v>
      </c>
      <c r="K110" s="56" t="s">
        <v>503</v>
      </c>
      <c r="L110" s="56" t="str">
        <f t="shared" si="4"/>
        <v>G103-G104</v>
      </c>
      <c r="M110" s="59">
        <v>9.6</v>
      </c>
    </row>
    <row r="111" spans="2:13" ht="14.25" customHeight="1">
      <c r="B111" s="56" t="s">
        <v>504</v>
      </c>
      <c r="C111" s="56" t="str">
        <f t="shared" si="6"/>
        <v>A105 - A106</v>
      </c>
      <c r="D111" s="59">
        <v>9.6</v>
      </c>
      <c r="G111" s="56" t="s">
        <v>505</v>
      </c>
      <c r="H111" s="56" t="str">
        <f t="shared" si="5"/>
        <v>C104-C105</v>
      </c>
      <c r="I111" s="59"/>
      <c r="K111" s="56" t="s">
        <v>506</v>
      </c>
      <c r="L111" s="56" t="str">
        <f t="shared" si="4"/>
        <v>G104-G105</v>
      </c>
      <c r="M111" s="59">
        <v>9.6</v>
      </c>
    </row>
    <row r="112" spans="2:13" ht="14.25" customHeight="1">
      <c r="B112" s="56" t="s">
        <v>507</v>
      </c>
      <c r="C112" s="56" t="str">
        <f t="shared" si="6"/>
        <v>A106 - A107</v>
      </c>
      <c r="D112" s="59">
        <v>9.6</v>
      </c>
      <c r="G112" s="56" t="s">
        <v>508</v>
      </c>
      <c r="H112" s="56" t="str">
        <f t="shared" si="5"/>
        <v>C105-C106</v>
      </c>
      <c r="I112" s="59"/>
      <c r="K112" s="56" t="s">
        <v>509</v>
      </c>
      <c r="L112" s="56" t="str">
        <f t="shared" si="4"/>
        <v>G105-G106</v>
      </c>
      <c r="M112" s="59">
        <v>9.6</v>
      </c>
    </row>
    <row r="113" spans="2:13" ht="14.25" customHeight="1">
      <c r="B113" s="56" t="s">
        <v>510</v>
      </c>
      <c r="C113" s="56" t="str">
        <f t="shared" si="6"/>
        <v>A107 - A108</v>
      </c>
      <c r="D113" s="59">
        <v>9.6</v>
      </c>
      <c r="G113" s="56" t="s">
        <v>511</v>
      </c>
      <c r="H113" s="56" t="str">
        <f t="shared" si="5"/>
        <v>C106-C107</v>
      </c>
      <c r="I113" s="59">
        <v>9.6</v>
      </c>
      <c r="K113" s="56" t="s">
        <v>512</v>
      </c>
      <c r="L113" s="56" t="str">
        <f t="shared" si="4"/>
        <v>G106-G107</v>
      </c>
      <c r="M113" s="59">
        <v>9.6</v>
      </c>
    </row>
    <row r="114" spans="2:13" ht="14.25" customHeight="1">
      <c r="B114" s="56" t="s">
        <v>513</v>
      </c>
      <c r="C114" s="56" t="str">
        <f t="shared" si="6"/>
        <v>A108 - A109</v>
      </c>
      <c r="D114" s="59">
        <v>9.6</v>
      </c>
      <c r="G114" s="56" t="s">
        <v>514</v>
      </c>
      <c r="H114" s="56" t="str">
        <f t="shared" si="5"/>
        <v>C107-C108</v>
      </c>
      <c r="I114" s="59">
        <v>9.6</v>
      </c>
      <c r="K114" s="56" t="s">
        <v>515</v>
      </c>
      <c r="L114" s="56" t="str">
        <f t="shared" si="4"/>
        <v>G107-G108</v>
      </c>
      <c r="M114" s="59">
        <v>9.6</v>
      </c>
    </row>
    <row r="115" spans="2:13" ht="14.25" customHeight="1">
      <c r="B115" s="56" t="s">
        <v>516</v>
      </c>
      <c r="C115" s="56" t="str">
        <f t="shared" si="6"/>
        <v>A109 - A110</v>
      </c>
      <c r="D115" s="59">
        <v>9.6</v>
      </c>
      <c r="G115" s="56" t="s">
        <v>517</v>
      </c>
      <c r="H115" s="56" t="str">
        <f t="shared" si="5"/>
        <v>C108-C109</v>
      </c>
      <c r="I115" s="59">
        <v>9.6</v>
      </c>
      <c r="K115" s="56" t="s">
        <v>518</v>
      </c>
      <c r="L115" s="56" t="str">
        <f t="shared" si="4"/>
        <v>G108-G109</v>
      </c>
      <c r="M115" s="59">
        <v>9.6</v>
      </c>
    </row>
    <row r="116" spans="2:13" ht="14.25" customHeight="1">
      <c r="B116" s="56" t="s">
        <v>519</v>
      </c>
      <c r="C116" s="56" t="str">
        <f t="shared" si="6"/>
        <v>A110 - A111</v>
      </c>
      <c r="D116" s="59">
        <v>9.6</v>
      </c>
      <c r="G116" s="56" t="s">
        <v>520</v>
      </c>
      <c r="H116" s="56" t="str">
        <f t="shared" si="5"/>
        <v>C109-C110</v>
      </c>
      <c r="I116" s="59">
        <v>9.6</v>
      </c>
      <c r="K116" s="56" t="s">
        <v>521</v>
      </c>
      <c r="L116" s="56" t="str">
        <f t="shared" si="4"/>
        <v>G109-G110</v>
      </c>
      <c r="M116" s="59">
        <v>9.6</v>
      </c>
    </row>
    <row r="117" spans="2:13" ht="14.25" customHeight="1">
      <c r="B117" s="56" t="s">
        <v>522</v>
      </c>
      <c r="C117" s="56" t="str">
        <f t="shared" si="6"/>
        <v>A111 - A112</v>
      </c>
      <c r="D117" s="59">
        <v>9.6</v>
      </c>
      <c r="G117" s="56" t="s">
        <v>523</v>
      </c>
      <c r="H117" s="56" t="str">
        <f t="shared" si="5"/>
        <v>C110-C111</v>
      </c>
      <c r="I117" s="59">
        <v>9.6</v>
      </c>
      <c r="K117" s="56" t="s">
        <v>524</v>
      </c>
      <c r="L117" s="56" t="str">
        <f t="shared" si="4"/>
        <v>G110-G111</v>
      </c>
      <c r="M117" s="59">
        <v>9.6</v>
      </c>
    </row>
    <row r="118" spans="2:13" ht="14.25" customHeight="1">
      <c r="B118" s="56" t="s">
        <v>525</v>
      </c>
      <c r="C118" s="56" t="str">
        <f t="shared" si="6"/>
        <v>A112 - A113</v>
      </c>
      <c r="D118" s="59">
        <v>9.6</v>
      </c>
      <c r="G118" s="56" t="s">
        <v>526</v>
      </c>
      <c r="H118" s="56" t="str">
        <f t="shared" si="5"/>
        <v>C111-C112</v>
      </c>
      <c r="I118" s="59">
        <v>9.6</v>
      </c>
      <c r="K118" s="56" t="s">
        <v>527</v>
      </c>
      <c r="L118" s="56" t="str">
        <f t="shared" si="4"/>
        <v>G111-G112</v>
      </c>
      <c r="M118" s="59">
        <v>9.6</v>
      </c>
    </row>
    <row r="119" spans="2:13" ht="14.25" customHeight="1">
      <c r="B119" s="56" t="s">
        <v>528</v>
      </c>
      <c r="C119" s="56" t="str">
        <f t="shared" si="6"/>
        <v>A113 - A114</v>
      </c>
      <c r="D119" s="59">
        <v>9.6</v>
      </c>
      <c r="G119" s="56" t="s">
        <v>529</v>
      </c>
      <c r="H119" s="56" t="str">
        <f t="shared" si="5"/>
        <v>C112-C113</v>
      </c>
      <c r="I119" s="59">
        <v>9.6</v>
      </c>
      <c r="K119" s="56" t="s">
        <v>530</v>
      </c>
      <c r="L119" s="56" t="str">
        <f t="shared" si="4"/>
        <v>G112-G113</v>
      </c>
      <c r="M119" s="59">
        <v>9.6</v>
      </c>
    </row>
    <row r="120" spans="2:13" ht="14.25" customHeight="1">
      <c r="B120" s="56" t="s">
        <v>531</v>
      </c>
      <c r="C120" s="56" t="str">
        <f t="shared" si="6"/>
        <v>A114 - A115</v>
      </c>
      <c r="D120" s="59">
        <v>9.6</v>
      </c>
      <c r="G120" s="56" t="s">
        <v>532</v>
      </c>
      <c r="H120" s="56" t="str">
        <f t="shared" si="5"/>
        <v>C113-C114</v>
      </c>
      <c r="I120" s="59">
        <v>9.6</v>
      </c>
      <c r="K120" s="56" t="s">
        <v>533</v>
      </c>
      <c r="L120" s="56" t="str">
        <f t="shared" si="4"/>
        <v>G113-G114</v>
      </c>
      <c r="M120" s="59">
        <v>9.6</v>
      </c>
    </row>
    <row r="121" spans="2:13" ht="14.25" customHeight="1">
      <c r="B121" s="56" t="s">
        <v>534</v>
      </c>
      <c r="C121" s="56" t="str">
        <f t="shared" si="6"/>
        <v>A115 - A116</v>
      </c>
      <c r="D121" s="59">
        <v>9.6</v>
      </c>
      <c r="G121" s="56" t="s">
        <v>535</v>
      </c>
      <c r="H121" s="56" t="str">
        <f t="shared" si="5"/>
        <v>C114-C115</v>
      </c>
      <c r="I121" s="59">
        <v>9.6</v>
      </c>
      <c r="K121" s="142" t="s">
        <v>282</v>
      </c>
      <c r="L121" s="141"/>
      <c r="M121" s="60">
        <f>SUM(M40:M120)</f>
        <v>741.93000000000097</v>
      </c>
    </row>
    <row r="122" spans="2:13" ht="14.25" customHeight="1">
      <c r="B122" s="56" t="s">
        <v>536</v>
      </c>
      <c r="C122" s="56" t="str">
        <f t="shared" si="6"/>
        <v>A116 - A117</v>
      </c>
      <c r="D122" s="59">
        <v>9.6</v>
      </c>
      <c r="G122" s="56" t="s">
        <v>537</v>
      </c>
      <c r="H122" s="56" t="str">
        <f t="shared" si="5"/>
        <v>C115-C116</v>
      </c>
      <c r="I122" s="59">
        <v>4.05</v>
      </c>
    </row>
    <row r="123" spans="2:13" ht="14.25" customHeight="1">
      <c r="B123" s="56" t="s">
        <v>538</v>
      </c>
      <c r="C123" s="56" t="str">
        <f t="shared" si="6"/>
        <v>A117 - A118</v>
      </c>
      <c r="D123" s="59">
        <v>9.6</v>
      </c>
      <c r="G123" s="56" t="s">
        <v>539</v>
      </c>
      <c r="H123" s="56" t="str">
        <f t="shared" si="5"/>
        <v>C116-C117</v>
      </c>
      <c r="I123" s="59">
        <v>9.6</v>
      </c>
    </row>
    <row r="124" spans="2:13" ht="14.25" customHeight="1">
      <c r="B124" s="56" t="s">
        <v>540</v>
      </c>
      <c r="C124" s="56" t="str">
        <f t="shared" si="6"/>
        <v>A118 - A119</v>
      </c>
      <c r="D124" s="59">
        <v>9.6</v>
      </c>
      <c r="G124" s="56" t="s">
        <v>541</v>
      </c>
      <c r="H124" s="56" t="str">
        <f t="shared" si="5"/>
        <v>C117-C118</v>
      </c>
      <c r="I124" s="59">
        <v>9.6</v>
      </c>
    </row>
    <row r="125" spans="2:13" ht="14.25" customHeight="1">
      <c r="B125" s="56" t="s">
        <v>542</v>
      </c>
      <c r="C125" s="56" t="str">
        <f t="shared" si="6"/>
        <v>A119 - A120</v>
      </c>
      <c r="D125" s="59">
        <v>9.6</v>
      </c>
      <c r="G125" s="56" t="s">
        <v>543</v>
      </c>
      <c r="H125" s="56" t="str">
        <f t="shared" si="5"/>
        <v>C118-C119</v>
      </c>
      <c r="I125" s="59">
        <v>9.6</v>
      </c>
    </row>
    <row r="126" spans="2:13" ht="14.25" customHeight="1">
      <c r="B126" s="56" t="s">
        <v>544</v>
      </c>
      <c r="C126" s="56" t="str">
        <f t="shared" si="6"/>
        <v>A120 - A121</v>
      </c>
      <c r="D126" s="59">
        <v>9.6</v>
      </c>
      <c r="G126" s="56" t="s">
        <v>545</v>
      </c>
      <c r="H126" s="56" t="str">
        <f t="shared" si="5"/>
        <v>C119-C120</v>
      </c>
      <c r="I126" s="59">
        <v>9.6</v>
      </c>
    </row>
    <row r="127" spans="2:13" ht="14.25" customHeight="1">
      <c r="B127" s="56" t="s">
        <v>546</v>
      </c>
      <c r="C127" s="56" t="str">
        <f t="shared" si="6"/>
        <v>A121 - A122</v>
      </c>
      <c r="D127" s="59">
        <v>9.6</v>
      </c>
      <c r="G127" s="56" t="s">
        <v>547</v>
      </c>
      <c r="H127" s="56" t="str">
        <f t="shared" si="5"/>
        <v>C120-C121</v>
      </c>
      <c r="I127" s="59">
        <v>9.6</v>
      </c>
    </row>
    <row r="128" spans="2:13" ht="14.25" customHeight="1">
      <c r="B128" s="56" t="s">
        <v>548</v>
      </c>
      <c r="C128" s="56" t="str">
        <f t="shared" si="6"/>
        <v>A122 - A123</v>
      </c>
      <c r="D128" s="59">
        <v>9.6</v>
      </c>
      <c r="G128" s="56" t="s">
        <v>549</v>
      </c>
      <c r="H128" s="56" t="str">
        <f t="shared" si="5"/>
        <v>C121-C122</v>
      </c>
      <c r="I128" s="59">
        <v>9.6</v>
      </c>
    </row>
    <row r="129" spans="2:9" ht="14.25" customHeight="1">
      <c r="B129" s="56" t="s">
        <v>550</v>
      </c>
      <c r="C129" s="56" t="str">
        <f t="shared" si="6"/>
        <v>A123 - A124</v>
      </c>
      <c r="D129" s="59">
        <v>9.6</v>
      </c>
      <c r="G129" s="56" t="s">
        <v>551</v>
      </c>
      <c r="H129" s="56" t="str">
        <f t="shared" si="5"/>
        <v>C122-MA</v>
      </c>
      <c r="I129" s="59">
        <v>2.6</v>
      </c>
    </row>
    <row r="130" spans="2:9" ht="14.25" customHeight="1">
      <c r="B130" s="56" t="s">
        <v>552</v>
      </c>
      <c r="C130" s="56" t="str">
        <f t="shared" si="6"/>
        <v>A124 - A125</v>
      </c>
      <c r="D130" s="59">
        <v>9.6</v>
      </c>
      <c r="G130" s="142" t="s">
        <v>282</v>
      </c>
      <c r="H130" s="141"/>
      <c r="I130" s="60">
        <f>SUM(I43:I129)</f>
        <v>692.95000000000084</v>
      </c>
    </row>
    <row r="131" spans="2:9" ht="14.25" customHeight="1">
      <c r="B131" s="56" t="s">
        <v>553</v>
      </c>
      <c r="C131" s="56" t="str">
        <f t="shared" si="6"/>
        <v>A125 - A126</v>
      </c>
      <c r="D131" s="59">
        <v>9.6</v>
      </c>
    </row>
    <row r="132" spans="2:9" ht="14.25" customHeight="1">
      <c r="B132" s="56" t="s">
        <v>554</v>
      </c>
      <c r="C132" s="56" t="str">
        <f t="shared" si="6"/>
        <v>A126 - A127</v>
      </c>
      <c r="D132" s="59">
        <v>9.6</v>
      </c>
    </row>
    <row r="133" spans="2:9" ht="14.25" customHeight="1">
      <c r="B133" s="56" t="s">
        <v>555</v>
      </c>
      <c r="C133" s="56" t="str">
        <f t="shared" si="6"/>
        <v>A127 - A128</v>
      </c>
      <c r="D133" s="59">
        <v>9.6</v>
      </c>
    </row>
    <row r="134" spans="2:9" ht="14.25" customHeight="1">
      <c r="B134" s="56" t="s">
        <v>556</v>
      </c>
      <c r="C134" s="56" t="str">
        <f t="shared" si="6"/>
        <v>A128 - A129</v>
      </c>
      <c r="D134" s="59">
        <v>9.6</v>
      </c>
    </row>
    <row r="135" spans="2:9" ht="14.25" customHeight="1">
      <c r="B135" s="56" t="s">
        <v>557</v>
      </c>
      <c r="C135" s="56" t="str">
        <f t="shared" si="6"/>
        <v>A129 - A130</v>
      </c>
      <c r="D135" s="59">
        <v>9.6</v>
      </c>
    </row>
    <row r="136" spans="2:9" ht="14.25" customHeight="1">
      <c r="B136" s="56" t="s">
        <v>558</v>
      </c>
      <c r="C136" s="56" t="str">
        <f t="shared" si="6"/>
        <v>A130 - A131</v>
      </c>
      <c r="D136" s="59">
        <v>9.6</v>
      </c>
    </row>
    <row r="137" spans="2:9" ht="14.25" customHeight="1">
      <c r="B137" s="56" t="s">
        <v>559</v>
      </c>
      <c r="C137" s="56" t="str">
        <f t="shared" si="6"/>
        <v>A131 - A132</v>
      </c>
      <c r="D137" s="59">
        <v>9.6</v>
      </c>
    </row>
    <row r="138" spans="2:9" ht="14.25" customHeight="1">
      <c r="B138" s="56" t="s">
        <v>560</v>
      </c>
      <c r="C138" s="56" t="str">
        <f t="shared" si="6"/>
        <v>A132 - A133</v>
      </c>
      <c r="D138" s="59">
        <v>9.6</v>
      </c>
    </row>
    <row r="139" spans="2:9" ht="14.25" customHeight="1">
      <c r="B139" s="56" t="s">
        <v>561</v>
      </c>
      <c r="C139" s="56" t="str">
        <f t="shared" si="6"/>
        <v>A133 - A134</v>
      </c>
      <c r="D139" s="59">
        <v>9.6</v>
      </c>
    </row>
    <row r="140" spans="2:9" ht="14.25" customHeight="1">
      <c r="B140" s="56" t="s">
        <v>562</v>
      </c>
      <c r="C140" s="56" t="str">
        <f t="shared" si="6"/>
        <v>A134 - A135</v>
      </c>
      <c r="D140" s="59">
        <v>9.6</v>
      </c>
    </row>
    <row r="141" spans="2:9" ht="14.25" customHeight="1">
      <c r="B141" s="56" t="s">
        <v>563</v>
      </c>
      <c r="C141" s="56" t="str">
        <f t="shared" si="6"/>
        <v>A135 - A136</v>
      </c>
      <c r="D141" s="59">
        <v>9.6</v>
      </c>
    </row>
    <row r="142" spans="2:9" ht="14.25" customHeight="1">
      <c r="B142" s="56" t="s">
        <v>564</v>
      </c>
      <c r="C142" s="56" t="str">
        <f t="shared" si="6"/>
        <v>A136 - A137</v>
      </c>
      <c r="D142" s="59">
        <v>9.6</v>
      </c>
    </row>
    <row r="143" spans="2:9" ht="14.25" customHeight="1">
      <c r="B143" s="56" t="s">
        <v>565</v>
      </c>
      <c r="C143" s="56" t="str">
        <f t="shared" si="6"/>
        <v>A137 - A138</v>
      </c>
      <c r="D143" s="59">
        <v>9.6</v>
      </c>
    </row>
    <row r="144" spans="2:9" ht="14.25" customHeight="1">
      <c r="B144" s="56" t="s">
        <v>566</v>
      </c>
      <c r="C144" s="56" t="str">
        <f t="shared" si="6"/>
        <v>A138 - A139</v>
      </c>
      <c r="D144" s="59">
        <v>9.6</v>
      </c>
    </row>
    <row r="145" spans="2:4" ht="14.25" customHeight="1">
      <c r="B145" s="56" t="s">
        <v>567</v>
      </c>
      <c r="C145" s="56" t="str">
        <f t="shared" si="6"/>
        <v>A139 - A140</v>
      </c>
      <c r="D145" s="59">
        <v>9.6</v>
      </c>
    </row>
    <row r="146" spans="2:4" ht="14.25" customHeight="1">
      <c r="B146" s="56" t="s">
        <v>568</v>
      </c>
      <c r="C146" s="56" t="str">
        <f t="shared" si="6"/>
        <v>A140 - A141</v>
      </c>
      <c r="D146" s="59">
        <v>9.6</v>
      </c>
    </row>
    <row r="147" spans="2:4" ht="14.25" customHeight="1">
      <c r="B147" s="56" t="s">
        <v>569</v>
      </c>
      <c r="C147" s="56" t="str">
        <f t="shared" si="6"/>
        <v>A141 - A142</v>
      </c>
      <c r="D147" s="59">
        <v>9.6</v>
      </c>
    </row>
    <row r="148" spans="2:4" ht="14.25" customHeight="1">
      <c r="B148" s="56" t="s">
        <v>570</v>
      </c>
      <c r="C148" s="56" t="str">
        <f t="shared" si="6"/>
        <v>A142 - A143</v>
      </c>
      <c r="D148" s="59">
        <v>9.6</v>
      </c>
    </row>
    <row r="149" spans="2:4" ht="14.25" customHeight="1">
      <c r="B149" s="56" t="s">
        <v>571</v>
      </c>
      <c r="C149" s="56" t="str">
        <f t="shared" si="6"/>
        <v>A143 - A144</v>
      </c>
      <c r="D149" s="59">
        <v>9.6</v>
      </c>
    </row>
    <row r="150" spans="2:4" ht="14.25" customHeight="1">
      <c r="B150" s="56" t="s">
        <v>572</v>
      </c>
      <c r="C150" s="56" t="str">
        <f t="shared" si="6"/>
        <v>A144 - A145</v>
      </c>
      <c r="D150" s="59">
        <v>9.6</v>
      </c>
    </row>
    <row r="151" spans="2:4" ht="14.25" customHeight="1">
      <c r="B151" s="56" t="s">
        <v>573</v>
      </c>
      <c r="C151" s="56" t="str">
        <f t="shared" si="6"/>
        <v>A145 - A146</v>
      </c>
      <c r="D151" s="59">
        <v>9.6</v>
      </c>
    </row>
    <row r="152" spans="2:4" ht="14.25" customHeight="1">
      <c r="B152" s="56" t="s">
        <v>574</v>
      </c>
      <c r="C152" s="56" t="str">
        <f t="shared" si="6"/>
        <v>A146 - A147</v>
      </c>
      <c r="D152" s="59">
        <v>9.6</v>
      </c>
    </row>
    <row r="153" spans="2:4" ht="14.25" customHeight="1">
      <c r="B153" s="56" t="s">
        <v>575</v>
      </c>
      <c r="C153" s="56" t="str">
        <f t="shared" si="6"/>
        <v>A147 - A148</v>
      </c>
      <c r="D153" s="59">
        <v>9.6</v>
      </c>
    </row>
    <row r="154" spans="2:4" ht="14.25" customHeight="1">
      <c r="B154" s="56" t="s">
        <v>576</v>
      </c>
      <c r="C154" s="56" t="str">
        <f t="shared" si="6"/>
        <v>A148 - A149</v>
      </c>
      <c r="D154" s="59">
        <v>9.6</v>
      </c>
    </row>
    <row r="155" spans="2:4" ht="14.25" customHeight="1">
      <c r="B155" s="56" t="s">
        <v>577</v>
      </c>
      <c r="C155" s="56" t="str">
        <f t="shared" si="6"/>
        <v>A149 - A150</v>
      </c>
      <c r="D155" s="59">
        <v>9.6</v>
      </c>
    </row>
    <row r="156" spans="2:4" ht="14.25" customHeight="1">
      <c r="B156" s="56" t="s">
        <v>578</v>
      </c>
      <c r="C156" s="56" t="str">
        <f t="shared" si="6"/>
        <v>A150 - A151</v>
      </c>
      <c r="D156" s="59">
        <v>9.6</v>
      </c>
    </row>
    <row r="157" spans="2:4" ht="14.25" customHeight="1">
      <c r="B157" s="56" t="s">
        <v>579</v>
      </c>
      <c r="C157" s="56" t="str">
        <f t="shared" si="6"/>
        <v>A151 - A152</v>
      </c>
      <c r="D157" s="59">
        <v>9.6</v>
      </c>
    </row>
    <row r="158" spans="2:4" ht="14.25" customHeight="1">
      <c r="B158" s="56" t="s">
        <v>580</v>
      </c>
      <c r="C158" s="56" t="str">
        <f t="shared" si="6"/>
        <v>A152 - A153</v>
      </c>
      <c r="D158" s="59">
        <v>9.6</v>
      </c>
    </row>
    <row r="159" spans="2:4" ht="14.25" customHeight="1">
      <c r="B159" s="56"/>
      <c r="C159" s="56"/>
      <c r="D159" s="59"/>
    </row>
    <row r="160" spans="2:4" ht="14.25" customHeight="1">
      <c r="B160" s="56" t="s">
        <v>581</v>
      </c>
      <c r="C160" s="56"/>
      <c r="D160" s="59"/>
    </row>
    <row r="161" spans="2:4" ht="14.25" customHeight="1">
      <c r="B161" s="56" t="s">
        <v>582</v>
      </c>
      <c r="C161" s="56" t="str">
        <f t="shared" ref="C161:C228" si="7">CONCATENATE(B160," - ",B161)</f>
        <v>A154 - A155</v>
      </c>
      <c r="D161" s="59">
        <v>9.6</v>
      </c>
    </row>
    <row r="162" spans="2:4" ht="14.25" customHeight="1">
      <c r="B162" s="56" t="s">
        <v>583</v>
      </c>
      <c r="C162" s="56" t="str">
        <f t="shared" si="7"/>
        <v>A155 - A156</v>
      </c>
      <c r="D162" s="59">
        <v>9.6</v>
      </c>
    </row>
    <row r="163" spans="2:4" ht="14.25" customHeight="1">
      <c r="B163" s="56" t="s">
        <v>584</v>
      </c>
      <c r="C163" s="56" t="str">
        <f t="shared" si="7"/>
        <v>A156 - A157</v>
      </c>
      <c r="D163" s="59">
        <v>9.6</v>
      </c>
    </row>
    <row r="164" spans="2:4" ht="14.25" customHeight="1">
      <c r="B164" s="56" t="s">
        <v>585</v>
      </c>
      <c r="C164" s="56" t="str">
        <f t="shared" si="7"/>
        <v>A157 - A158</v>
      </c>
      <c r="D164" s="59">
        <v>9.6</v>
      </c>
    </row>
    <row r="165" spans="2:4" ht="14.25" customHeight="1">
      <c r="B165" s="56" t="s">
        <v>586</v>
      </c>
      <c r="C165" s="56" t="str">
        <f t="shared" si="7"/>
        <v>A158 - A159</v>
      </c>
      <c r="D165" s="59">
        <v>9.6</v>
      </c>
    </row>
    <row r="166" spans="2:4" ht="14.25" customHeight="1">
      <c r="B166" s="56" t="s">
        <v>587</v>
      </c>
      <c r="C166" s="56" t="str">
        <f t="shared" si="7"/>
        <v>A159 - A160</v>
      </c>
      <c r="D166" s="59">
        <v>9.6</v>
      </c>
    </row>
    <row r="167" spans="2:4" ht="14.25" customHeight="1">
      <c r="B167" s="56" t="s">
        <v>588</v>
      </c>
      <c r="C167" s="56" t="str">
        <f t="shared" si="7"/>
        <v>A160 - A161</v>
      </c>
      <c r="D167" s="59">
        <v>9.6</v>
      </c>
    </row>
    <row r="168" spans="2:4" ht="14.25" customHeight="1">
      <c r="B168" s="56" t="s">
        <v>589</v>
      </c>
      <c r="C168" s="56" t="str">
        <f t="shared" si="7"/>
        <v>A161 - A162</v>
      </c>
      <c r="D168" s="59">
        <v>9.6</v>
      </c>
    </row>
    <row r="169" spans="2:4" ht="14.25" customHeight="1">
      <c r="B169" s="56" t="s">
        <v>590</v>
      </c>
      <c r="C169" s="56" t="str">
        <f t="shared" si="7"/>
        <v>A162 - A163</v>
      </c>
      <c r="D169" s="59">
        <v>9.6</v>
      </c>
    </row>
    <row r="170" spans="2:4" ht="14.25" customHeight="1">
      <c r="B170" s="56" t="s">
        <v>591</v>
      </c>
      <c r="C170" s="56" t="str">
        <f t="shared" si="7"/>
        <v>A163 - A164</v>
      </c>
      <c r="D170" s="59">
        <v>9.6</v>
      </c>
    </row>
    <row r="171" spans="2:4" ht="14.25" customHeight="1">
      <c r="B171" s="56" t="s">
        <v>592</v>
      </c>
      <c r="C171" s="56" t="str">
        <f t="shared" si="7"/>
        <v>A164 - A165</v>
      </c>
      <c r="D171" s="59">
        <v>9.6</v>
      </c>
    </row>
    <row r="172" spans="2:4" ht="14.25" customHeight="1">
      <c r="B172" s="56" t="s">
        <v>593</v>
      </c>
      <c r="C172" s="56" t="str">
        <f t="shared" si="7"/>
        <v>A165 - A166</v>
      </c>
      <c r="D172" s="59">
        <v>9.6</v>
      </c>
    </row>
    <row r="173" spans="2:4" ht="14.25" customHeight="1">
      <c r="B173" s="56" t="s">
        <v>594</v>
      </c>
      <c r="C173" s="56" t="str">
        <f t="shared" si="7"/>
        <v>A166 - A167</v>
      </c>
      <c r="D173" s="59">
        <v>9.6</v>
      </c>
    </row>
    <row r="174" spans="2:4" ht="14.25" customHeight="1">
      <c r="B174" s="56" t="s">
        <v>595</v>
      </c>
      <c r="C174" s="56" t="str">
        <f t="shared" si="7"/>
        <v>A167 - A168</v>
      </c>
      <c r="D174" s="59">
        <v>9.6</v>
      </c>
    </row>
    <row r="175" spans="2:4" ht="14.25" customHeight="1">
      <c r="B175" s="56" t="s">
        <v>596</v>
      </c>
      <c r="C175" s="56" t="str">
        <f t="shared" si="7"/>
        <v>A168 - A169</v>
      </c>
      <c r="D175" s="59">
        <v>9.6</v>
      </c>
    </row>
    <row r="176" spans="2:4" ht="14.25" customHeight="1">
      <c r="B176" s="56" t="s">
        <v>597</v>
      </c>
      <c r="C176" s="56" t="str">
        <f t="shared" si="7"/>
        <v>A169 - A170</v>
      </c>
      <c r="D176" s="59">
        <v>9.6</v>
      </c>
    </row>
    <row r="177" spans="2:4" ht="14.25" customHeight="1">
      <c r="B177" s="56" t="s">
        <v>598</v>
      </c>
      <c r="C177" s="56" t="str">
        <f t="shared" si="7"/>
        <v>A170 - A171</v>
      </c>
      <c r="D177" s="59">
        <v>9.6</v>
      </c>
    </row>
    <row r="178" spans="2:4" ht="14.25" customHeight="1">
      <c r="B178" s="56" t="s">
        <v>599</v>
      </c>
      <c r="C178" s="56" t="str">
        <f t="shared" si="7"/>
        <v>A171 - A172</v>
      </c>
      <c r="D178" s="59">
        <v>9.6</v>
      </c>
    </row>
    <row r="179" spans="2:4" ht="14.25" customHeight="1">
      <c r="B179" s="56" t="s">
        <v>600</v>
      </c>
      <c r="C179" s="56" t="str">
        <f t="shared" si="7"/>
        <v>A172 - A173</v>
      </c>
      <c r="D179" s="59">
        <v>9.6</v>
      </c>
    </row>
    <row r="180" spans="2:4" ht="14.25" customHeight="1">
      <c r="B180" s="56" t="s">
        <v>601</v>
      </c>
      <c r="C180" s="56" t="str">
        <f t="shared" si="7"/>
        <v>A173 - A174</v>
      </c>
      <c r="D180" s="59">
        <v>9.6</v>
      </c>
    </row>
    <row r="181" spans="2:4" ht="14.25" customHeight="1">
      <c r="B181" s="56" t="s">
        <v>602</v>
      </c>
      <c r="C181" s="56" t="str">
        <f t="shared" si="7"/>
        <v>A174 - A175</v>
      </c>
      <c r="D181" s="59">
        <v>9.6</v>
      </c>
    </row>
    <row r="182" spans="2:4" ht="14.25" customHeight="1">
      <c r="B182" s="56" t="s">
        <v>603</v>
      </c>
      <c r="C182" s="56" t="str">
        <f t="shared" si="7"/>
        <v>A175 - A176</v>
      </c>
      <c r="D182" s="59">
        <v>9.6</v>
      </c>
    </row>
    <row r="183" spans="2:4" ht="14.25" customHeight="1">
      <c r="B183" s="56" t="s">
        <v>604</v>
      </c>
      <c r="C183" s="56" t="str">
        <f t="shared" si="7"/>
        <v>A176 - A177</v>
      </c>
      <c r="D183" s="59">
        <v>9.6</v>
      </c>
    </row>
    <row r="184" spans="2:4" ht="14.25" customHeight="1">
      <c r="B184" s="56" t="s">
        <v>605</v>
      </c>
      <c r="C184" s="56" t="str">
        <f t="shared" si="7"/>
        <v>A177 - A178</v>
      </c>
      <c r="D184" s="59">
        <v>9.6</v>
      </c>
    </row>
    <row r="185" spans="2:4" ht="14.25" customHeight="1">
      <c r="B185" s="56" t="s">
        <v>606</v>
      </c>
      <c r="C185" s="56" t="str">
        <f t="shared" si="7"/>
        <v>A178 - A179</v>
      </c>
      <c r="D185" s="59">
        <v>9.6</v>
      </c>
    </row>
    <row r="186" spans="2:4" ht="14.25" customHeight="1">
      <c r="B186" s="56" t="s">
        <v>607</v>
      </c>
      <c r="C186" s="56" t="str">
        <f t="shared" si="7"/>
        <v>A179 - A180</v>
      </c>
      <c r="D186" s="59">
        <v>9.6</v>
      </c>
    </row>
    <row r="187" spans="2:4" ht="14.25" customHeight="1">
      <c r="B187" s="56" t="s">
        <v>608</v>
      </c>
      <c r="C187" s="56" t="str">
        <f t="shared" si="7"/>
        <v>A180 - A181</v>
      </c>
      <c r="D187" s="59">
        <v>9.6</v>
      </c>
    </row>
    <row r="188" spans="2:4" ht="14.25" customHeight="1">
      <c r="B188" s="56" t="s">
        <v>609</v>
      </c>
      <c r="C188" s="56" t="str">
        <f t="shared" si="7"/>
        <v>A181 - A182</v>
      </c>
      <c r="D188" s="59">
        <v>9.6</v>
      </c>
    </row>
    <row r="189" spans="2:4" ht="14.25" customHeight="1">
      <c r="B189" s="56" t="s">
        <v>610</v>
      </c>
      <c r="C189" s="56" t="str">
        <f t="shared" si="7"/>
        <v>A182 - A183</v>
      </c>
      <c r="D189" s="59">
        <v>9.6</v>
      </c>
    </row>
    <row r="190" spans="2:4" ht="14.25" customHeight="1">
      <c r="B190" s="56" t="s">
        <v>611</v>
      </c>
      <c r="C190" s="56" t="str">
        <f t="shared" si="7"/>
        <v>A183 - A184</v>
      </c>
      <c r="D190" s="59">
        <v>9.6</v>
      </c>
    </row>
    <row r="191" spans="2:4" ht="14.25" customHeight="1">
      <c r="B191" s="56" t="s">
        <v>612</v>
      </c>
      <c r="C191" s="56" t="str">
        <f t="shared" si="7"/>
        <v>A184 - A185</v>
      </c>
      <c r="D191" s="59">
        <v>9.6</v>
      </c>
    </row>
    <row r="192" spans="2:4" ht="14.25" customHeight="1">
      <c r="B192" s="56" t="s">
        <v>613</v>
      </c>
      <c r="C192" s="56" t="str">
        <f t="shared" si="7"/>
        <v>A185 - A186</v>
      </c>
      <c r="D192" s="59">
        <v>9.6</v>
      </c>
    </row>
    <row r="193" spans="2:4" ht="14.25" customHeight="1">
      <c r="B193" s="56" t="s">
        <v>614</v>
      </c>
      <c r="C193" s="56" t="str">
        <f t="shared" si="7"/>
        <v>A186 - A187</v>
      </c>
      <c r="D193" s="59">
        <v>9.6</v>
      </c>
    </row>
    <row r="194" spans="2:4" ht="14.25" customHeight="1">
      <c r="B194" s="56" t="s">
        <v>615</v>
      </c>
      <c r="C194" s="56" t="str">
        <f t="shared" si="7"/>
        <v>A187 - A188</v>
      </c>
      <c r="D194" s="59">
        <v>9.6</v>
      </c>
    </row>
    <row r="195" spans="2:4" ht="14.25" customHeight="1">
      <c r="B195" s="56" t="s">
        <v>616</v>
      </c>
      <c r="C195" s="56" t="str">
        <f t="shared" si="7"/>
        <v>A188 - A189</v>
      </c>
      <c r="D195" s="59">
        <v>9.6</v>
      </c>
    </row>
    <row r="196" spans="2:4" ht="14.25" customHeight="1">
      <c r="B196" s="56" t="s">
        <v>617</v>
      </c>
      <c r="C196" s="56" t="str">
        <f t="shared" si="7"/>
        <v>A189 - A190</v>
      </c>
      <c r="D196" s="59">
        <v>9.6</v>
      </c>
    </row>
    <row r="197" spans="2:4" ht="14.25" customHeight="1">
      <c r="B197" s="56" t="s">
        <v>618</v>
      </c>
      <c r="C197" s="56" t="str">
        <f t="shared" si="7"/>
        <v>A190 - A191</v>
      </c>
      <c r="D197" s="59">
        <v>9.6</v>
      </c>
    </row>
    <row r="198" spans="2:4" ht="14.25" customHeight="1">
      <c r="B198" s="56" t="s">
        <v>619</v>
      </c>
      <c r="C198" s="56" t="str">
        <f t="shared" si="7"/>
        <v>A191 - A192</v>
      </c>
      <c r="D198" s="59">
        <v>9.6</v>
      </c>
    </row>
    <row r="199" spans="2:4" ht="14.25" customHeight="1">
      <c r="B199" s="56" t="s">
        <v>620</v>
      </c>
      <c r="C199" s="56" t="str">
        <f t="shared" si="7"/>
        <v>A192 - A193</v>
      </c>
      <c r="D199" s="59">
        <v>9.6</v>
      </c>
    </row>
    <row r="200" spans="2:4" ht="14.25" customHeight="1">
      <c r="B200" s="56" t="s">
        <v>621</v>
      </c>
      <c r="C200" s="56" t="str">
        <f t="shared" si="7"/>
        <v>A193 - A194</v>
      </c>
      <c r="D200" s="59">
        <v>9.6</v>
      </c>
    </row>
    <row r="201" spans="2:4" ht="14.25" customHeight="1">
      <c r="B201" s="56" t="s">
        <v>622</v>
      </c>
      <c r="C201" s="56" t="str">
        <f t="shared" si="7"/>
        <v>A194 - A195</v>
      </c>
      <c r="D201" s="59">
        <v>9.6</v>
      </c>
    </row>
    <row r="202" spans="2:4" ht="14.25" customHeight="1">
      <c r="B202" s="56" t="s">
        <v>623</v>
      </c>
      <c r="C202" s="56" t="str">
        <f t="shared" si="7"/>
        <v>A195 - A196</v>
      </c>
      <c r="D202" s="59">
        <v>9.6</v>
      </c>
    </row>
    <row r="203" spans="2:4" ht="14.25" customHeight="1">
      <c r="B203" s="56" t="s">
        <v>624</v>
      </c>
      <c r="C203" s="56" t="str">
        <f t="shared" si="7"/>
        <v>A196 - A197</v>
      </c>
      <c r="D203" s="59">
        <v>9.6</v>
      </c>
    </row>
    <row r="204" spans="2:4" ht="14.25" customHeight="1">
      <c r="B204" s="56" t="s">
        <v>625</v>
      </c>
      <c r="C204" s="56" t="str">
        <f t="shared" si="7"/>
        <v>A197 - A198</v>
      </c>
      <c r="D204" s="59">
        <v>9.6</v>
      </c>
    </row>
    <row r="205" spans="2:4" ht="14.25" customHeight="1">
      <c r="B205" s="56" t="s">
        <v>626</v>
      </c>
      <c r="C205" s="56" t="str">
        <f t="shared" si="7"/>
        <v>A198 - A199</v>
      </c>
      <c r="D205" s="59">
        <v>9.6</v>
      </c>
    </row>
    <row r="206" spans="2:4" ht="14.25" customHeight="1">
      <c r="B206" s="56" t="s">
        <v>627</v>
      </c>
      <c r="C206" s="56" t="str">
        <f t="shared" si="7"/>
        <v>A199 - A200</v>
      </c>
      <c r="D206" s="59">
        <v>9.6</v>
      </c>
    </row>
    <row r="207" spans="2:4" ht="14.25" customHeight="1">
      <c r="B207" s="56" t="s">
        <v>628</v>
      </c>
      <c r="C207" s="56" t="str">
        <f t="shared" si="7"/>
        <v>A200 - A201</v>
      </c>
      <c r="D207" s="59">
        <v>9.6</v>
      </c>
    </row>
    <row r="208" spans="2:4" ht="14.25" customHeight="1">
      <c r="B208" s="56" t="s">
        <v>629</v>
      </c>
      <c r="C208" s="56" t="str">
        <f t="shared" si="7"/>
        <v>A201 - A202</v>
      </c>
      <c r="D208" s="59">
        <v>9.6</v>
      </c>
    </row>
    <row r="209" spans="2:4" ht="14.25" customHeight="1">
      <c r="B209" s="56" t="s">
        <v>630</v>
      </c>
      <c r="C209" s="56" t="str">
        <f t="shared" si="7"/>
        <v>A202 - A203</v>
      </c>
      <c r="D209" s="59">
        <v>9.6</v>
      </c>
    </row>
    <row r="210" spans="2:4" ht="14.25" customHeight="1">
      <c r="B210" s="56" t="s">
        <v>631</v>
      </c>
      <c r="C210" s="56" t="str">
        <f t="shared" si="7"/>
        <v>A203 - A204</v>
      </c>
      <c r="D210" s="59">
        <v>9.6</v>
      </c>
    </row>
    <row r="211" spans="2:4" ht="14.25" customHeight="1">
      <c r="B211" s="56" t="s">
        <v>632</v>
      </c>
      <c r="C211" s="56" t="str">
        <f t="shared" si="7"/>
        <v>A204 - A205</v>
      </c>
      <c r="D211" s="59">
        <v>9.6</v>
      </c>
    </row>
    <row r="212" spans="2:4" ht="14.25" customHeight="1">
      <c r="B212" s="56" t="s">
        <v>633</v>
      </c>
      <c r="C212" s="56" t="str">
        <f t="shared" si="7"/>
        <v>A205 - A206</v>
      </c>
      <c r="D212" s="59">
        <v>9.6</v>
      </c>
    </row>
    <row r="213" spans="2:4" ht="14.25" customHeight="1">
      <c r="B213" s="56" t="s">
        <v>634</v>
      </c>
      <c r="C213" s="56" t="str">
        <f t="shared" si="7"/>
        <v>A206 - A207</v>
      </c>
      <c r="D213" s="59">
        <v>9.6</v>
      </c>
    </row>
    <row r="214" spans="2:4" ht="14.25" customHeight="1">
      <c r="B214" s="56" t="s">
        <v>635</v>
      </c>
      <c r="C214" s="56" t="str">
        <f t="shared" si="7"/>
        <v>A207 - A208</v>
      </c>
      <c r="D214" s="59">
        <v>9.6</v>
      </c>
    </row>
    <row r="215" spans="2:4" ht="14.25" customHeight="1">
      <c r="B215" s="56" t="s">
        <v>636</v>
      </c>
      <c r="C215" s="56" t="str">
        <f t="shared" si="7"/>
        <v>A208 - A209</v>
      </c>
      <c r="D215" s="59">
        <v>9.6</v>
      </c>
    </row>
    <row r="216" spans="2:4" ht="14.25" customHeight="1">
      <c r="B216" s="56" t="s">
        <v>637</v>
      </c>
      <c r="C216" s="56" t="str">
        <f t="shared" si="7"/>
        <v>A209 - A210</v>
      </c>
      <c r="D216" s="59">
        <v>9.6</v>
      </c>
    </row>
    <row r="217" spans="2:4" ht="14.25" customHeight="1">
      <c r="B217" s="56" t="s">
        <v>638</v>
      </c>
      <c r="C217" s="56" t="str">
        <f t="shared" si="7"/>
        <v>A210 - A211</v>
      </c>
      <c r="D217" s="59">
        <v>9.6</v>
      </c>
    </row>
    <row r="218" spans="2:4" ht="14.25" customHeight="1">
      <c r="B218" s="56" t="s">
        <v>639</v>
      </c>
      <c r="C218" s="56" t="str">
        <f t="shared" si="7"/>
        <v>A211 - A212</v>
      </c>
      <c r="D218" s="59">
        <v>9.6</v>
      </c>
    </row>
    <row r="219" spans="2:4" ht="14.25" customHeight="1">
      <c r="B219" s="56" t="s">
        <v>640</v>
      </c>
      <c r="C219" s="56" t="str">
        <f t="shared" si="7"/>
        <v>A212 - A213</v>
      </c>
      <c r="D219" s="59">
        <v>9.6</v>
      </c>
    </row>
    <row r="220" spans="2:4" ht="14.25" customHeight="1">
      <c r="B220" s="56" t="s">
        <v>641</v>
      </c>
      <c r="C220" s="56" t="str">
        <f t="shared" si="7"/>
        <v>A213 - A214</v>
      </c>
      <c r="D220" s="59">
        <v>9.6</v>
      </c>
    </row>
    <row r="221" spans="2:4" ht="14.25" customHeight="1">
      <c r="B221" s="56" t="s">
        <v>642</v>
      </c>
      <c r="C221" s="56" t="str">
        <f t="shared" si="7"/>
        <v>A214 - A215</v>
      </c>
      <c r="D221" s="59">
        <v>9.6</v>
      </c>
    </row>
    <row r="222" spans="2:4" ht="14.25" customHeight="1">
      <c r="B222" s="56" t="s">
        <v>643</v>
      </c>
      <c r="C222" s="56" t="str">
        <f t="shared" si="7"/>
        <v>A215 - A216</v>
      </c>
      <c r="D222" s="59">
        <v>9.6</v>
      </c>
    </row>
    <row r="223" spans="2:4" ht="14.25" customHeight="1">
      <c r="B223" s="56" t="s">
        <v>644</v>
      </c>
      <c r="C223" s="56" t="str">
        <f t="shared" si="7"/>
        <v>A216 - A217</v>
      </c>
      <c r="D223" s="59">
        <v>9.6</v>
      </c>
    </row>
    <row r="224" spans="2:4" ht="14.25" customHeight="1">
      <c r="B224" s="56" t="s">
        <v>645</v>
      </c>
      <c r="C224" s="56" t="str">
        <f t="shared" si="7"/>
        <v>A217 - A218</v>
      </c>
      <c r="D224" s="59">
        <v>9.6</v>
      </c>
    </row>
    <row r="225" spans="2:4" ht="14.25" customHeight="1">
      <c r="B225" s="56" t="s">
        <v>646</v>
      </c>
      <c r="C225" s="56" t="str">
        <f t="shared" si="7"/>
        <v>A218 - A219</v>
      </c>
      <c r="D225" s="59">
        <v>9.6</v>
      </c>
    </row>
    <row r="226" spans="2:4" ht="14.25" customHeight="1">
      <c r="B226" s="56" t="s">
        <v>647</v>
      </c>
      <c r="C226" s="56" t="str">
        <f t="shared" si="7"/>
        <v>A219 - A220</v>
      </c>
      <c r="D226" s="59">
        <v>9.6</v>
      </c>
    </row>
    <row r="227" spans="2:4" ht="14.25" customHeight="1">
      <c r="B227" s="56" t="s">
        <v>648</v>
      </c>
      <c r="C227" s="56" t="str">
        <f t="shared" si="7"/>
        <v>A220 - A221</v>
      </c>
      <c r="D227" s="59">
        <v>9.6</v>
      </c>
    </row>
    <row r="228" spans="2:4" ht="14.25" customHeight="1">
      <c r="B228" s="56" t="s">
        <v>649</v>
      </c>
      <c r="C228" s="56" t="str">
        <f t="shared" si="7"/>
        <v>A221 - A222</v>
      </c>
      <c r="D228" s="59">
        <v>9.6</v>
      </c>
    </row>
    <row r="229" spans="2:4" ht="14.25" customHeight="1">
      <c r="B229" s="142" t="s">
        <v>282</v>
      </c>
      <c r="C229" s="141"/>
      <c r="D229" s="60">
        <f>SUM(D5:D228)</f>
        <v>2102.3999999999915</v>
      </c>
    </row>
    <row r="230" spans="2:4" ht="14.25" customHeight="1"/>
    <row r="231" spans="2:4" ht="14.25" customHeight="1"/>
    <row r="232" spans="2:4" ht="14.25" customHeight="1"/>
    <row r="233" spans="2:4" ht="14.25" customHeight="1"/>
    <row r="234" spans="2:4" ht="14.25" customHeight="1"/>
    <row r="235" spans="2:4" ht="14.25" customHeight="1"/>
    <row r="236" spans="2:4" ht="14.25" customHeight="1"/>
    <row r="237" spans="2:4" ht="14.25" customHeight="1"/>
    <row r="238" spans="2:4" ht="14.25" customHeight="1"/>
    <row r="239" spans="2:4" ht="14.25" customHeight="1"/>
    <row r="240" spans="2:4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130:H130"/>
    <mergeCell ref="B229:C229"/>
    <mergeCell ref="B2:D2"/>
    <mergeCell ref="G2:I2"/>
    <mergeCell ref="K2:M2"/>
    <mergeCell ref="O2:Q2"/>
    <mergeCell ref="K38:L38"/>
    <mergeCell ref="G41:H41"/>
    <mergeCell ref="O45:P45"/>
    <mergeCell ref="K121:L12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workbookViewId="0">
      <selection activeCell="E17" sqref="E17"/>
    </sheetView>
  </sheetViews>
  <sheetFormatPr defaultColWidth="14.44140625" defaultRowHeight="15" customHeight="1"/>
  <cols>
    <col min="1" max="2" width="8.6640625" customWidth="1"/>
    <col min="3" max="3" width="29.6640625" customWidth="1"/>
    <col min="4" max="5" width="28.44140625" customWidth="1"/>
    <col min="6" max="6" width="22.6640625" customWidth="1"/>
    <col min="7" max="7" width="7.6640625" customWidth="1"/>
    <col min="8" max="8" width="7.88671875" customWidth="1"/>
    <col min="9" max="9" width="7.6640625" customWidth="1"/>
    <col min="10" max="10" width="9.88671875" customWidth="1"/>
    <col min="11" max="26" width="8.6640625" customWidth="1"/>
  </cols>
  <sheetData>
    <row r="1" spans="1:26" ht="14.25" customHeight="1">
      <c r="E1" s="26"/>
      <c r="F1" s="26"/>
    </row>
    <row r="2" spans="1:26" ht="14.25" customHeight="1">
      <c r="B2" s="61" t="s">
        <v>56</v>
      </c>
      <c r="D2" s="62" t="s">
        <v>650</v>
      </c>
      <c r="E2" s="13" t="s">
        <v>57</v>
      </c>
      <c r="F2" s="26"/>
    </row>
    <row r="3" spans="1:26" ht="14.25" customHeight="1">
      <c r="A3" s="26"/>
      <c r="B3" s="28">
        <v>1</v>
      </c>
      <c r="C3" s="29" t="s">
        <v>651</v>
      </c>
      <c r="D3" s="28"/>
      <c r="E3" s="30" t="s">
        <v>59</v>
      </c>
      <c r="F3" s="1" t="s">
        <v>60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25" customHeight="1">
      <c r="B4" s="28">
        <f t="shared" ref="B4:B9" si="0">B3+1</f>
        <v>2</v>
      </c>
      <c r="C4" s="32" t="s">
        <v>3</v>
      </c>
      <c r="D4" s="63"/>
      <c r="E4" s="26" t="s">
        <v>652</v>
      </c>
      <c r="F4" s="1" t="s">
        <v>60</v>
      </c>
    </row>
    <row r="5" spans="1:26" ht="14.25" customHeight="1">
      <c r="B5" s="28">
        <f t="shared" si="0"/>
        <v>3</v>
      </c>
      <c r="C5" s="32" t="s">
        <v>62</v>
      </c>
      <c r="D5" s="63"/>
      <c r="E5" s="26" t="s">
        <v>653</v>
      </c>
      <c r="F5" s="1" t="s">
        <v>60</v>
      </c>
    </row>
    <row r="6" spans="1:26" ht="14.25" customHeight="1">
      <c r="B6" s="28">
        <f t="shared" si="0"/>
        <v>4</v>
      </c>
      <c r="C6" s="32" t="s">
        <v>6</v>
      </c>
      <c r="D6" s="63"/>
      <c r="E6" s="26" t="s">
        <v>654</v>
      </c>
      <c r="F6" s="1" t="s">
        <v>60</v>
      </c>
      <c r="I6" s="33"/>
      <c r="J6" s="33"/>
      <c r="K6" s="33"/>
      <c r="L6" s="33"/>
    </row>
    <row r="7" spans="1:26" ht="14.25" customHeight="1">
      <c r="B7" s="28">
        <f t="shared" si="0"/>
        <v>5</v>
      </c>
      <c r="C7" s="64" t="s">
        <v>76</v>
      </c>
      <c r="D7" s="65"/>
      <c r="E7" s="66" t="s">
        <v>655</v>
      </c>
      <c r="F7" s="1" t="s">
        <v>60</v>
      </c>
      <c r="G7" s="67"/>
      <c r="H7" s="67"/>
      <c r="I7" s="37"/>
      <c r="J7" s="33"/>
      <c r="K7" s="33"/>
      <c r="L7" s="33"/>
    </row>
    <row r="8" spans="1:26" ht="14.25" customHeight="1">
      <c r="B8" s="28">
        <f t="shared" si="0"/>
        <v>6</v>
      </c>
      <c r="C8" s="64" t="s">
        <v>79</v>
      </c>
      <c r="D8" s="65"/>
      <c r="E8" s="66"/>
      <c r="F8" s="1" t="s">
        <v>60</v>
      </c>
      <c r="G8" s="66"/>
      <c r="H8" s="66"/>
      <c r="I8" s="26"/>
      <c r="J8" s="26"/>
      <c r="K8" s="26"/>
      <c r="L8" s="26"/>
    </row>
    <row r="9" spans="1:26" ht="14.25" customHeight="1">
      <c r="B9" s="28">
        <f t="shared" si="0"/>
        <v>7</v>
      </c>
      <c r="C9" s="64" t="s">
        <v>83</v>
      </c>
      <c r="D9" s="65"/>
      <c r="E9" s="66"/>
      <c r="F9" s="1" t="s">
        <v>60</v>
      </c>
      <c r="G9" s="66"/>
      <c r="H9" s="66"/>
      <c r="I9" s="26"/>
      <c r="J9" s="26"/>
      <c r="K9" s="26"/>
      <c r="L9" s="26"/>
    </row>
    <row r="10" spans="1:26" ht="14.25" customHeight="1">
      <c r="B10" s="28">
        <f t="shared" ref="B10:B14" si="1">B9+0.1</f>
        <v>7.1</v>
      </c>
      <c r="C10" s="38" t="s">
        <v>88</v>
      </c>
      <c r="D10" s="68"/>
      <c r="E10" s="69">
        <v>15</v>
      </c>
      <c r="F10" s="1" t="s">
        <v>60</v>
      </c>
      <c r="G10" s="66"/>
      <c r="H10" s="66"/>
      <c r="I10" s="26"/>
      <c r="J10" s="26"/>
      <c r="K10" s="26"/>
      <c r="L10" s="26"/>
    </row>
    <row r="11" spans="1:26" ht="14.25" customHeight="1">
      <c r="B11" s="28">
        <f t="shared" si="1"/>
        <v>7.1999999999999993</v>
      </c>
      <c r="C11" s="38" t="s">
        <v>656</v>
      </c>
      <c r="D11" s="68"/>
      <c r="E11" s="69">
        <v>3</v>
      </c>
      <c r="F11" s="1" t="s">
        <v>60</v>
      </c>
      <c r="G11" s="66"/>
      <c r="H11" s="66"/>
      <c r="I11" s="26"/>
      <c r="J11" s="26"/>
      <c r="K11" s="26"/>
      <c r="L11" s="26"/>
    </row>
    <row r="12" spans="1:26" ht="14.25" customHeight="1">
      <c r="B12" s="28">
        <f t="shared" si="1"/>
        <v>7.2999999999999989</v>
      </c>
      <c r="C12" s="38" t="s">
        <v>657</v>
      </c>
      <c r="D12" s="68"/>
      <c r="E12" s="69">
        <v>0.3</v>
      </c>
      <c r="F12" s="1" t="s">
        <v>60</v>
      </c>
      <c r="G12" s="67"/>
      <c r="H12" s="67"/>
    </row>
    <row r="13" spans="1:26" ht="14.25" customHeight="1">
      <c r="B13" s="28">
        <f t="shared" si="1"/>
        <v>7.3999999999999986</v>
      </c>
      <c r="C13" s="38" t="s">
        <v>92</v>
      </c>
      <c r="D13" s="68"/>
      <c r="E13" s="69"/>
      <c r="F13" s="1" t="s">
        <v>60</v>
      </c>
      <c r="G13" s="67"/>
      <c r="H13" s="67" t="s">
        <v>101</v>
      </c>
    </row>
    <row r="14" spans="1:26" ht="14.25" customHeight="1">
      <c r="B14" s="28">
        <f t="shared" si="1"/>
        <v>7.4999999999999982</v>
      </c>
      <c r="C14" s="38" t="s">
        <v>658</v>
      </c>
      <c r="D14" s="68"/>
      <c r="E14" s="69">
        <f>IF(E6="Pile",PI()*E13/2,E11*E12)</f>
        <v>0.89999999999999991</v>
      </c>
      <c r="F14" s="1" t="s">
        <v>60</v>
      </c>
      <c r="G14" s="67"/>
      <c r="H14" s="67"/>
    </row>
    <row r="15" spans="1:26" ht="14.25" customHeight="1">
      <c r="B15" s="28">
        <f>B9+1</f>
        <v>8</v>
      </c>
      <c r="C15" s="32" t="s">
        <v>96</v>
      </c>
      <c r="D15" s="70"/>
      <c r="E15" s="41">
        <f>E14*E10</f>
        <v>13.499999999999998</v>
      </c>
      <c r="F15" s="1" t="s">
        <v>60</v>
      </c>
    </row>
    <row r="16" spans="1:26" ht="14.25" customHeight="1">
      <c r="B16" s="28">
        <f>B15+1</f>
        <v>9</v>
      </c>
      <c r="C16" s="64" t="s">
        <v>100</v>
      </c>
      <c r="D16" s="68"/>
      <c r="E16" s="69"/>
      <c r="F16" s="1" t="s">
        <v>60</v>
      </c>
      <c r="G16" s="67"/>
      <c r="H16" s="67"/>
    </row>
    <row r="17" spans="2:8" ht="14.25" customHeight="1">
      <c r="B17" s="28">
        <f t="shared" ref="B17:B21" si="2">B16+0.1</f>
        <v>9.1</v>
      </c>
      <c r="C17" s="42" t="s">
        <v>88</v>
      </c>
      <c r="D17" s="70"/>
      <c r="E17" s="41">
        <v>15</v>
      </c>
      <c r="F17" s="1" t="s">
        <v>60</v>
      </c>
    </row>
    <row r="18" spans="2:8" ht="14.25" customHeight="1">
      <c r="B18" s="28">
        <f t="shared" si="2"/>
        <v>9.1999999999999993</v>
      </c>
      <c r="C18" s="42" t="s">
        <v>656</v>
      </c>
      <c r="D18" s="70"/>
      <c r="E18" s="41">
        <v>3</v>
      </c>
      <c r="F18" s="1" t="s">
        <v>60</v>
      </c>
    </row>
    <row r="19" spans="2:8" ht="14.25" customHeight="1">
      <c r="B19" s="28">
        <f t="shared" si="2"/>
        <v>9.2999999999999989</v>
      </c>
      <c r="C19" s="42" t="s">
        <v>657</v>
      </c>
      <c r="D19" s="70"/>
      <c r="E19" s="41">
        <v>0.3</v>
      </c>
      <c r="F19" s="1" t="s">
        <v>60</v>
      </c>
    </row>
    <row r="20" spans="2:8" ht="14.25" customHeight="1">
      <c r="B20" s="28">
        <f t="shared" si="2"/>
        <v>9.3999999999999986</v>
      </c>
      <c r="C20" s="42" t="s">
        <v>92</v>
      </c>
      <c r="D20" s="70"/>
      <c r="E20" s="41">
        <v>1.5</v>
      </c>
      <c r="F20" s="1" t="s">
        <v>60</v>
      </c>
    </row>
    <row r="21" spans="2:8" ht="14.25" customHeight="1">
      <c r="B21" s="28">
        <f t="shared" si="2"/>
        <v>9.4999999999999982</v>
      </c>
      <c r="C21" s="42" t="s">
        <v>658</v>
      </c>
      <c r="D21" s="68"/>
      <c r="E21" s="69">
        <f>IF(E6="Pile",PI()*E20/2,E18*E19)</f>
        <v>0.89999999999999991</v>
      </c>
      <c r="F21" s="1" t="s">
        <v>60</v>
      </c>
      <c r="G21" s="67"/>
      <c r="H21" s="67"/>
    </row>
    <row r="22" spans="2:8" ht="14.25" customHeight="1">
      <c r="B22" s="28">
        <f>B15+1</f>
        <v>9</v>
      </c>
      <c r="C22" s="32" t="s">
        <v>108</v>
      </c>
      <c r="D22" s="70"/>
      <c r="E22" s="41">
        <f>E21*E17</f>
        <v>13.499999999999998</v>
      </c>
      <c r="F22" s="1" t="s">
        <v>60</v>
      </c>
    </row>
    <row r="23" spans="2:8" ht="14.25" customHeight="1">
      <c r="B23" s="28">
        <f t="shared" ref="B23:B30" si="3">B22+1</f>
        <v>10</v>
      </c>
      <c r="C23" s="32" t="s">
        <v>111</v>
      </c>
      <c r="D23" s="63"/>
      <c r="E23" s="44">
        <f>E15-E22</f>
        <v>0</v>
      </c>
      <c r="F23" s="1" t="s">
        <v>60</v>
      </c>
    </row>
    <row r="24" spans="2:8" ht="14.25" customHeight="1">
      <c r="B24" s="28">
        <f t="shared" si="3"/>
        <v>11</v>
      </c>
      <c r="C24" s="32" t="s">
        <v>112</v>
      </c>
      <c r="D24" s="63"/>
      <c r="E24" s="44"/>
      <c r="F24" s="1" t="s">
        <v>60</v>
      </c>
    </row>
    <row r="25" spans="2:8" ht="14.25" customHeight="1">
      <c r="B25" s="28">
        <f t="shared" si="3"/>
        <v>12</v>
      </c>
      <c r="C25" s="32" t="s">
        <v>114</v>
      </c>
      <c r="D25" s="70"/>
      <c r="E25" s="41">
        <f>E22</f>
        <v>13.499999999999998</v>
      </c>
      <c r="F25" s="1" t="s">
        <v>60</v>
      </c>
    </row>
    <row r="26" spans="2:8" ht="14.25" customHeight="1">
      <c r="B26" s="28">
        <f t="shared" si="3"/>
        <v>13</v>
      </c>
      <c r="C26" s="32" t="s">
        <v>659</v>
      </c>
      <c r="D26" s="63"/>
      <c r="E26" s="26" t="s">
        <v>660</v>
      </c>
      <c r="F26" s="1" t="s">
        <v>661</v>
      </c>
    </row>
    <row r="27" spans="2:8" ht="14.25" customHeight="1">
      <c r="B27" s="28">
        <f t="shared" si="3"/>
        <v>14</v>
      </c>
      <c r="C27" s="32" t="s">
        <v>115</v>
      </c>
      <c r="D27" s="63"/>
      <c r="E27" s="26" t="s">
        <v>662</v>
      </c>
      <c r="F27" s="1" t="s">
        <v>60</v>
      </c>
    </row>
    <row r="28" spans="2:8" ht="14.25" customHeight="1">
      <c r="B28" s="28">
        <f t="shared" si="3"/>
        <v>15</v>
      </c>
      <c r="C28" s="32" t="s">
        <v>11</v>
      </c>
      <c r="D28" s="63"/>
      <c r="E28" s="26" t="s">
        <v>663</v>
      </c>
      <c r="F28" s="1" t="s">
        <v>60</v>
      </c>
    </row>
    <row r="29" spans="2:8" ht="14.25" customHeight="1">
      <c r="B29" s="28">
        <f t="shared" si="3"/>
        <v>16</v>
      </c>
      <c r="C29" s="32" t="s">
        <v>120</v>
      </c>
      <c r="D29" s="63"/>
      <c r="E29" s="26"/>
    </row>
    <row r="30" spans="2:8" ht="14.25" customHeight="1">
      <c r="B30" s="28">
        <f t="shared" si="3"/>
        <v>17</v>
      </c>
      <c r="C30" s="32" t="s">
        <v>122</v>
      </c>
      <c r="D30" s="63"/>
      <c r="E30" s="26"/>
    </row>
    <row r="31" spans="2:8" ht="14.25" customHeight="1">
      <c r="E31" s="26"/>
      <c r="F31" s="26"/>
    </row>
    <row r="32" spans="2:8" ht="14.25" customHeight="1">
      <c r="E32" s="26"/>
      <c r="F32" s="26"/>
    </row>
    <row r="33" spans="5:6" ht="14.25" customHeight="1">
      <c r="E33" s="26"/>
      <c r="F33" s="26"/>
    </row>
    <row r="34" spans="5:6" ht="14.25" customHeight="1">
      <c r="E34" s="26"/>
      <c r="F34" s="26"/>
    </row>
    <row r="35" spans="5:6" ht="14.25" customHeight="1">
      <c r="E35" s="26"/>
      <c r="F35" s="26"/>
    </row>
    <row r="36" spans="5:6" ht="14.25" customHeight="1">
      <c r="E36" s="26"/>
      <c r="F36" s="26"/>
    </row>
    <row r="37" spans="5:6" ht="14.25" customHeight="1">
      <c r="E37" s="26"/>
      <c r="F37" s="26"/>
    </row>
    <row r="38" spans="5:6" ht="14.25" customHeight="1">
      <c r="E38" s="26"/>
      <c r="F38" s="26"/>
    </row>
    <row r="39" spans="5:6" ht="14.25" customHeight="1">
      <c r="E39" s="26"/>
      <c r="F39" s="26"/>
    </row>
    <row r="40" spans="5:6" ht="14.25" customHeight="1">
      <c r="E40" s="26"/>
      <c r="F40" s="26"/>
    </row>
    <row r="41" spans="5:6" ht="14.25" customHeight="1">
      <c r="E41" s="26"/>
      <c r="F41" s="26"/>
    </row>
    <row r="42" spans="5:6" ht="14.25" customHeight="1">
      <c r="E42" s="26"/>
      <c r="F42" s="26"/>
    </row>
    <row r="43" spans="5:6" ht="14.25" customHeight="1">
      <c r="E43" s="26"/>
      <c r="F43" s="26"/>
    </row>
    <row r="44" spans="5:6" ht="14.25" customHeight="1">
      <c r="E44" s="26"/>
      <c r="F44" s="26"/>
    </row>
    <row r="45" spans="5:6" ht="14.25" customHeight="1">
      <c r="E45" s="26"/>
      <c r="F45" s="26"/>
    </row>
    <row r="46" spans="5:6" ht="14.25" customHeight="1">
      <c r="E46" s="26"/>
      <c r="F46" s="26"/>
    </row>
    <row r="47" spans="5:6" ht="14.25" customHeight="1">
      <c r="E47" s="26"/>
      <c r="F47" s="26"/>
    </row>
    <row r="48" spans="5:6" ht="14.25" customHeight="1">
      <c r="E48" s="26"/>
      <c r="F48" s="26"/>
    </row>
    <row r="49" spans="5:6" ht="14.25" customHeight="1">
      <c r="E49" s="26"/>
      <c r="F49" s="26"/>
    </row>
    <row r="50" spans="5:6" ht="14.25" customHeight="1">
      <c r="E50" s="26"/>
      <c r="F50" s="26"/>
    </row>
    <row r="51" spans="5:6" ht="14.25" customHeight="1">
      <c r="E51" s="26"/>
      <c r="F51" s="26"/>
    </row>
    <row r="52" spans="5:6" ht="14.25" customHeight="1">
      <c r="E52" s="26"/>
      <c r="F52" s="26"/>
    </row>
    <row r="53" spans="5:6" ht="14.25" customHeight="1">
      <c r="E53" s="26"/>
      <c r="F53" s="26"/>
    </row>
    <row r="54" spans="5:6" ht="14.25" customHeight="1">
      <c r="E54" s="26"/>
      <c r="F54" s="26"/>
    </row>
    <row r="55" spans="5:6" ht="14.25" customHeight="1">
      <c r="E55" s="26"/>
      <c r="F55" s="26"/>
    </row>
    <row r="56" spans="5:6" ht="14.25" customHeight="1">
      <c r="E56" s="26"/>
      <c r="F56" s="26"/>
    </row>
    <row r="57" spans="5:6" ht="14.25" customHeight="1">
      <c r="E57" s="26"/>
      <c r="F57" s="26"/>
    </row>
    <row r="58" spans="5:6" ht="14.25" customHeight="1">
      <c r="E58" s="26"/>
      <c r="F58" s="26"/>
    </row>
    <row r="59" spans="5:6" ht="14.25" customHeight="1">
      <c r="E59" s="26"/>
      <c r="F59" s="26"/>
    </row>
    <row r="60" spans="5:6" ht="14.25" customHeight="1">
      <c r="E60" s="26"/>
      <c r="F60" s="26"/>
    </row>
    <row r="61" spans="5:6" ht="14.25" customHeight="1">
      <c r="E61" s="26"/>
      <c r="F61" s="26"/>
    </row>
    <row r="62" spans="5:6" ht="14.25" customHeight="1">
      <c r="E62" s="26"/>
      <c r="F62" s="26"/>
    </row>
    <row r="63" spans="5:6" ht="14.25" customHeight="1">
      <c r="E63" s="26"/>
      <c r="F63" s="26"/>
    </row>
    <row r="64" spans="5:6" ht="14.25" customHeight="1">
      <c r="E64" s="26"/>
      <c r="F64" s="26"/>
    </row>
    <row r="65" spans="5:6" ht="14.25" customHeight="1">
      <c r="E65" s="26"/>
      <c r="F65" s="26"/>
    </row>
    <row r="66" spans="5:6" ht="14.25" customHeight="1">
      <c r="E66" s="26"/>
      <c r="F66" s="26"/>
    </row>
    <row r="67" spans="5:6" ht="14.25" customHeight="1">
      <c r="E67" s="26"/>
      <c r="F67" s="26"/>
    </row>
    <row r="68" spans="5:6" ht="14.25" customHeight="1">
      <c r="E68" s="26"/>
      <c r="F68" s="26"/>
    </row>
    <row r="69" spans="5:6" ht="14.25" customHeight="1">
      <c r="E69" s="26"/>
      <c r="F69" s="26"/>
    </row>
    <row r="70" spans="5:6" ht="14.25" customHeight="1">
      <c r="E70" s="26"/>
      <c r="F70" s="26"/>
    </row>
    <row r="71" spans="5:6" ht="14.25" customHeight="1">
      <c r="E71" s="26"/>
      <c r="F71" s="26"/>
    </row>
    <row r="72" spans="5:6" ht="14.25" customHeight="1">
      <c r="E72" s="26"/>
      <c r="F72" s="26"/>
    </row>
    <row r="73" spans="5:6" ht="14.25" customHeight="1">
      <c r="E73" s="26"/>
      <c r="F73" s="26"/>
    </row>
    <row r="74" spans="5:6" ht="14.25" customHeight="1">
      <c r="E74" s="26"/>
      <c r="F74" s="26"/>
    </row>
    <row r="75" spans="5:6" ht="14.25" customHeight="1">
      <c r="E75" s="26"/>
      <c r="F75" s="26"/>
    </row>
    <row r="76" spans="5:6" ht="14.25" customHeight="1">
      <c r="E76" s="26"/>
      <c r="F76" s="26"/>
    </row>
    <row r="77" spans="5:6" ht="14.25" customHeight="1">
      <c r="E77" s="26"/>
      <c r="F77" s="26"/>
    </row>
    <row r="78" spans="5:6" ht="14.25" customHeight="1">
      <c r="E78" s="26"/>
      <c r="F78" s="26"/>
    </row>
    <row r="79" spans="5:6" ht="14.25" customHeight="1">
      <c r="E79" s="26"/>
      <c r="F79" s="26"/>
    </row>
    <row r="80" spans="5:6" ht="14.25" customHeight="1">
      <c r="E80" s="26"/>
      <c r="F80" s="26"/>
    </row>
    <row r="81" spans="5:6" ht="14.25" customHeight="1">
      <c r="E81" s="26"/>
      <c r="F81" s="26"/>
    </row>
    <row r="82" spans="5:6" ht="14.25" customHeight="1">
      <c r="E82" s="26"/>
      <c r="F82" s="26"/>
    </row>
    <row r="83" spans="5:6" ht="14.25" customHeight="1">
      <c r="E83" s="26"/>
      <c r="F83" s="26"/>
    </row>
    <row r="84" spans="5:6" ht="14.25" customHeight="1">
      <c r="E84" s="26"/>
      <c r="F84" s="26"/>
    </row>
    <row r="85" spans="5:6" ht="14.25" customHeight="1">
      <c r="E85" s="26"/>
      <c r="F85" s="26"/>
    </row>
    <row r="86" spans="5:6" ht="14.25" customHeight="1">
      <c r="E86" s="26"/>
      <c r="F86" s="26"/>
    </row>
    <row r="87" spans="5:6" ht="14.25" customHeight="1">
      <c r="E87" s="26"/>
      <c r="F87" s="26"/>
    </row>
    <row r="88" spans="5:6" ht="14.25" customHeight="1">
      <c r="E88" s="26"/>
      <c r="F88" s="26"/>
    </row>
    <row r="89" spans="5:6" ht="14.25" customHeight="1">
      <c r="E89" s="26"/>
      <c r="F89" s="26"/>
    </row>
    <row r="90" spans="5:6" ht="14.25" customHeight="1">
      <c r="E90" s="26"/>
      <c r="F90" s="26"/>
    </row>
    <row r="91" spans="5:6" ht="14.25" customHeight="1">
      <c r="E91" s="26"/>
      <c r="F91" s="26"/>
    </row>
    <row r="92" spans="5:6" ht="14.25" customHeight="1">
      <c r="E92" s="26"/>
      <c r="F92" s="26"/>
    </row>
    <row r="93" spans="5:6" ht="14.25" customHeight="1">
      <c r="E93" s="26"/>
      <c r="F93" s="26"/>
    </row>
    <row r="94" spans="5:6" ht="14.25" customHeight="1">
      <c r="E94" s="26"/>
      <c r="F94" s="26"/>
    </row>
    <row r="95" spans="5:6" ht="14.25" customHeight="1">
      <c r="E95" s="26"/>
      <c r="F95" s="26"/>
    </row>
    <row r="96" spans="5:6" ht="14.25" customHeight="1">
      <c r="E96" s="26"/>
      <c r="F96" s="26"/>
    </row>
    <row r="97" spans="5:6" ht="14.25" customHeight="1">
      <c r="E97" s="26"/>
      <c r="F97" s="26"/>
    </row>
    <row r="98" spans="5:6" ht="14.25" customHeight="1">
      <c r="E98" s="26"/>
      <c r="F98" s="26"/>
    </row>
    <row r="99" spans="5:6" ht="14.25" customHeight="1">
      <c r="E99" s="26"/>
      <c r="F99" s="26"/>
    </row>
    <row r="100" spans="5:6" ht="14.25" customHeight="1">
      <c r="E100" s="26"/>
      <c r="F100" s="26"/>
    </row>
    <row r="101" spans="5:6" ht="14.25" customHeight="1">
      <c r="E101" s="26"/>
      <c r="F101" s="26"/>
    </row>
    <row r="102" spans="5:6" ht="14.25" customHeight="1">
      <c r="E102" s="26"/>
      <c r="F102" s="26"/>
    </row>
    <row r="103" spans="5:6" ht="14.25" customHeight="1">
      <c r="E103" s="26"/>
      <c r="F103" s="26"/>
    </row>
    <row r="104" spans="5:6" ht="14.25" customHeight="1">
      <c r="E104" s="26"/>
      <c r="F104" s="26"/>
    </row>
    <row r="105" spans="5:6" ht="14.25" customHeight="1">
      <c r="E105" s="26"/>
      <c r="F105" s="26"/>
    </row>
    <row r="106" spans="5:6" ht="14.25" customHeight="1">
      <c r="E106" s="26"/>
      <c r="F106" s="26"/>
    </row>
    <row r="107" spans="5:6" ht="14.25" customHeight="1">
      <c r="E107" s="26"/>
      <c r="F107" s="26"/>
    </row>
    <row r="108" spans="5:6" ht="14.25" customHeight="1">
      <c r="E108" s="26"/>
      <c r="F108" s="26"/>
    </row>
    <row r="109" spans="5:6" ht="14.25" customHeight="1">
      <c r="E109" s="26"/>
      <c r="F109" s="26"/>
    </row>
    <row r="110" spans="5:6" ht="14.25" customHeight="1">
      <c r="E110" s="26"/>
      <c r="F110" s="26"/>
    </row>
    <row r="111" spans="5:6" ht="14.25" customHeight="1">
      <c r="E111" s="26"/>
      <c r="F111" s="26"/>
    </row>
    <row r="112" spans="5:6" ht="14.25" customHeight="1">
      <c r="E112" s="26"/>
      <c r="F112" s="26"/>
    </row>
    <row r="113" spans="5:6" ht="14.25" customHeight="1">
      <c r="E113" s="26"/>
      <c r="F113" s="26"/>
    </row>
    <row r="114" spans="5:6" ht="14.25" customHeight="1">
      <c r="E114" s="26"/>
      <c r="F114" s="26"/>
    </row>
    <row r="115" spans="5:6" ht="14.25" customHeight="1">
      <c r="E115" s="26"/>
      <c r="F115" s="26"/>
    </row>
    <row r="116" spans="5:6" ht="14.25" customHeight="1">
      <c r="E116" s="26"/>
      <c r="F116" s="26"/>
    </row>
    <row r="117" spans="5:6" ht="14.25" customHeight="1">
      <c r="E117" s="26"/>
      <c r="F117" s="26"/>
    </row>
    <row r="118" spans="5:6" ht="14.25" customHeight="1">
      <c r="E118" s="26"/>
      <c r="F118" s="26"/>
    </row>
    <row r="119" spans="5:6" ht="14.25" customHeight="1">
      <c r="E119" s="26"/>
      <c r="F119" s="26"/>
    </row>
    <row r="120" spans="5:6" ht="14.25" customHeight="1">
      <c r="E120" s="26"/>
      <c r="F120" s="26"/>
    </row>
    <row r="121" spans="5:6" ht="14.25" customHeight="1">
      <c r="E121" s="26"/>
      <c r="F121" s="26"/>
    </row>
    <row r="122" spans="5:6" ht="14.25" customHeight="1">
      <c r="E122" s="26"/>
      <c r="F122" s="26"/>
    </row>
    <row r="123" spans="5:6" ht="14.25" customHeight="1">
      <c r="E123" s="26"/>
      <c r="F123" s="26"/>
    </row>
    <row r="124" spans="5:6" ht="14.25" customHeight="1">
      <c r="E124" s="26"/>
      <c r="F124" s="26"/>
    </row>
    <row r="125" spans="5:6" ht="14.25" customHeight="1">
      <c r="E125" s="26"/>
      <c r="F125" s="26"/>
    </row>
    <row r="126" spans="5:6" ht="14.25" customHeight="1">
      <c r="E126" s="26"/>
      <c r="F126" s="26"/>
    </row>
    <row r="127" spans="5:6" ht="14.25" customHeight="1">
      <c r="E127" s="26"/>
      <c r="F127" s="26"/>
    </row>
    <row r="128" spans="5:6" ht="14.25" customHeight="1">
      <c r="E128" s="26"/>
      <c r="F128" s="26"/>
    </row>
    <row r="129" spans="5:6" ht="14.25" customHeight="1">
      <c r="E129" s="26"/>
      <c r="F129" s="26"/>
    </row>
    <row r="130" spans="5:6" ht="14.25" customHeight="1">
      <c r="E130" s="26"/>
      <c r="F130" s="26"/>
    </row>
    <row r="131" spans="5:6" ht="14.25" customHeight="1">
      <c r="E131" s="26"/>
      <c r="F131" s="26"/>
    </row>
    <row r="132" spans="5:6" ht="14.25" customHeight="1">
      <c r="E132" s="26"/>
      <c r="F132" s="26"/>
    </row>
    <row r="133" spans="5:6" ht="14.25" customHeight="1">
      <c r="E133" s="26"/>
      <c r="F133" s="26"/>
    </row>
    <row r="134" spans="5:6" ht="14.25" customHeight="1">
      <c r="E134" s="26"/>
      <c r="F134" s="26"/>
    </row>
    <row r="135" spans="5:6" ht="14.25" customHeight="1">
      <c r="E135" s="26"/>
      <c r="F135" s="26"/>
    </row>
    <row r="136" spans="5:6" ht="14.25" customHeight="1">
      <c r="E136" s="26"/>
      <c r="F136" s="26"/>
    </row>
    <row r="137" spans="5:6" ht="14.25" customHeight="1">
      <c r="E137" s="26"/>
      <c r="F137" s="26"/>
    </row>
    <row r="138" spans="5:6" ht="14.25" customHeight="1">
      <c r="E138" s="26"/>
      <c r="F138" s="26"/>
    </row>
    <row r="139" spans="5:6" ht="14.25" customHeight="1">
      <c r="E139" s="26"/>
      <c r="F139" s="26"/>
    </row>
    <row r="140" spans="5:6" ht="14.25" customHeight="1">
      <c r="E140" s="26"/>
      <c r="F140" s="26"/>
    </row>
    <row r="141" spans="5:6" ht="14.25" customHeight="1">
      <c r="E141" s="26"/>
      <c r="F141" s="26"/>
    </row>
    <row r="142" spans="5:6" ht="14.25" customHeight="1">
      <c r="E142" s="26"/>
      <c r="F142" s="26"/>
    </row>
    <row r="143" spans="5:6" ht="14.25" customHeight="1">
      <c r="E143" s="26"/>
      <c r="F143" s="26"/>
    </row>
    <row r="144" spans="5:6" ht="14.25" customHeight="1">
      <c r="E144" s="26"/>
      <c r="F144" s="26"/>
    </row>
    <row r="145" spans="5:6" ht="14.25" customHeight="1">
      <c r="E145" s="26"/>
      <c r="F145" s="26"/>
    </row>
    <row r="146" spans="5:6" ht="14.25" customHeight="1">
      <c r="E146" s="26"/>
      <c r="F146" s="26"/>
    </row>
    <row r="147" spans="5:6" ht="14.25" customHeight="1">
      <c r="E147" s="26"/>
      <c r="F147" s="26"/>
    </row>
    <row r="148" spans="5:6" ht="14.25" customHeight="1">
      <c r="E148" s="26"/>
      <c r="F148" s="26"/>
    </row>
    <row r="149" spans="5:6" ht="14.25" customHeight="1">
      <c r="E149" s="26"/>
      <c r="F149" s="26"/>
    </row>
    <row r="150" spans="5:6" ht="14.25" customHeight="1">
      <c r="E150" s="26"/>
      <c r="F150" s="26"/>
    </row>
    <row r="151" spans="5:6" ht="14.25" customHeight="1">
      <c r="E151" s="26"/>
      <c r="F151" s="26"/>
    </row>
    <row r="152" spans="5:6" ht="14.25" customHeight="1">
      <c r="E152" s="26"/>
      <c r="F152" s="26"/>
    </row>
    <row r="153" spans="5:6" ht="14.25" customHeight="1">
      <c r="E153" s="26"/>
      <c r="F153" s="26"/>
    </row>
    <row r="154" spans="5:6" ht="14.25" customHeight="1">
      <c r="E154" s="26"/>
      <c r="F154" s="26"/>
    </row>
    <row r="155" spans="5:6" ht="14.25" customHeight="1">
      <c r="E155" s="26"/>
      <c r="F155" s="26"/>
    </row>
    <row r="156" spans="5:6" ht="14.25" customHeight="1">
      <c r="E156" s="26"/>
      <c r="F156" s="26"/>
    </row>
    <row r="157" spans="5:6" ht="14.25" customHeight="1">
      <c r="E157" s="26"/>
      <c r="F157" s="26"/>
    </row>
    <row r="158" spans="5:6" ht="14.25" customHeight="1">
      <c r="E158" s="26"/>
      <c r="F158" s="26"/>
    </row>
    <row r="159" spans="5:6" ht="14.25" customHeight="1">
      <c r="E159" s="26"/>
      <c r="F159" s="26"/>
    </row>
    <row r="160" spans="5:6" ht="14.25" customHeight="1">
      <c r="E160" s="26"/>
      <c r="F160" s="26"/>
    </row>
    <row r="161" spans="5:6" ht="14.25" customHeight="1">
      <c r="E161" s="26"/>
      <c r="F161" s="26"/>
    </row>
    <row r="162" spans="5:6" ht="14.25" customHeight="1">
      <c r="E162" s="26"/>
      <c r="F162" s="26"/>
    </row>
    <row r="163" spans="5:6" ht="14.25" customHeight="1">
      <c r="E163" s="26"/>
      <c r="F163" s="26"/>
    </row>
    <row r="164" spans="5:6" ht="14.25" customHeight="1">
      <c r="E164" s="26"/>
      <c r="F164" s="26"/>
    </row>
    <row r="165" spans="5:6" ht="14.25" customHeight="1">
      <c r="E165" s="26"/>
      <c r="F165" s="26"/>
    </row>
    <row r="166" spans="5:6" ht="14.25" customHeight="1">
      <c r="E166" s="26"/>
      <c r="F166" s="26"/>
    </row>
    <row r="167" spans="5:6" ht="14.25" customHeight="1">
      <c r="E167" s="26"/>
      <c r="F167" s="26"/>
    </row>
    <row r="168" spans="5:6" ht="14.25" customHeight="1">
      <c r="E168" s="26"/>
      <c r="F168" s="26"/>
    </row>
    <row r="169" spans="5:6" ht="14.25" customHeight="1">
      <c r="E169" s="26"/>
      <c r="F169" s="26"/>
    </row>
    <row r="170" spans="5:6" ht="14.25" customHeight="1">
      <c r="E170" s="26"/>
      <c r="F170" s="26"/>
    </row>
    <row r="171" spans="5:6" ht="14.25" customHeight="1">
      <c r="E171" s="26"/>
      <c r="F171" s="26"/>
    </row>
    <row r="172" spans="5:6" ht="14.25" customHeight="1">
      <c r="E172" s="26"/>
      <c r="F172" s="26"/>
    </row>
    <row r="173" spans="5:6" ht="14.25" customHeight="1">
      <c r="E173" s="26"/>
      <c r="F173" s="26"/>
    </row>
    <row r="174" spans="5:6" ht="14.25" customHeight="1">
      <c r="E174" s="26"/>
      <c r="F174" s="26"/>
    </row>
    <row r="175" spans="5:6" ht="14.25" customHeight="1">
      <c r="E175" s="26"/>
      <c r="F175" s="26"/>
    </row>
    <row r="176" spans="5:6" ht="14.25" customHeight="1">
      <c r="E176" s="26"/>
      <c r="F176" s="26"/>
    </row>
    <row r="177" spans="5:6" ht="14.25" customHeight="1">
      <c r="E177" s="26"/>
      <c r="F177" s="26"/>
    </row>
    <row r="178" spans="5:6" ht="14.25" customHeight="1">
      <c r="E178" s="26"/>
      <c r="F178" s="26"/>
    </row>
    <row r="179" spans="5:6" ht="14.25" customHeight="1">
      <c r="E179" s="26"/>
      <c r="F179" s="26"/>
    </row>
    <row r="180" spans="5:6" ht="14.25" customHeight="1">
      <c r="E180" s="26"/>
      <c r="F180" s="26"/>
    </row>
    <row r="181" spans="5:6" ht="14.25" customHeight="1">
      <c r="E181" s="26"/>
      <c r="F181" s="26"/>
    </row>
    <row r="182" spans="5:6" ht="14.25" customHeight="1">
      <c r="E182" s="26"/>
      <c r="F182" s="26"/>
    </row>
    <row r="183" spans="5:6" ht="14.25" customHeight="1">
      <c r="E183" s="26"/>
      <c r="F183" s="26"/>
    </row>
    <row r="184" spans="5:6" ht="14.25" customHeight="1">
      <c r="E184" s="26"/>
      <c r="F184" s="26"/>
    </row>
    <row r="185" spans="5:6" ht="14.25" customHeight="1">
      <c r="E185" s="26"/>
      <c r="F185" s="26"/>
    </row>
    <row r="186" spans="5:6" ht="14.25" customHeight="1">
      <c r="E186" s="26"/>
      <c r="F186" s="26"/>
    </row>
    <row r="187" spans="5:6" ht="14.25" customHeight="1">
      <c r="E187" s="26"/>
      <c r="F187" s="26"/>
    </row>
    <row r="188" spans="5:6" ht="14.25" customHeight="1">
      <c r="E188" s="26"/>
      <c r="F188" s="26"/>
    </row>
    <row r="189" spans="5:6" ht="14.25" customHeight="1">
      <c r="E189" s="26"/>
      <c r="F189" s="26"/>
    </row>
    <row r="190" spans="5:6" ht="14.25" customHeight="1">
      <c r="E190" s="26"/>
      <c r="F190" s="26"/>
    </row>
    <row r="191" spans="5:6" ht="14.25" customHeight="1">
      <c r="E191" s="26"/>
      <c r="F191" s="26"/>
    </row>
    <row r="192" spans="5:6" ht="14.25" customHeight="1">
      <c r="E192" s="26"/>
      <c r="F192" s="26"/>
    </row>
    <row r="193" spans="5:6" ht="14.25" customHeight="1">
      <c r="E193" s="26"/>
      <c r="F193" s="26"/>
    </row>
    <row r="194" spans="5:6" ht="14.25" customHeight="1">
      <c r="E194" s="26"/>
      <c r="F194" s="26"/>
    </row>
    <row r="195" spans="5:6" ht="14.25" customHeight="1">
      <c r="E195" s="26"/>
      <c r="F195" s="26"/>
    </row>
    <row r="196" spans="5:6" ht="14.25" customHeight="1">
      <c r="E196" s="26"/>
      <c r="F196" s="26"/>
    </row>
    <row r="197" spans="5:6" ht="14.25" customHeight="1">
      <c r="E197" s="26"/>
      <c r="F197" s="26"/>
    </row>
    <row r="198" spans="5:6" ht="14.25" customHeight="1">
      <c r="E198" s="26"/>
      <c r="F198" s="26"/>
    </row>
    <row r="199" spans="5:6" ht="14.25" customHeight="1">
      <c r="E199" s="26"/>
      <c r="F199" s="26"/>
    </row>
    <row r="200" spans="5:6" ht="14.25" customHeight="1">
      <c r="E200" s="26"/>
      <c r="F200" s="26"/>
    </row>
    <row r="201" spans="5:6" ht="14.25" customHeight="1">
      <c r="E201" s="26"/>
      <c r="F201" s="26"/>
    </row>
    <row r="202" spans="5:6" ht="14.25" customHeight="1">
      <c r="E202" s="26"/>
      <c r="F202" s="26"/>
    </row>
    <row r="203" spans="5:6" ht="14.25" customHeight="1">
      <c r="E203" s="26"/>
      <c r="F203" s="26"/>
    </row>
    <row r="204" spans="5:6" ht="14.25" customHeight="1">
      <c r="E204" s="26"/>
      <c r="F204" s="26"/>
    </row>
    <row r="205" spans="5:6" ht="14.25" customHeight="1">
      <c r="E205" s="26"/>
      <c r="F205" s="26"/>
    </row>
    <row r="206" spans="5:6" ht="14.25" customHeight="1">
      <c r="E206" s="26"/>
      <c r="F206" s="26"/>
    </row>
    <row r="207" spans="5:6" ht="14.25" customHeight="1">
      <c r="E207" s="26"/>
      <c r="F207" s="26"/>
    </row>
    <row r="208" spans="5:6" ht="14.25" customHeight="1">
      <c r="E208" s="26"/>
      <c r="F208" s="26"/>
    </row>
    <row r="209" spans="5:6" ht="14.25" customHeight="1">
      <c r="E209" s="26"/>
      <c r="F209" s="26"/>
    </row>
    <row r="210" spans="5:6" ht="14.25" customHeight="1">
      <c r="E210" s="26"/>
      <c r="F210" s="26"/>
    </row>
    <row r="211" spans="5:6" ht="14.25" customHeight="1">
      <c r="E211" s="26"/>
      <c r="F211" s="26"/>
    </row>
    <row r="212" spans="5:6" ht="14.25" customHeight="1">
      <c r="E212" s="26"/>
      <c r="F212" s="26"/>
    </row>
    <row r="213" spans="5:6" ht="14.25" customHeight="1">
      <c r="E213" s="26"/>
      <c r="F213" s="26"/>
    </row>
    <row r="214" spans="5:6" ht="14.25" customHeight="1">
      <c r="E214" s="26"/>
      <c r="F214" s="26"/>
    </row>
    <row r="215" spans="5:6" ht="14.25" customHeight="1">
      <c r="E215" s="26"/>
      <c r="F215" s="26"/>
    </row>
    <row r="216" spans="5:6" ht="14.25" customHeight="1">
      <c r="E216" s="26"/>
      <c r="F216" s="26"/>
    </row>
    <row r="217" spans="5:6" ht="14.25" customHeight="1">
      <c r="E217" s="26"/>
      <c r="F217" s="26"/>
    </row>
    <row r="218" spans="5:6" ht="14.25" customHeight="1">
      <c r="E218" s="26"/>
      <c r="F218" s="26"/>
    </row>
    <row r="219" spans="5:6" ht="14.25" customHeight="1">
      <c r="E219" s="26"/>
      <c r="F219" s="26"/>
    </row>
    <row r="220" spans="5:6" ht="14.25" customHeight="1">
      <c r="E220" s="26"/>
      <c r="F220" s="26"/>
    </row>
    <row r="221" spans="5:6" ht="14.25" customHeight="1">
      <c r="E221" s="26"/>
      <c r="F221" s="26"/>
    </row>
    <row r="222" spans="5:6" ht="14.25" customHeight="1">
      <c r="E222" s="26"/>
      <c r="F222" s="26"/>
    </row>
    <row r="223" spans="5:6" ht="14.25" customHeight="1">
      <c r="E223" s="26"/>
      <c r="F223" s="26"/>
    </row>
    <row r="224" spans="5:6" ht="14.25" customHeight="1">
      <c r="E224" s="26"/>
      <c r="F224" s="26"/>
    </row>
    <row r="225" spans="5:6" ht="14.25" customHeight="1">
      <c r="E225" s="26"/>
      <c r="F225" s="26"/>
    </row>
    <row r="226" spans="5:6" ht="14.25" customHeight="1">
      <c r="E226" s="26"/>
      <c r="F226" s="26"/>
    </row>
    <row r="227" spans="5:6" ht="14.25" customHeight="1">
      <c r="E227" s="26"/>
      <c r="F227" s="26"/>
    </row>
    <row r="228" spans="5:6" ht="14.25" customHeight="1">
      <c r="E228" s="26"/>
      <c r="F228" s="26"/>
    </row>
    <row r="229" spans="5:6" ht="14.25" customHeight="1">
      <c r="E229" s="26"/>
      <c r="F229" s="26"/>
    </row>
    <row r="230" spans="5:6" ht="14.25" customHeight="1">
      <c r="E230" s="26"/>
      <c r="F230" s="26"/>
    </row>
    <row r="231" spans="5:6" ht="14.25" customHeight="1">
      <c r="E231" s="26"/>
      <c r="F231" s="26"/>
    </row>
    <row r="232" spans="5:6" ht="14.25" customHeight="1">
      <c r="E232" s="26"/>
      <c r="F232" s="26"/>
    </row>
    <row r="233" spans="5:6" ht="14.25" customHeight="1">
      <c r="E233" s="26"/>
      <c r="F233" s="26"/>
    </row>
    <row r="234" spans="5:6" ht="14.25" customHeight="1">
      <c r="E234" s="26"/>
      <c r="F234" s="26"/>
    </row>
    <row r="235" spans="5:6" ht="14.25" customHeight="1">
      <c r="E235" s="26"/>
      <c r="F235" s="26"/>
    </row>
    <row r="236" spans="5:6" ht="14.25" customHeight="1">
      <c r="E236" s="26"/>
      <c r="F236" s="26"/>
    </row>
    <row r="237" spans="5:6" ht="14.25" customHeight="1">
      <c r="E237" s="26"/>
      <c r="F237" s="26"/>
    </row>
    <row r="238" spans="5:6" ht="14.25" customHeight="1">
      <c r="E238" s="26"/>
      <c r="F238" s="26"/>
    </row>
    <row r="239" spans="5:6" ht="14.25" customHeight="1">
      <c r="E239" s="26"/>
      <c r="F239" s="26"/>
    </row>
    <row r="240" spans="5:6" ht="14.25" customHeight="1">
      <c r="E240" s="26"/>
      <c r="F240" s="26"/>
    </row>
    <row r="241" spans="5:6" ht="14.25" customHeight="1">
      <c r="E241" s="26"/>
      <c r="F241" s="26"/>
    </row>
    <row r="242" spans="5:6" ht="14.25" customHeight="1">
      <c r="E242" s="26"/>
      <c r="F242" s="26"/>
    </row>
    <row r="243" spans="5:6" ht="14.25" customHeight="1">
      <c r="E243" s="26"/>
      <c r="F243" s="26"/>
    </row>
    <row r="244" spans="5:6" ht="14.25" customHeight="1">
      <c r="E244" s="26"/>
      <c r="F244" s="26"/>
    </row>
    <row r="245" spans="5:6" ht="14.25" customHeight="1">
      <c r="E245" s="26"/>
      <c r="F245" s="26"/>
    </row>
    <row r="246" spans="5:6" ht="14.25" customHeight="1">
      <c r="E246" s="26"/>
      <c r="F246" s="26"/>
    </row>
    <row r="247" spans="5:6" ht="14.25" customHeight="1">
      <c r="E247" s="26"/>
      <c r="F247" s="26"/>
    </row>
    <row r="248" spans="5:6" ht="14.25" customHeight="1">
      <c r="E248" s="26"/>
      <c r="F248" s="26"/>
    </row>
    <row r="249" spans="5:6" ht="14.25" customHeight="1">
      <c r="E249" s="26"/>
      <c r="F249" s="26"/>
    </row>
    <row r="250" spans="5:6" ht="14.25" customHeight="1">
      <c r="E250" s="26"/>
      <c r="F250" s="26"/>
    </row>
    <row r="251" spans="5:6" ht="14.25" customHeight="1">
      <c r="E251" s="26"/>
      <c r="F251" s="26"/>
    </row>
    <row r="252" spans="5:6" ht="14.25" customHeight="1">
      <c r="E252" s="26"/>
      <c r="F252" s="26"/>
    </row>
    <row r="253" spans="5:6" ht="14.25" customHeight="1">
      <c r="E253" s="26"/>
      <c r="F253" s="26"/>
    </row>
    <row r="254" spans="5:6" ht="14.25" customHeight="1">
      <c r="E254" s="26"/>
      <c r="F254" s="26"/>
    </row>
    <row r="255" spans="5:6" ht="14.25" customHeight="1">
      <c r="E255" s="26"/>
      <c r="F255" s="26"/>
    </row>
    <row r="256" spans="5:6" ht="14.25" customHeight="1">
      <c r="E256" s="26"/>
      <c r="F256" s="26"/>
    </row>
    <row r="257" spans="5:6" ht="14.25" customHeight="1">
      <c r="E257" s="26"/>
      <c r="F257" s="26"/>
    </row>
    <row r="258" spans="5:6" ht="14.25" customHeight="1">
      <c r="E258" s="26"/>
      <c r="F258" s="26"/>
    </row>
    <row r="259" spans="5:6" ht="14.25" customHeight="1">
      <c r="E259" s="26"/>
      <c r="F259" s="26"/>
    </row>
    <row r="260" spans="5:6" ht="14.25" customHeight="1">
      <c r="E260" s="26"/>
      <c r="F260" s="26"/>
    </row>
    <row r="261" spans="5:6" ht="14.25" customHeight="1">
      <c r="E261" s="26"/>
      <c r="F261" s="26"/>
    </row>
    <row r="262" spans="5:6" ht="14.25" customHeight="1">
      <c r="E262" s="26"/>
      <c r="F262" s="26"/>
    </row>
    <row r="263" spans="5:6" ht="14.25" customHeight="1">
      <c r="E263" s="26"/>
      <c r="F263" s="26"/>
    </row>
    <row r="264" spans="5:6" ht="14.25" customHeight="1">
      <c r="E264" s="26"/>
      <c r="F264" s="26"/>
    </row>
    <row r="265" spans="5:6" ht="14.25" customHeight="1">
      <c r="E265" s="26"/>
      <c r="F265" s="26"/>
    </row>
    <row r="266" spans="5:6" ht="14.25" customHeight="1">
      <c r="E266" s="26"/>
      <c r="F266" s="26"/>
    </row>
    <row r="267" spans="5:6" ht="14.25" customHeight="1">
      <c r="E267" s="26"/>
      <c r="F267" s="26"/>
    </row>
    <row r="268" spans="5:6" ht="14.25" customHeight="1">
      <c r="E268" s="26"/>
      <c r="F268" s="26"/>
    </row>
    <row r="269" spans="5:6" ht="14.25" customHeight="1">
      <c r="E269" s="26"/>
      <c r="F269" s="26"/>
    </row>
    <row r="270" spans="5:6" ht="14.25" customHeight="1">
      <c r="E270" s="26"/>
      <c r="F270" s="26"/>
    </row>
    <row r="271" spans="5:6" ht="14.25" customHeight="1">
      <c r="E271" s="26"/>
      <c r="F271" s="26"/>
    </row>
    <row r="272" spans="5:6" ht="14.25" customHeight="1">
      <c r="E272" s="26"/>
      <c r="F272" s="26"/>
    </row>
    <row r="273" spans="5:6" ht="14.25" customHeight="1">
      <c r="E273" s="26"/>
      <c r="F273" s="26"/>
    </row>
    <row r="274" spans="5:6" ht="14.25" customHeight="1">
      <c r="E274" s="26"/>
      <c r="F274" s="26"/>
    </row>
    <row r="275" spans="5:6" ht="14.25" customHeight="1">
      <c r="E275" s="26"/>
      <c r="F275" s="26"/>
    </row>
    <row r="276" spans="5:6" ht="14.25" customHeight="1">
      <c r="E276" s="26"/>
      <c r="F276" s="26"/>
    </row>
    <row r="277" spans="5:6" ht="14.25" customHeight="1">
      <c r="E277" s="26"/>
      <c r="F277" s="26"/>
    </row>
    <row r="278" spans="5:6" ht="14.25" customHeight="1">
      <c r="E278" s="26"/>
      <c r="F278" s="26"/>
    </row>
    <row r="279" spans="5:6" ht="14.25" customHeight="1">
      <c r="E279" s="26"/>
      <c r="F279" s="26"/>
    </row>
    <row r="280" spans="5:6" ht="14.25" customHeight="1">
      <c r="E280" s="26"/>
      <c r="F280" s="26"/>
    </row>
    <row r="281" spans="5:6" ht="14.25" customHeight="1">
      <c r="E281" s="26"/>
      <c r="F281" s="26"/>
    </row>
    <row r="282" spans="5:6" ht="14.25" customHeight="1">
      <c r="E282" s="26"/>
      <c r="F282" s="26"/>
    </row>
    <row r="283" spans="5:6" ht="14.25" customHeight="1">
      <c r="E283" s="26"/>
      <c r="F283" s="26"/>
    </row>
    <row r="284" spans="5:6" ht="14.25" customHeight="1">
      <c r="E284" s="26"/>
      <c r="F284" s="26"/>
    </row>
    <row r="285" spans="5:6" ht="14.25" customHeight="1">
      <c r="E285" s="26"/>
      <c r="F285" s="26"/>
    </row>
    <row r="286" spans="5:6" ht="14.25" customHeight="1">
      <c r="E286" s="26"/>
      <c r="F286" s="26"/>
    </row>
    <row r="287" spans="5:6" ht="14.25" customHeight="1">
      <c r="E287" s="26"/>
      <c r="F287" s="26"/>
    </row>
    <row r="288" spans="5:6" ht="14.25" customHeight="1">
      <c r="E288" s="26"/>
      <c r="F288" s="26"/>
    </row>
    <row r="289" spans="5:6" ht="14.25" customHeight="1">
      <c r="E289" s="26"/>
      <c r="F289" s="26"/>
    </row>
    <row r="290" spans="5:6" ht="14.25" customHeight="1">
      <c r="E290" s="26"/>
      <c r="F290" s="26"/>
    </row>
    <row r="291" spans="5:6" ht="14.25" customHeight="1">
      <c r="E291" s="26"/>
      <c r="F291" s="26"/>
    </row>
    <row r="292" spans="5:6" ht="14.25" customHeight="1">
      <c r="E292" s="26"/>
      <c r="F292" s="26"/>
    </row>
    <row r="293" spans="5:6" ht="14.25" customHeight="1">
      <c r="E293" s="26"/>
      <c r="F293" s="26"/>
    </row>
    <row r="294" spans="5:6" ht="14.25" customHeight="1">
      <c r="E294" s="26"/>
      <c r="F294" s="26"/>
    </row>
    <row r="295" spans="5:6" ht="14.25" customHeight="1">
      <c r="E295" s="26"/>
      <c r="F295" s="26"/>
    </row>
    <row r="296" spans="5:6" ht="14.25" customHeight="1">
      <c r="E296" s="26"/>
      <c r="F296" s="26"/>
    </row>
    <row r="297" spans="5:6" ht="14.25" customHeight="1">
      <c r="E297" s="26"/>
      <c r="F297" s="26"/>
    </row>
    <row r="298" spans="5:6" ht="14.25" customHeight="1">
      <c r="E298" s="26"/>
      <c r="F298" s="26"/>
    </row>
    <row r="299" spans="5:6" ht="14.25" customHeight="1">
      <c r="E299" s="26"/>
      <c r="F299" s="26"/>
    </row>
    <row r="300" spans="5:6" ht="14.25" customHeight="1">
      <c r="E300" s="26"/>
      <c r="F300" s="26"/>
    </row>
    <row r="301" spans="5:6" ht="14.25" customHeight="1">
      <c r="E301" s="26"/>
      <c r="F301" s="26"/>
    </row>
    <row r="302" spans="5:6" ht="14.25" customHeight="1">
      <c r="E302" s="26"/>
      <c r="F302" s="26"/>
    </row>
    <row r="303" spans="5:6" ht="14.25" customHeight="1">
      <c r="E303" s="26"/>
      <c r="F303" s="26"/>
    </row>
    <row r="304" spans="5:6" ht="14.25" customHeight="1">
      <c r="E304" s="26"/>
      <c r="F304" s="26"/>
    </row>
    <row r="305" spans="5:6" ht="14.25" customHeight="1">
      <c r="E305" s="26"/>
      <c r="F305" s="26"/>
    </row>
    <row r="306" spans="5:6" ht="14.25" customHeight="1">
      <c r="E306" s="26"/>
      <c r="F306" s="26"/>
    </row>
    <row r="307" spans="5:6" ht="14.25" customHeight="1">
      <c r="E307" s="26"/>
      <c r="F307" s="26"/>
    </row>
    <row r="308" spans="5:6" ht="14.25" customHeight="1">
      <c r="E308" s="26"/>
      <c r="F308" s="26"/>
    </row>
    <row r="309" spans="5:6" ht="14.25" customHeight="1">
      <c r="E309" s="26"/>
      <c r="F309" s="26"/>
    </row>
    <row r="310" spans="5:6" ht="14.25" customHeight="1">
      <c r="E310" s="26"/>
      <c r="F310" s="26"/>
    </row>
    <row r="311" spans="5:6" ht="14.25" customHeight="1">
      <c r="E311" s="26"/>
      <c r="F311" s="26"/>
    </row>
    <row r="312" spans="5:6" ht="14.25" customHeight="1">
      <c r="E312" s="26"/>
      <c r="F312" s="26"/>
    </row>
    <row r="313" spans="5:6" ht="14.25" customHeight="1">
      <c r="E313" s="26"/>
      <c r="F313" s="26"/>
    </row>
    <row r="314" spans="5:6" ht="14.25" customHeight="1">
      <c r="E314" s="26"/>
      <c r="F314" s="26"/>
    </row>
    <row r="315" spans="5:6" ht="14.25" customHeight="1">
      <c r="E315" s="26"/>
      <c r="F315" s="26"/>
    </row>
    <row r="316" spans="5:6" ht="14.25" customHeight="1">
      <c r="E316" s="26"/>
      <c r="F316" s="26"/>
    </row>
    <row r="317" spans="5:6" ht="14.25" customHeight="1">
      <c r="E317" s="26"/>
      <c r="F317" s="26"/>
    </row>
    <row r="318" spans="5:6" ht="14.25" customHeight="1">
      <c r="E318" s="26"/>
      <c r="F318" s="26"/>
    </row>
    <row r="319" spans="5:6" ht="14.25" customHeight="1">
      <c r="E319" s="26"/>
      <c r="F319" s="26"/>
    </row>
    <row r="320" spans="5:6" ht="14.25" customHeight="1">
      <c r="E320" s="26"/>
      <c r="F320" s="26"/>
    </row>
    <row r="321" spans="5:6" ht="14.25" customHeight="1">
      <c r="E321" s="26"/>
      <c r="F321" s="26"/>
    </row>
    <row r="322" spans="5:6" ht="14.25" customHeight="1">
      <c r="E322" s="26"/>
      <c r="F322" s="26"/>
    </row>
    <row r="323" spans="5:6" ht="14.25" customHeight="1">
      <c r="E323" s="26"/>
      <c r="F323" s="26"/>
    </row>
    <row r="324" spans="5:6" ht="14.25" customHeight="1">
      <c r="E324" s="26"/>
      <c r="F324" s="26"/>
    </row>
    <row r="325" spans="5:6" ht="14.25" customHeight="1">
      <c r="E325" s="26"/>
      <c r="F325" s="26"/>
    </row>
    <row r="326" spans="5:6" ht="14.25" customHeight="1">
      <c r="E326" s="26"/>
      <c r="F326" s="26"/>
    </row>
    <row r="327" spans="5:6" ht="14.25" customHeight="1">
      <c r="E327" s="26"/>
      <c r="F327" s="26"/>
    </row>
    <row r="328" spans="5:6" ht="14.25" customHeight="1">
      <c r="E328" s="26"/>
      <c r="F328" s="26"/>
    </row>
    <row r="329" spans="5:6" ht="14.25" customHeight="1">
      <c r="E329" s="26"/>
      <c r="F329" s="26"/>
    </row>
    <row r="330" spans="5:6" ht="14.25" customHeight="1">
      <c r="E330" s="26"/>
      <c r="F330" s="26"/>
    </row>
    <row r="331" spans="5:6" ht="14.25" customHeight="1">
      <c r="E331" s="26"/>
      <c r="F331" s="26"/>
    </row>
    <row r="332" spans="5:6" ht="14.25" customHeight="1">
      <c r="E332" s="26"/>
      <c r="F332" s="26"/>
    </row>
    <row r="333" spans="5:6" ht="14.25" customHeight="1">
      <c r="E333" s="26"/>
      <c r="F333" s="26"/>
    </row>
    <row r="334" spans="5:6" ht="14.25" customHeight="1">
      <c r="E334" s="26"/>
      <c r="F334" s="26"/>
    </row>
    <row r="335" spans="5:6" ht="14.25" customHeight="1">
      <c r="E335" s="26"/>
      <c r="F335" s="26"/>
    </row>
    <row r="336" spans="5:6" ht="14.25" customHeight="1">
      <c r="E336" s="26"/>
      <c r="F336" s="26"/>
    </row>
    <row r="337" spans="5:6" ht="14.25" customHeight="1">
      <c r="E337" s="26"/>
      <c r="F337" s="26"/>
    </row>
    <row r="338" spans="5:6" ht="14.25" customHeight="1">
      <c r="E338" s="26"/>
      <c r="F338" s="26"/>
    </row>
    <row r="339" spans="5:6" ht="14.25" customHeight="1">
      <c r="E339" s="26"/>
      <c r="F339" s="26"/>
    </row>
    <row r="340" spans="5:6" ht="14.25" customHeight="1">
      <c r="E340" s="26"/>
      <c r="F340" s="26"/>
    </row>
    <row r="341" spans="5:6" ht="14.25" customHeight="1">
      <c r="E341" s="26"/>
      <c r="F341" s="26"/>
    </row>
    <row r="342" spans="5:6" ht="14.25" customHeight="1">
      <c r="E342" s="26"/>
      <c r="F342" s="26"/>
    </row>
    <row r="343" spans="5:6" ht="14.25" customHeight="1">
      <c r="E343" s="26"/>
      <c r="F343" s="26"/>
    </row>
    <row r="344" spans="5:6" ht="14.25" customHeight="1">
      <c r="E344" s="26"/>
      <c r="F344" s="26"/>
    </row>
    <row r="345" spans="5:6" ht="14.25" customHeight="1">
      <c r="E345" s="26"/>
      <c r="F345" s="26"/>
    </row>
    <row r="346" spans="5:6" ht="14.25" customHeight="1">
      <c r="E346" s="26"/>
      <c r="F346" s="26"/>
    </row>
    <row r="347" spans="5:6" ht="14.25" customHeight="1">
      <c r="E347" s="26"/>
      <c r="F347" s="26"/>
    </row>
    <row r="348" spans="5:6" ht="14.25" customHeight="1">
      <c r="E348" s="26"/>
      <c r="F348" s="26"/>
    </row>
    <row r="349" spans="5:6" ht="14.25" customHeight="1">
      <c r="E349" s="26"/>
      <c r="F349" s="26"/>
    </row>
    <row r="350" spans="5:6" ht="14.25" customHeight="1">
      <c r="E350" s="26"/>
      <c r="F350" s="26"/>
    </row>
    <row r="351" spans="5:6" ht="14.25" customHeight="1">
      <c r="E351" s="26"/>
      <c r="F351" s="26"/>
    </row>
    <row r="352" spans="5:6" ht="14.25" customHeight="1">
      <c r="E352" s="26"/>
      <c r="F352" s="26"/>
    </row>
    <row r="353" spans="5:6" ht="14.25" customHeight="1">
      <c r="E353" s="26"/>
      <c r="F353" s="26"/>
    </row>
    <row r="354" spans="5:6" ht="14.25" customHeight="1">
      <c r="E354" s="26"/>
      <c r="F354" s="26"/>
    </row>
    <row r="355" spans="5:6" ht="14.25" customHeight="1">
      <c r="E355" s="26"/>
      <c r="F355" s="26"/>
    </row>
    <row r="356" spans="5:6" ht="14.25" customHeight="1">
      <c r="E356" s="26"/>
      <c r="F356" s="26"/>
    </row>
    <row r="357" spans="5:6" ht="14.25" customHeight="1">
      <c r="E357" s="26"/>
      <c r="F357" s="26"/>
    </row>
    <row r="358" spans="5:6" ht="14.25" customHeight="1">
      <c r="E358" s="26"/>
      <c r="F358" s="26"/>
    </row>
    <row r="359" spans="5:6" ht="14.25" customHeight="1">
      <c r="E359" s="26"/>
      <c r="F359" s="26"/>
    </row>
    <row r="360" spans="5:6" ht="14.25" customHeight="1">
      <c r="E360" s="26"/>
      <c r="F360" s="26"/>
    </row>
    <row r="361" spans="5:6" ht="14.25" customHeight="1">
      <c r="E361" s="26"/>
      <c r="F361" s="26"/>
    </row>
    <row r="362" spans="5:6" ht="14.25" customHeight="1">
      <c r="E362" s="26"/>
      <c r="F362" s="26"/>
    </row>
    <row r="363" spans="5:6" ht="14.25" customHeight="1">
      <c r="E363" s="26"/>
      <c r="F363" s="26"/>
    </row>
    <row r="364" spans="5:6" ht="14.25" customHeight="1">
      <c r="E364" s="26"/>
      <c r="F364" s="26"/>
    </row>
    <row r="365" spans="5:6" ht="14.25" customHeight="1">
      <c r="E365" s="26"/>
      <c r="F365" s="26"/>
    </row>
    <row r="366" spans="5:6" ht="14.25" customHeight="1">
      <c r="E366" s="26"/>
      <c r="F366" s="26"/>
    </row>
    <row r="367" spans="5:6" ht="14.25" customHeight="1">
      <c r="E367" s="26"/>
      <c r="F367" s="26"/>
    </row>
    <row r="368" spans="5:6" ht="14.25" customHeight="1">
      <c r="E368" s="26"/>
      <c r="F368" s="26"/>
    </row>
    <row r="369" spans="5:6" ht="14.25" customHeight="1">
      <c r="E369" s="26"/>
      <c r="F369" s="26"/>
    </row>
    <row r="370" spans="5:6" ht="14.25" customHeight="1">
      <c r="E370" s="26"/>
      <c r="F370" s="26"/>
    </row>
    <row r="371" spans="5:6" ht="14.25" customHeight="1">
      <c r="E371" s="26"/>
      <c r="F371" s="26"/>
    </row>
    <row r="372" spans="5:6" ht="14.25" customHeight="1">
      <c r="E372" s="26"/>
      <c r="F372" s="26"/>
    </row>
    <row r="373" spans="5:6" ht="14.25" customHeight="1">
      <c r="E373" s="26"/>
      <c r="F373" s="26"/>
    </row>
    <row r="374" spans="5:6" ht="14.25" customHeight="1">
      <c r="E374" s="26"/>
      <c r="F374" s="26"/>
    </row>
    <row r="375" spans="5:6" ht="14.25" customHeight="1">
      <c r="E375" s="26"/>
      <c r="F375" s="26"/>
    </row>
    <row r="376" spans="5:6" ht="14.25" customHeight="1">
      <c r="E376" s="26"/>
      <c r="F376" s="26"/>
    </row>
    <row r="377" spans="5:6" ht="14.25" customHeight="1">
      <c r="E377" s="26"/>
      <c r="F377" s="26"/>
    </row>
    <row r="378" spans="5:6" ht="14.25" customHeight="1">
      <c r="E378" s="26"/>
      <c r="F378" s="26"/>
    </row>
    <row r="379" spans="5:6" ht="14.25" customHeight="1">
      <c r="E379" s="26"/>
      <c r="F379" s="26"/>
    </row>
    <row r="380" spans="5:6" ht="14.25" customHeight="1">
      <c r="E380" s="26"/>
      <c r="F380" s="26"/>
    </row>
    <row r="381" spans="5:6" ht="14.25" customHeight="1">
      <c r="E381" s="26"/>
      <c r="F381" s="26"/>
    </row>
    <row r="382" spans="5:6" ht="14.25" customHeight="1">
      <c r="E382" s="26"/>
      <c r="F382" s="26"/>
    </row>
    <row r="383" spans="5:6" ht="14.25" customHeight="1">
      <c r="E383" s="26"/>
      <c r="F383" s="26"/>
    </row>
    <row r="384" spans="5:6" ht="14.25" customHeight="1">
      <c r="E384" s="26"/>
      <c r="F384" s="26"/>
    </row>
    <row r="385" spans="5:6" ht="14.25" customHeight="1">
      <c r="E385" s="26"/>
      <c r="F385" s="26"/>
    </row>
    <row r="386" spans="5:6" ht="14.25" customHeight="1">
      <c r="E386" s="26"/>
      <c r="F386" s="26"/>
    </row>
    <row r="387" spans="5:6" ht="14.25" customHeight="1">
      <c r="E387" s="26"/>
      <c r="F387" s="26"/>
    </row>
    <row r="388" spans="5:6" ht="14.25" customHeight="1">
      <c r="E388" s="26"/>
      <c r="F388" s="26"/>
    </row>
    <row r="389" spans="5:6" ht="14.25" customHeight="1">
      <c r="E389" s="26"/>
      <c r="F389" s="26"/>
    </row>
    <row r="390" spans="5:6" ht="14.25" customHeight="1">
      <c r="E390" s="26"/>
      <c r="F390" s="26"/>
    </row>
    <row r="391" spans="5:6" ht="14.25" customHeight="1">
      <c r="E391" s="26"/>
      <c r="F391" s="26"/>
    </row>
    <row r="392" spans="5:6" ht="14.25" customHeight="1">
      <c r="E392" s="26"/>
      <c r="F392" s="26"/>
    </row>
    <row r="393" spans="5:6" ht="14.25" customHeight="1">
      <c r="E393" s="26"/>
      <c r="F393" s="26"/>
    </row>
    <row r="394" spans="5:6" ht="14.25" customHeight="1">
      <c r="E394" s="26"/>
      <c r="F394" s="26"/>
    </row>
    <row r="395" spans="5:6" ht="14.25" customHeight="1">
      <c r="E395" s="26"/>
      <c r="F395" s="26"/>
    </row>
    <row r="396" spans="5:6" ht="14.25" customHeight="1">
      <c r="E396" s="26"/>
      <c r="F396" s="26"/>
    </row>
    <row r="397" spans="5:6" ht="14.25" customHeight="1">
      <c r="E397" s="26"/>
      <c r="F397" s="26"/>
    </row>
    <row r="398" spans="5:6" ht="14.25" customHeight="1">
      <c r="E398" s="26"/>
      <c r="F398" s="26"/>
    </row>
    <row r="399" spans="5:6" ht="14.25" customHeight="1">
      <c r="E399" s="26"/>
      <c r="F399" s="26"/>
    </row>
    <row r="400" spans="5:6" ht="14.25" customHeight="1">
      <c r="E400" s="26"/>
      <c r="F400" s="26"/>
    </row>
    <row r="401" spans="5:6" ht="14.25" customHeight="1">
      <c r="E401" s="26"/>
      <c r="F401" s="26"/>
    </row>
    <row r="402" spans="5:6" ht="14.25" customHeight="1">
      <c r="E402" s="26"/>
      <c r="F402" s="26"/>
    </row>
    <row r="403" spans="5:6" ht="14.25" customHeight="1">
      <c r="E403" s="26"/>
      <c r="F403" s="26"/>
    </row>
    <row r="404" spans="5:6" ht="14.25" customHeight="1">
      <c r="E404" s="26"/>
      <c r="F404" s="26"/>
    </row>
    <row r="405" spans="5:6" ht="14.25" customHeight="1">
      <c r="E405" s="26"/>
      <c r="F405" s="26"/>
    </row>
    <row r="406" spans="5:6" ht="14.25" customHeight="1">
      <c r="E406" s="26"/>
      <c r="F406" s="26"/>
    </row>
    <row r="407" spans="5:6" ht="14.25" customHeight="1">
      <c r="E407" s="26"/>
      <c r="F407" s="26"/>
    </row>
    <row r="408" spans="5:6" ht="14.25" customHeight="1">
      <c r="E408" s="26"/>
      <c r="F408" s="26"/>
    </row>
    <row r="409" spans="5:6" ht="14.25" customHeight="1">
      <c r="E409" s="26"/>
      <c r="F409" s="26"/>
    </row>
    <row r="410" spans="5:6" ht="14.25" customHeight="1">
      <c r="E410" s="26"/>
      <c r="F410" s="26"/>
    </row>
    <row r="411" spans="5:6" ht="14.25" customHeight="1">
      <c r="E411" s="26"/>
      <c r="F411" s="26"/>
    </row>
    <row r="412" spans="5:6" ht="14.25" customHeight="1">
      <c r="E412" s="26"/>
      <c r="F412" s="26"/>
    </row>
    <row r="413" spans="5:6" ht="14.25" customHeight="1">
      <c r="E413" s="26"/>
      <c r="F413" s="26"/>
    </row>
    <row r="414" spans="5:6" ht="14.25" customHeight="1">
      <c r="E414" s="26"/>
      <c r="F414" s="26"/>
    </row>
    <row r="415" spans="5:6" ht="14.25" customHeight="1">
      <c r="E415" s="26"/>
      <c r="F415" s="26"/>
    </row>
    <row r="416" spans="5:6" ht="14.25" customHeight="1">
      <c r="E416" s="26"/>
      <c r="F416" s="26"/>
    </row>
    <row r="417" spans="5:6" ht="14.25" customHeight="1">
      <c r="E417" s="26"/>
      <c r="F417" s="26"/>
    </row>
    <row r="418" spans="5:6" ht="14.25" customHeight="1">
      <c r="E418" s="26"/>
      <c r="F418" s="26"/>
    </row>
    <row r="419" spans="5:6" ht="14.25" customHeight="1">
      <c r="E419" s="26"/>
      <c r="F419" s="26"/>
    </row>
    <row r="420" spans="5:6" ht="14.25" customHeight="1">
      <c r="E420" s="26"/>
      <c r="F420" s="26"/>
    </row>
    <row r="421" spans="5:6" ht="14.25" customHeight="1">
      <c r="E421" s="26"/>
      <c r="F421" s="26"/>
    </row>
    <row r="422" spans="5:6" ht="14.25" customHeight="1">
      <c r="E422" s="26"/>
      <c r="F422" s="26"/>
    </row>
    <row r="423" spans="5:6" ht="14.25" customHeight="1">
      <c r="E423" s="26"/>
      <c r="F423" s="26"/>
    </row>
    <row r="424" spans="5:6" ht="14.25" customHeight="1">
      <c r="E424" s="26"/>
      <c r="F424" s="26"/>
    </row>
    <row r="425" spans="5:6" ht="14.25" customHeight="1">
      <c r="E425" s="26"/>
      <c r="F425" s="26"/>
    </row>
    <row r="426" spans="5:6" ht="14.25" customHeight="1">
      <c r="E426" s="26"/>
      <c r="F426" s="26"/>
    </row>
    <row r="427" spans="5:6" ht="14.25" customHeight="1">
      <c r="E427" s="26"/>
      <c r="F427" s="26"/>
    </row>
    <row r="428" spans="5:6" ht="14.25" customHeight="1">
      <c r="E428" s="26"/>
      <c r="F428" s="26"/>
    </row>
    <row r="429" spans="5:6" ht="14.25" customHeight="1">
      <c r="E429" s="26"/>
      <c r="F429" s="26"/>
    </row>
    <row r="430" spans="5:6" ht="14.25" customHeight="1">
      <c r="E430" s="26"/>
      <c r="F430" s="26"/>
    </row>
    <row r="431" spans="5:6" ht="14.25" customHeight="1">
      <c r="E431" s="26"/>
      <c r="F431" s="26"/>
    </row>
    <row r="432" spans="5:6" ht="14.25" customHeight="1">
      <c r="E432" s="26"/>
      <c r="F432" s="26"/>
    </row>
    <row r="433" spans="5:6" ht="14.25" customHeight="1">
      <c r="E433" s="26"/>
      <c r="F433" s="26"/>
    </row>
    <row r="434" spans="5:6" ht="14.25" customHeight="1">
      <c r="E434" s="26"/>
      <c r="F434" s="26"/>
    </row>
    <row r="435" spans="5:6" ht="14.25" customHeight="1">
      <c r="E435" s="26"/>
      <c r="F435" s="26"/>
    </row>
    <row r="436" spans="5:6" ht="14.25" customHeight="1">
      <c r="E436" s="26"/>
      <c r="F436" s="26"/>
    </row>
    <row r="437" spans="5:6" ht="14.25" customHeight="1">
      <c r="E437" s="26"/>
      <c r="F437" s="26"/>
    </row>
    <row r="438" spans="5:6" ht="14.25" customHeight="1">
      <c r="E438" s="26"/>
      <c r="F438" s="26"/>
    </row>
    <row r="439" spans="5:6" ht="14.25" customHeight="1">
      <c r="E439" s="26"/>
      <c r="F439" s="26"/>
    </row>
    <row r="440" spans="5:6" ht="14.25" customHeight="1">
      <c r="E440" s="26"/>
      <c r="F440" s="26"/>
    </row>
    <row r="441" spans="5:6" ht="14.25" customHeight="1">
      <c r="E441" s="26"/>
      <c r="F441" s="26"/>
    </row>
    <row r="442" spans="5:6" ht="14.25" customHeight="1">
      <c r="E442" s="26"/>
      <c r="F442" s="26"/>
    </row>
    <row r="443" spans="5:6" ht="14.25" customHeight="1">
      <c r="E443" s="26"/>
      <c r="F443" s="26"/>
    </row>
    <row r="444" spans="5:6" ht="14.25" customHeight="1">
      <c r="E444" s="26"/>
      <c r="F444" s="26"/>
    </row>
    <row r="445" spans="5:6" ht="14.25" customHeight="1">
      <c r="E445" s="26"/>
      <c r="F445" s="26"/>
    </row>
    <row r="446" spans="5:6" ht="14.25" customHeight="1">
      <c r="E446" s="26"/>
      <c r="F446" s="26"/>
    </row>
    <row r="447" spans="5:6" ht="14.25" customHeight="1">
      <c r="E447" s="26"/>
      <c r="F447" s="26"/>
    </row>
    <row r="448" spans="5:6" ht="14.25" customHeight="1">
      <c r="E448" s="26"/>
      <c r="F448" s="26"/>
    </row>
    <row r="449" spans="5:6" ht="14.25" customHeight="1">
      <c r="E449" s="26"/>
      <c r="F449" s="26"/>
    </row>
    <row r="450" spans="5:6" ht="14.25" customHeight="1">
      <c r="E450" s="26"/>
      <c r="F450" s="26"/>
    </row>
    <row r="451" spans="5:6" ht="14.25" customHeight="1">
      <c r="E451" s="26"/>
      <c r="F451" s="26"/>
    </row>
    <row r="452" spans="5:6" ht="14.25" customHeight="1">
      <c r="E452" s="26"/>
      <c r="F452" s="26"/>
    </row>
    <row r="453" spans="5:6" ht="14.25" customHeight="1">
      <c r="E453" s="26"/>
      <c r="F453" s="26"/>
    </row>
    <row r="454" spans="5:6" ht="14.25" customHeight="1">
      <c r="E454" s="26"/>
      <c r="F454" s="26"/>
    </row>
    <row r="455" spans="5:6" ht="14.25" customHeight="1">
      <c r="E455" s="26"/>
      <c r="F455" s="26"/>
    </row>
    <row r="456" spans="5:6" ht="14.25" customHeight="1">
      <c r="E456" s="26"/>
      <c r="F456" s="26"/>
    </row>
    <row r="457" spans="5:6" ht="14.25" customHeight="1">
      <c r="E457" s="26"/>
      <c r="F457" s="26"/>
    </row>
    <row r="458" spans="5:6" ht="14.25" customHeight="1">
      <c r="E458" s="26"/>
      <c r="F458" s="26"/>
    </row>
    <row r="459" spans="5:6" ht="14.25" customHeight="1">
      <c r="E459" s="26"/>
      <c r="F459" s="26"/>
    </row>
    <row r="460" spans="5:6" ht="14.25" customHeight="1">
      <c r="E460" s="26"/>
      <c r="F460" s="26"/>
    </row>
    <row r="461" spans="5:6" ht="14.25" customHeight="1">
      <c r="E461" s="26"/>
      <c r="F461" s="26"/>
    </row>
    <row r="462" spans="5:6" ht="14.25" customHeight="1">
      <c r="E462" s="26"/>
      <c r="F462" s="26"/>
    </row>
    <row r="463" spans="5:6" ht="14.25" customHeight="1">
      <c r="E463" s="26"/>
      <c r="F463" s="26"/>
    </row>
    <row r="464" spans="5:6" ht="14.25" customHeight="1">
      <c r="E464" s="26"/>
      <c r="F464" s="26"/>
    </row>
    <row r="465" spans="5:6" ht="14.25" customHeight="1">
      <c r="E465" s="26"/>
      <c r="F465" s="26"/>
    </row>
    <row r="466" spans="5:6" ht="14.25" customHeight="1">
      <c r="E466" s="26"/>
      <c r="F466" s="26"/>
    </row>
    <row r="467" spans="5:6" ht="14.25" customHeight="1">
      <c r="E467" s="26"/>
      <c r="F467" s="26"/>
    </row>
    <row r="468" spans="5:6" ht="14.25" customHeight="1">
      <c r="E468" s="26"/>
      <c r="F468" s="26"/>
    </row>
    <row r="469" spans="5:6" ht="14.25" customHeight="1">
      <c r="E469" s="26"/>
      <c r="F469" s="26"/>
    </row>
    <row r="470" spans="5:6" ht="14.25" customHeight="1">
      <c r="E470" s="26"/>
      <c r="F470" s="26"/>
    </row>
    <row r="471" spans="5:6" ht="14.25" customHeight="1">
      <c r="E471" s="26"/>
      <c r="F471" s="26"/>
    </row>
    <row r="472" spans="5:6" ht="14.25" customHeight="1">
      <c r="E472" s="26"/>
      <c r="F472" s="26"/>
    </row>
    <row r="473" spans="5:6" ht="14.25" customHeight="1">
      <c r="E473" s="26"/>
      <c r="F473" s="26"/>
    </row>
    <row r="474" spans="5:6" ht="14.25" customHeight="1">
      <c r="E474" s="26"/>
      <c r="F474" s="26"/>
    </row>
    <row r="475" spans="5:6" ht="14.25" customHeight="1">
      <c r="E475" s="26"/>
      <c r="F475" s="26"/>
    </row>
    <row r="476" spans="5:6" ht="14.25" customHeight="1">
      <c r="E476" s="26"/>
      <c r="F476" s="26"/>
    </row>
    <row r="477" spans="5:6" ht="14.25" customHeight="1">
      <c r="E477" s="26"/>
      <c r="F477" s="26"/>
    </row>
    <row r="478" spans="5:6" ht="14.25" customHeight="1">
      <c r="E478" s="26"/>
      <c r="F478" s="26"/>
    </row>
    <row r="479" spans="5:6" ht="14.25" customHeight="1">
      <c r="E479" s="26"/>
      <c r="F479" s="26"/>
    </row>
    <row r="480" spans="5:6" ht="14.25" customHeight="1">
      <c r="E480" s="26"/>
      <c r="F480" s="26"/>
    </row>
    <row r="481" spans="5:6" ht="14.25" customHeight="1">
      <c r="E481" s="26"/>
      <c r="F481" s="26"/>
    </row>
    <row r="482" spans="5:6" ht="14.25" customHeight="1">
      <c r="E482" s="26"/>
      <c r="F482" s="26"/>
    </row>
    <row r="483" spans="5:6" ht="14.25" customHeight="1">
      <c r="E483" s="26"/>
      <c r="F483" s="26"/>
    </row>
    <row r="484" spans="5:6" ht="14.25" customHeight="1">
      <c r="E484" s="26"/>
      <c r="F484" s="26"/>
    </row>
    <row r="485" spans="5:6" ht="14.25" customHeight="1">
      <c r="E485" s="26"/>
      <c r="F485" s="26"/>
    </row>
    <row r="486" spans="5:6" ht="14.25" customHeight="1">
      <c r="E486" s="26"/>
      <c r="F486" s="26"/>
    </row>
    <row r="487" spans="5:6" ht="14.25" customHeight="1">
      <c r="E487" s="26"/>
      <c r="F487" s="26"/>
    </row>
    <row r="488" spans="5:6" ht="14.25" customHeight="1">
      <c r="E488" s="26"/>
      <c r="F488" s="26"/>
    </row>
    <row r="489" spans="5:6" ht="14.25" customHeight="1">
      <c r="E489" s="26"/>
      <c r="F489" s="26"/>
    </row>
    <row r="490" spans="5:6" ht="14.25" customHeight="1">
      <c r="E490" s="26"/>
      <c r="F490" s="26"/>
    </row>
    <row r="491" spans="5:6" ht="14.25" customHeight="1">
      <c r="E491" s="26"/>
      <c r="F491" s="26"/>
    </row>
    <row r="492" spans="5:6" ht="14.25" customHeight="1">
      <c r="E492" s="26"/>
      <c r="F492" s="26"/>
    </row>
    <row r="493" spans="5:6" ht="14.25" customHeight="1">
      <c r="E493" s="26"/>
      <c r="F493" s="26"/>
    </row>
    <row r="494" spans="5:6" ht="14.25" customHeight="1">
      <c r="E494" s="26"/>
      <c r="F494" s="26"/>
    </row>
    <row r="495" spans="5:6" ht="14.25" customHeight="1">
      <c r="E495" s="26"/>
      <c r="F495" s="26"/>
    </row>
    <row r="496" spans="5:6" ht="14.25" customHeight="1">
      <c r="E496" s="26"/>
      <c r="F496" s="26"/>
    </row>
    <row r="497" spans="5:6" ht="14.25" customHeight="1">
      <c r="E497" s="26"/>
      <c r="F497" s="26"/>
    </row>
    <row r="498" spans="5:6" ht="14.25" customHeight="1">
      <c r="E498" s="26"/>
      <c r="F498" s="26"/>
    </row>
    <row r="499" spans="5:6" ht="14.25" customHeight="1">
      <c r="E499" s="26"/>
      <c r="F499" s="26"/>
    </row>
    <row r="500" spans="5:6" ht="14.25" customHeight="1">
      <c r="E500" s="26"/>
      <c r="F500" s="26"/>
    </row>
    <row r="501" spans="5:6" ht="14.25" customHeight="1">
      <c r="E501" s="26"/>
      <c r="F501" s="26"/>
    </row>
    <row r="502" spans="5:6" ht="14.25" customHeight="1">
      <c r="E502" s="26"/>
      <c r="F502" s="26"/>
    </row>
    <row r="503" spans="5:6" ht="14.25" customHeight="1">
      <c r="E503" s="26"/>
      <c r="F503" s="26"/>
    </row>
    <row r="504" spans="5:6" ht="14.25" customHeight="1">
      <c r="E504" s="26"/>
      <c r="F504" s="26"/>
    </row>
    <row r="505" spans="5:6" ht="14.25" customHeight="1">
      <c r="E505" s="26"/>
      <c r="F505" s="26"/>
    </row>
    <row r="506" spans="5:6" ht="14.25" customHeight="1">
      <c r="E506" s="26"/>
      <c r="F506" s="26"/>
    </row>
    <row r="507" spans="5:6" ht="14.25" customHeight="1">
      <c r="E507" s="26"/>
      <c r="F507" s="26"/>
    </row>
    <row r="508" spans="5:6" ht="14.25" customHeight="1">
      <c r="E508" s="26"/>
      <c r="F508" s="26"/>
    </row>
    <row r="509" spans="5:6" ht="14.25" customHeight="1">
      <c r="E509" s="26"/>
      <c r="F509" s="26"/>
    </row>
    <row r="510" spans="5:6" ht="14.25" customHeight="1">
      <c r="E510" s="26"/>
      <c r="F510" s="26"/>
    </row>
    <row r="511" spans="5:6" ht="14.25" customHeight="1">
      <c r="E511" s="26"/>
      <c r="F511" s="26"/>
    </row>
    <row r="512" spans="5:6" ht="14.25" customHeight="1">
      <c r="E512" s="26"/>
      <c r="F512" s="26"/>
    </row>
    <row r="513" spans="5:6" ht="14.25" customHeight="1">
      <c r="E513" s="26"/>
      <c r="F513" s="26"/>
    </row>
    <row r="514" spans="5:6" ht="14.25" customHeight="1">
      <c r="E514" s="26"/>
      <c r="F514" s="26"/>
    </row>
    <row r="515" spans="5:6" ht="14.25" customHeight="1">
      <c r="E515" s="26"/>
      <c r="F515" s="26"/>
    </row>
    <row r="516" spans="5:6" ht="14.25" customHeight="1">
      <c r="E516" s="26"/>
      <c r="F516" s="26"/>
    </row>
    <row r="517" spans="5:6" ht="14.25" customHeight="1">
      <c r="E517" s="26"/>
      <c r="F517" s="26"/>
    </row>
    <row r="518" spans="5:6" ht="14.25" customHeight="1">
      <c r="E518" s="26"/>
      <c r="F518" s="26"/>
    </row>
    <row r="519" spans="5:6" ht="14.25" customHeight="1">
      <c r="E519" s="26"/>
      <c r="F519" s="26"/>
    </row>
    <row r="520" spans="5:6" ht="14.25" customHeight="1">
      <c r="E520" s="26"/>
      <c r="F520" s="26"/>
    </row>
    <row r="521" spans="5:6" ht="14.25" customHeight="1">
      <c r="E521" s="26"/>
      <c r="F521" s="26"/>
    </row>
    <row r="522" spans="5:6" ht="14.25" customHeight="1">
      <c r="E522" s="26"/>
      <c r="F522" s="26"/>
    </row>
    <row r="523" spans="5:6" ht="14.25" customHeight="1">
      <c r="E523" s="26"/>
      <c r="F523" s="26"/>
    </row>
    <row r="524" spans="5:6" ht="14.25" customHeight="1">
      <c r="E524" s="26"/>
      <c r="F524" s="26"/>
    </row>
    <row r="525" spans="5:6" ht="14.25" customHeight="1">
      <c r="E525" s="26"/>
      <c r="F525" s="26"/>
    </row>
    <row r="526" spans="5:6" ht="14.25" customHeight="1">
      <c r="E526" s="26"/>
      <c r="F526" s="26"/>
    </row>
    <row r="527" spans="5:6" ht="14.25" customHeight="1">
      <c r="E527" s="26"/>
      <c r="F527" s="26"/>
    </row>
    <row r="528" spans="5:6" ht="14.25" customHeight="1">
      <c r="E528" s="26"/>
      <c r="F528" s="26"/>
    </row>
    <row r="529" spans="5:6" ht="14.25" customHeight="1">
      <c r="E529" s="26"/>
      <c r="F529" s="26"/>
    </row>
    <row r="530" spans="5:6" ht="14.25" customHeight="1">
      <c r="E530" s="26"/>
      <c r="F530" s="26"/>
    </row>
    <row r="531" spans="5:6" ht="14.25" customHeight="1">
      <c r="E531" s="26"/>
      <c r="F531" s="26"/>
    </row>
    <row r="532" spans="5:6" ht="14.25" customHeight="1">
      <c r="E532" s="26"/>
      <c r="F532" s="26"/>
    </row>
    <row r="533" spans="5:6" ht="14.25" customHeight="1">
      <c r="E533" s="26"/>
      <c r="F533" s="26"/>
    </row>
    <row r="534" spans="5:6" ht="14.25" customHeight="1">
      <c r="E534" s="26"/>
      <c r="F534" s="26"/>
    </row>
    <row r="535" spans="5:6" ht="14.25" customHeight="1">
      <c r="E535" s="26"/>
      <c r="F535" s="26"/>
    </row>
    <row r="536" spans="5:6" ht="14.25" customHeight="1">
      <c r="E536" s="26"/>
      <c r="F536" s="26"/>
    </row>
    <row r="537" spans="5:6" ht="14.25" customHeight="1">
      <c r="E537" s="26"/>
      <c r="F537" s="26"/>
    </row>
    <row r="538" spans="5:6" ht="14.25" customHeight="1">
      <c r="E538" s="26"/>
      <c r="F538" s="26"/>
    </row>
    <row r="539" spans="5:6" ht="14.25" customHeight="1">
      <c r="E539" s="26"/>
      <c r="F539" s="26"/>
    </row>
    <row r="540" spans="5:6" ht="14.25" customHeight="1">
      <c r="E540" s="26"/>
      <c r="F540" s="26"/>
    </row>
    <row r="541" spans="5:6" ht="14.25" customHeight="1">
      <c r="E541" s="26"/>
      <c r="F541" s="26"/>
    </row>
    <row r="542" spans="5:6" ht="14.25" customHeight="1">
      <c r="E542" s="26"/>
      <c r="F542" s="26"/>
    </row>
    <row r="543" spans="5:6" ht="14.25" customHeight="1">
      <c r="E543" s="26"/>
      <c r="F543" s="26"/>
    </row>
    <row r="544" spans="5:6" ht="14.25" customHeight="1">
      <c r="E544" s="26"/>
      <c r="F544" s="26"/>
    </row>
    <row r="545" spans="5:6" ht="14.25" customHeight="1">
      <c r="E545" s="26"/>
      <c r="F545" s="26"/>
    </row>
    <row r="546" spans="5:6" ht="14.25" customHeight="1">
      <c r="E546" s="26"/>
      <c r="F546" s="26"/>
    </row>
    <row r="547" spans="5:6" ht="14.25" customHeight="1">
      <c r="E547" s="26"/>
      <c r="F547" s="26"/>
    </row>
    <row r="548" spans="5:6" ht="14.25" customHeight="1">
      <c r="E548" s="26"/>
      <c r="F548" s="26"/>
    </row>
    <row r="549" spans="5:6" ht="14.25" customHeight="1">
      <c r="E549" s="26"/>
      <c r="F549" s="26"/>
    </row>
    <row r="550" spans="5:6" ht="14.25" customHeight="1">
      <c r="E550" s="26"/>
      <c r="F550" s="26"/>
    </row>
    <row r="551" spans="5:6" ht="14.25" customHeight="1">
      <c r="E551" s="26"/>
      <c r="F551" s="26"/>
    </row>
    <row r="552" spans="5:6" ht="14.25" customHeight="1">
      <c r="E552" s="26"/>
      <c r="F552" s="26"/>
    </row>
    <row r="553" spans="5:6" ht="14.25" customHeight="1">
      <c r="E553" s="26"/>
      <c r="F553" s="26"/>
    </row>
    <row r="554" spans="5:6" ht="14.25" customHeight="1">
      <c r="E554" s="26"/>
      <c r="F554" s="26"/>
    </row>
    <row r="555" spans="5:6" ht="14.25" customHeight="1">
      <c r="E555" s="26"/>
      <c r="F555" s="26"/>
    </row>
    <row r="556" spans="5:6" ht="14.25" customHeight="1">
      <c r="E556" s="26"/>
      <c r="F556" s="26"/>
    </row>
    <row r="557" spans="5:6" ht="14.25" customHeight="1">
      <c r="E557" s="26"/>
      <c r="F557" s="26"/>
    </row>
    <row r="558" spans="5:6" ht="14.25" customHeight="1">
      <c r="E558" s="26"/>
      <c r="F558" s="26"/>
    </row>
    <row r="559" spans="5:6" ht="14.25" customHeight="1">
      <c r="E559" s="26"/>
      <c r="F559" s="26"/>
    </row>
    <row r="560" spans="5:6" ht="14.25" customHeight="1">
      <c r="E560" s="26"/>
      <c r="F560" s="26"/>
    </row>
    <row r="561" spans="5:6" ht="14.25" customHeight="1">
      <c r="E561" s="26"/>
      <c r="F561" s="26"/>
    </row>
    <row r="562" spans="5:6" ht="14.25" customHeight="1">
      <c r="E562" s="26"/>
      <c r="F562" s="26"/>
    </row>
    <row r="563" spans="5:6" ht="14.25" customHeight="1">
      <c r="E563" s="26"/>
      <c r="F563" s="26"/>
    </row>
    <row r="564" spans="5:6" ht="14.25" customHeight="1">
      <c r="E564" s="26"/>
      <c r="F564" s="26"/>
    </row>
    <row r="565" spans="5:6" ht="14.25" customHeight="1">
      <c r="E565" s="26"/>
      <c r="F565" s="26"/>
    </row>
    <row r="566" spans="5:6" ht="14.25" customHeight="1">
      <c r="E566" s="26"/>
      <c r="F566" s="26"/>
    </row>
    <row r="567" spans="5:6" ht="14.25" customHeight="1">
      <c r="E567" s="26"/>
      <c r="F567" s="26"/>
    </row>
    <row r="568" spans="5:6" ht="14.25" customHeight="1">
      <c r="E568" s="26"/>
      <c r="F568" s="26"/>
    </row>
    <row r="569" spans="5:6" ht="14.25" customHeight="1">
      <c r="E569" s="26"/>
      <c r="F569" s="26"/>
    </row>
    <row r="570" spans="5:6" ht="14.25" customHeight="1">
      <c r="E570" s="26"/>
      <c r="F570" s="26"/>
    </row>
    <row r="571" spans="5:6" ht="14.25" customHeight="1">
      <c r="E571" s="26"/>
      <c r="F571" s="26"/>
    </row>
    <row r="572" spans="5:6" ht="14.25" customHeight="1">
      <c r="E572" s="26"/>
      <c r="F572" s="26"/>
    </row>
    <row r="573" spans="5:6" ht="14.25" customHeight="1">
      <c r="E573" s="26"/>
      <c r="F573" s="26"/>
    </row>
    <row r="574" spans="5:6" ht="14.25" customHeight="1">
      <c r="E574" s="26"/>
      <c r="F574" s="26"/>
    </row>
    <row r="575" spans="5:6" ht="14.25" customHeight="1">
      <c r="E575" s="26"/>
      <c r="F575" s="26"/>
    </row>
    <row r="576" spans="5:6" ht="14.25" customHeight="1">
      <c r="E576" s="26"/>
      <c r="F576" s="26"/>
    </row>
    <row r="577" spans="5:6" ht="14.25" customHeight="1">
      <c r="E577" s="26"/>
      <c r="F577" s="26"/>
    </row>
    <row r="578" spans="5:6" ht="14.25" customHeight="1">
      <c r="E578" s="26"/>
      <c r="F578" s="26"/>
    </row>
    <row r="579" spans="5:6" ht="14.25" customHeight="1">
      <c r="E579" s="26"/>
      <c r="F579" s="26"/>
    </row>
    <row r="580" spans="5:6" ht="14.25" customHeight="1">
      <c r="E580" s="26"/>
      <c r="F580" s="26"/>
    </row>
    <row r="581" spans="5:6" ht="14.25" customHeight="1">
      <c r="E581" s="26"/>
      <c r="F581" s="26"/>
    </row>
    <row r="582" spans="5:6" ht="14.25" customHeight="1">
      <c r="E582" s="26"/>
      <c r="F582" s="26"/>
    </row>
    <row r="583" spans="5:6" ht="14.25" customHeight="1">
      <c r="E583" s="26"/>
      <c r="F583" s="26"/>
    </row>
    <row r="584" spans="5:6" ht="14.25" customHeight="1">
      <c r="E584" s="26"/>
      <c r="F584" s="26"/>
    </row>
    <row r="585" spans="5:6" ht="14.25" customHeight="1">
      <c r="E585" s="26"/>
      <c r="F585" s="26"/>
    </row>
    <row r="586" spans="5:6" ht="14.25" customHeight="1">
      <c r="E586" s="26"/>
      <c r="F586" s="26"/>
    </row>
    <row r="587" spans="5:6" ht="14.25" customHeight="1">
      <c r="E587" s="26"/>
      <c r="F587" s="26"/>
    </row>
    <row r="588" spans="5:6" ht="14.25" customHeight="1">
      <c r="E588" s="26"/>
      <c r="F588" s="26"/>
    </row>
    <row r="589" spans="5:6" ht="14.25" customHeight="1">
      <c r="E589" s="26"/>
      <c r="F589" s="26"/>
    </row>
    <row r="590" spans="5:6" ht="14.25" customHeight="1">
      <c r="E590" s="26"/>
      <c r="F590" s="26"/>
    </row>
    <row r="591" spans="5:6" ht="14.25" customHeight="1">
      <c r="E591" s="26"/>
      <c r="F591" s="26"/>
    </row>
    <row r="592" spans="5:6" ht="14.25" customHeight="1">
      <c r="E592" s="26"/>
      <c r="F592" s="26"/>
    </row>
    <row r="593" spans="5:6" ht="14.25" customHeight="1">
      <c r="E593" s="26"/>
      <c r="F593" s="26"/>
    </row>
    <row r="594" spans="5:6" ht="14.25" customHeight="1">
      <c r="E594" s="26"/>
      <c r="F594" s="26"/>
    </row>
    <row r="595" spans="5:6" ht="14.25" customHeight="1">
      <c r="E595" s="26"/>
      <c r="F595" s="26"/>
    </row>
    <row r="596" spans="5:6" ht="14.25" customHeight="1">
      <c r="E596" s="26"/>
      <c r="F596" s="26"/>
    </row>
    <row r="597" spans="5:6" ht="14.25" customHeight="1">
      <c r="E597" s="26"/>
      <c r="F597" s="26"/>
    </row>
    <row r="598" spans="5:6" ht="14.25" customHeight="1">
      <c r="E598" s="26"/>
      <c r="F598" s="26"/>
    </row>
    <row r="599" spans="5:6" ht="14.25" customHeight="1">
      <c r="E599" s="26"/>
      <c r="F599" s="26"/>
    </row>
    <row r="600" spans="5:6" ht="14.25" customHeight="1">
      <c r="E600" s="26"/>
      <c r="F600" s="26"/>
    </row>
    <row r="601" spans="5:6" ht="14.25" customHeight="1">
      <c r="E601" s="26"/>
      <c r="F601" s="26"/>
    </row>
    <row r="602" spans="5:6" ht="14.25" customHeight="1">
      <c r="E602" s="26"/>
      <c r="F602" s="26"/>
    </row>
    <row r="603" spans="5:6" ht="14.25" customHeight="1">
      <c r="E603" s="26"/>
      <c r="F603" s="26"/>
    </row>
    <row r="604" spans="5:6" ht="14.25" customHeight="1">
      <c r="E604" s="26"/>
      <c r="F604" s="26"/>
    </row>
    <row r="605" spans="5:6" ht="14.25" customHeight="1">
      <c r="E605" s="26"/>
      <c r="F605" s="26"/>
    </row>
    <row r="606" spans="5:6" ht="14.25" customHeight="1">
      <c r="E606" s="26"/>
      <c r="F606" s="26"/>
    </row>
    <row r="607" spans="5:6" ht="14.25" customHeight="1">
      <c r="E607" s="26"/>
      <c r="F607" s="26"/>
    </row>
    <row r="608" spans="5:6" ht="14.25" customHeight="1">
      <c r="E608" s="26"/>
      <c r="F608" s="26"/>
    </row>
    <row r="609" spans="5:6" ht="14.25" customHeight="1">
      <c r="E609" s="26"/>
      <c r="F609" s="26"/>
    </row>
    <row r="610" spans="5:6" ht="14.25" customHeight="1">
      <c r="E610" s="26"/>
      <c r="F610" s="26"/>
    </row>
    <row r="611" spans="5:6" ht="14.25" customHeight="1">
      <c r="E611" s="26"/>
      <c r="F611" s="26"/>
    </row>
    <row r="612" spans="5:6" ht="14.25" customHeight="1">
      <c r="E612" s="26"/>
      <c r="F612" s="26"/>
    </row>
    <row r="613" spans="5:6" ht="14.25" customHeight="1">
      <c r="E613" s="26"/>
      <c r="F613" s="26"/>
    </row>
    <row r="614" spans="5:6" ht="14.25" customHeight="1">
      <c r="E614" s="26"/>
      <c r="F614" s="26"/>
    </row>
    <row r="615" spans="5:6" ht="14.25" customHeight="1">
      <c r="E615" s="26"/>
      <c r="F615" s="26"/>
    </row>
    <row r="616" spans="5:6" ht="14.25" customHeight="1">
      <c r="E616" s="26"/>
      <c r="F616" s="26"/>
    </row>
    <row r="617" spans="5:6" ht="14.25" customHeight="1">
      <c r="E617" s="26"/>
      <c r="F617" s="26"/>
    </row>
    <row r="618" spans="5:6" ht="14.25" customHeight="1">
      <c r="E618" s="26"/>
      <c r="F618" s="26"/>
    </row>
    <row r="619" spans="5:6" ht="14.25" customHeight="1">
      <c r="E619" s="26"/>
      <c r="F619" s="26"/>
    </row>
    <row r="620" spans="5:6" ht="14.25" customHeight="1">
      <c r="E620" s="26"/>
      <c r="F620" s="26"/>
    </row>
    <row r="621" spans="5:6" ht="14.25" customHeight="1">
      <c r="E621" s="26"/>
      <c r="F621" s="26"/>
    </row>
    <row r="622" spans="5:6" ht="14.25" customHeight="1">
      <c r="E622" s="26"/>
      <c r="F622" s="26"/>
    </row>
    <row r="623" spans="5:6" ht="14.25" customHeight="1">
      <c r="E623" s="26"/>
      <c r="F623" s="26"/>
    </row>
    <row r="624" spans="5:6" ht="14.25" customHeight="1">
      <c r="E624" s="26"/>
      <c r="F624" s="26"/>
    </row>
    <row r="625" spans="5:6" ht="14.25" customHeight="1">
      <c r="E625" s="26"/>
      <c r="F625" s="26"/>
    </row>
    <row r="626" spans="5:6" ht="14.25" customHeight="1">
      <c r="E626" s="26"/>
      <c r="F626" s="26"/>
    </row>
    <row r="627" spans="5:6" ht="14.25" customHeight="1">
      <c r="E627" s="26"/>
      <c r="F627" s="26"/>
    </row>
    <row r="628" spans="5:6" ht="14.25" customHeight="1">
      <c r="E628" s="26"/>
      <c r="F628" s="26"/>
    </row>
    <row r="629" spans="5:6" ht="14.25" customHeight="1">
      <c r="E629" s="26"/>
      <c r="F629" s="26"/>
    </row>
    <row r="630" spans="5:6" ht="14.25" customHeight="1">
      <c r="E630" s="26"/>
      <c r="F630" s="26"/>
    </row>
    <row r="631" spans="5:6" ht="14.25" customHeight="1">
      <c r="E631" s="26"/>
      <c r="F631" s="26"/>
    </row>
    <row r="632" spans="5:6" ht="14.25" customHeight="1">
      <c r="E632" s="26"/>
      <c r="F632" s="26"/>
    </row>
    <row r="633" spans="5:6" ht="14.25" customHeight="1">
      <c r="E633" s="26"/>
      <c r="F633" s="26"/>
    </row>
    <row r="634" spans="5:6" ht="14.25" customHeight="1">
      <c r="E634" s="26"/>
      <c r="F634" s="26"/>
    </row>
    <row r="635" spans="5:6" ht="14.25" customHeight="1">
      <c r="E635" s="26"/>
      <c r="F635" s="26"/>
    </row>
    <row r="636" spans="5:6" ht="14.25" customHeight="1">
      <c r="E636" s="26"/>
      <c r="F636" s="26"/>
    </row>
    <row r="637" spans="5:6" ht="14.25" customHeight="1">
      <c r="E637" s="26"/>
      <c r="F637" s="26"/>
    </row>
    <row r="638" spans="5:6" ht="14.25" customHeight="1">
      <c r="E638" s="26"/>
      <c r="F638" s="26"/>
    </row>
    <row r="639" spans="5:6" ht="14.25" customHeight="1">
      <c r="E639" s="26"/>
      <c r="F639" s="26"/>
    </row>
    <row r="640" spans="5:6" ht="14.25" customHeight="1">
      <c r="E640" s="26"/>
      <c r="F640" s="26"/>
    </row>
    <row r="641" spans="5:6" ht="14.25" customHeight="1">
      <c r="E641" s="26"/>
      <c r="F641" s="26"/>
    </row>
    <row r="642" spans="5:6" ht="14.25" customHeight="1">
      <c r="E642" s="26"/>
      <c r="F642" s="26"/>
    </row>
    <row r="643" spans="5:6" ht="14.25" customHeight="1">
      <c r="E643" s="26"/>
      <c r="F643" s="26"/>
    </row>
    <row r="644" spans="5:6" ht="14.25" customHeight="1">
      <c r="E644" s="26"/>
      <c r="F644" s="26"/>
    </row>
    <row r="645" spans="5:6" ht="14.25" customHeight="1">
      <c r="E645" s="26"/>
      <c r="F645" s="26"/>
    </row>
    <row r="646" spans="5:6" ht="14.25" customHeight="1">
      <c r="E646" s="26"/>
      <c r="F646" s="26"/>
    </row>
    <row r="647" spans="5:6" ht="14.25" customHeight="1">
      <c r="E647" s="26"/>
      <c r="F647" s="26"/>
    </row>
    <row r="648" spans="5:6" ht="14.25" customHeight="1">
      <c r="E648" s="26"/>
      <c r="F648" s="26"/>
    </row>
    <row r="649" spans="5:6" ht="14.25" customHeight="1">
      <c r="E649" s="26"/>
      <c r="F649" s="26"/>
    </row>
    <row r="650" spans="5:6" ht="14.25" customHeight="1">
      <c r="E650" s="26"/>
      <c r="F650" s="26"/>
    </row>
    <row r="651" spans="5:6" ht="14.25" customHeight="1">
      <c r="E651" s="26"/>
      <c r="F651" s="26"/>
    </row>
    <row r="652" spans="5:6" ht="14.25" customHeight="1">
      <c r="E652" s="26"/>
      <c r="F652" s="26"/>
    </row>
    <row r="653" spans="5:6" ht="14.25" customHeight="1">
      <c r="E653" s="26"/>
      <c r="F653" s="26"/>
    </row>
    <row r="654" spans="5:6" ht="14.25" customHeight="1">
      <c r="E654" s="26"/>
      <c r="F654" s="26"/>
    </row>
    <row r="655" spans="5:6" ht="14.25" customHeight="1">
      <c r="E655" s="26"/>
      <c r="F655" s="26"/>
    </row>
    <row r="656" spans="5:6" ht="14.25" customHeight="1">
      <c r="E656" s="26"/>
      <c r="F656" s="26"/>
    </row>
    <row r="657" spans="5:6" ht="14.25" customHeight="1">
      <c r="E657" s="26"/>
      <c r="F657" s="26"/>
    </row>
    <row r="658" spans="5:6" ht="14.25" customHeight="1">
      <c r="E658" s="26"/>
      <c r="F658" s="26"/>
    </row>
    <row r="659" spans="5:6" ht="14.25" customHeight="1">
      <c r="E659" s="26"/>
      <c r="F659" s="26"/>
    </row>
    <row r="660" spans="5:6" ht="14.25" customHeight="1">
      <c r="E660" s="26"/>
      <c r="F660" s="26"/>
    </row>
    <row r="661" spans="5:6" ht="14.25" customHeight="1">
      <c r="E661" s="26"/>
      <c r="F661" s="26"/>
    </row>
    <row r="662" spans="5:6" ht="14.25" customHeight="1">
      <c r="E662" s="26"/>
      <c r="F662" s="26"/>
    </row>
    <row r="663" spans="5:6" ht="14.25" customHeight="1">
      <c r="E663" s="26"/>
      <c r="F663" s="26"/>
    </row>
    <row r="664" spans="5:6" ht="14.25" customHeight="1">
      <c r="E664" s="26"/>
      <c r="F664" s="26"/>
    </row>
    <row r="665" spans="5:6" ht="14.25" customHeight="1">
      <c r="E665" s="26"/>
      <c r="F665" s="26"/>
    </row>
    <row r="666" spans="5:6" ht="14.25" customHeight="1">
      <c r="E666" s="26"/>
      <c r="F666" s="26"/>
    </row>
    <row r="667" spans="5:6" ht="14.25" customHeight="1">
      <c r="E667" s="26"/>
      <c r="F667" s="26"/>
    </row>
    <row r="668" spans="5:6" ht="14.25" customHeight="1">
      <c r="E668" s="26"/>
      <c r="F668" s="26"/>
    </row>
    <row r="669" spans="5:6" ht="14.25" customHeight="1">
      <c r="E669" s="26"/>
      <c r="F669" s="26"/>
    </row>
    <row r="670" spans="5:6" ht="14.25" customHeight="1">
      <c r="E670" s="26"/>
      <c r="F670" s="26"/>
    </row>
    <row r="671" spans="5:6" ht="14.25" customHeight="1">
      <c r="E671" s="26"/>
      <c r="F671" s="26"/>
    </row>
    <row r="672" spans="5:6" ht="14.25" customHeight="1">
      <c r="E672" s="26"/>
      <c r="F672" s="26"/>
    </row>
    <row r="673" spans="5:6" ht="14.25" customHeight="1">
      <c r="E673" s="26"/>
      <c r="F673" s="26"/>
    </row>
    <row r="674" spans="5:6" ht="14.25" customHeight="1">
      <c r="E674" s="26"/>
      <c r="F674" s="26"/>
    </row>
    <row r="675" spans="5:6" ht="14.25" customHeight="1">
      <c r="E675" s="26"/>
      <c r="F675" s="26"/>
    </row>
    <row r="676" spans="5:6" ht="14.25" customHeight="1">
      <c r="E676" s="26"/>
      <c r="F676" s="26"/>
    </row>
    <row r="677" spans="5:6" ht="14.25" customHeight="1">
      <c r="E677" s="26"/>
      <c r="F677" s="26"/>
    </row>
    <row r="678" spans="5:6" ht="14.25" customHeight="1">
      <c r="E678" s="26"/>
      <c r="F678" s="26"/>
    </row>
    <row r="679" spans="5:6" ht="14.25" customHeight="1">
      <c r="E679" s="26"/>
      <c r="F679" s="26"/>
    </row>
    <row r="680" spans="5:6" ht="14.25" customHeight="1">
      <c r="E680" s="26"/>
      <c r="F680" s="26"/>
    </row>
    <row r="681" spans="5:6" ht="14.25" customHeight="1">
      <c r="E681" s="26"/>
      <c r="F681" s="26"/>
    </row>
    <row r="682" spans="5:6" ht="14.25" customHeight="1">
      <c r="E682" s="26"/>
      <c r="F682" s="26"/>
    </row>
    <row r="683" spans="5:6" ht="14.25" customHeight="1">
      <c r="E683" s="26"/>
      <c r="F683" s="26"/>
    </row>
    <row r="684" spans="5:6" ht="14.25" customHeight="1">
      <c r="E684" s="26"/>
      <c r="F684" s="26"/>
    </row>
    <row r="685" spans="5:6" ht="14.25" customHeight="1">
      <c r="E685" s="26"/>
      <c r="F685" s="26"/>
    </row>
    <row r="686" spans="5:6" ht="14.25" customHeight="1">
      <c r="E686" s="26"/>
      <c r="F686" s="26"/>
    </row>
    <row r="687" spans="5:6" ht="14.25" customHeight="1">
      <c r="E687" s="26"/>
      <c r="F687" s="26"/>
    </row>
    <row r="688" spans="5:6" ht="14.25" customHeight="1">
      <c r="E688" s="26"/>
      <c r="F688" s="26"/>
    </row>
    <row r="689" spans="5:6" ht="14.25" customHeight="1">
      <c r="E689" s="26"/>
      <c r="F689" s="26"/>
    </row>
    <row r="690" spans="5:6" ht="14.25" customHeight="1">
      <c r="E690" s="26"/>
      <c r="F690" s="26"/>
    </row>
    <row r="691" spans="5:6" ht="14.25" customHeight="1">
      <c r="E691" s="26"/>
      <c r="F691" s="26"/>
    </row>
    <row r="692" spans="5:6" ht="14.25" customHeight="1">
      <c r="E692" s="26"/>
      <c r="F692" s="26"/>
    </row>
    <row r="693" spans="5:6" ht="14.25" customHeight="1">
      <c r="E693" s="26"/>
      <c r="F693" s="26"/>
    </row>
    <row r="694" spans="5:6" ht="14.25" customHeight="1">
      <c r="E694" s="26"/>
      <c r="F694" s="26"/>
    </row>
    <row r="695" spans="5:6" ht="14.25" customHeight="1">
      <c r="E695" s="26"/>
      <c r="F695" s="26"/>
    </row>
    <row r="696" spans="5:6" ht="14.25" customHeight="1">
      <c r="E696" s="26"/>
      <c r="F696" s="26"/>
    </row>
    <row r="697" spans="5:6" ht="14.25" customHeight="1">
      <c r="E697" s="26"/>
      <c r="F697" s="26"/>
    </row>
    <row r="698" spans="5:6" ht="14.25" customHeight="1">
      <c r="E698" s="26"/>
      <c r="F698" s="26"/>
    </row>
    <row r="699" spans="5:6" ht="14.25" customHeight="1">
      <c r="E699" s="26"/>
      <c r="F699" s="26"/>
    </row>
    <row r="700" spans="5:6" ht="14.25" customHeight="1">
      <c r="E700" s="26"/>
      <c r="F700" s="26"/>
    </row>
    <row r="701" spans="5:6" ht="14.25" customHeight="1">
      <c r="E701" s="26"/>
      <c r="F701" s="26"/>
    </row>
    <row r="702" spans="5:6" ht="14.25" customHeight="1">
      <c r="E702" s="26"/>
      <c r="F702" s="26"/>
    </row>
    <row r="703" spans="5:6" ht="14.25" customHeight="1">
      <c r="E703" s="26"/>
      <c r="F703" s="26"/>
    </row>
    <row r="704" spans="5:6" ht="14.25" customHeight="1">
      <c r="E704" s="26"/>
      <c r="F704" s="26"/>
    </row>
    <row r="705" spans="5:6" ht="14.25" customHeight="1">
      <c r="E705" s="26"/>
      <c r="F705" s="26"/>
    </row>
    <row r="706" spans="5:6" ht="14.25" customHeight="1">
      <c r="E706" s="26"/>
      <c r="F706" s="26"/>
    </row>
    <row r="707" spans="5:6" ht="14.25" customHeight="1">
      <c r="E707" s="26"/>
      <c r="F707" s="26"/>
    </row>
    <row r="708" spans="5:6" ht="14.25" customHeight="1">
      <c r="E708" s="26"/>
      <c r="F708" s="26"/>
    </row>
    <row r="709" spans="5:6" ht="14.25" customHeight="1">
      <c r="E709" s="26"/>
      <c r="F709" s="26"/>
    </row>
    <row r="710" spans="5:6" ht="14.25" customHeight="1">
      <c r="E710" s="26"/>
      <c r="F710" s="26"/>
    </row>
    <row r="711" spans="5:6" ht="14.25" customHeight="1">
      <c r="E711" s="26"/>
      <c r="F711" s="26"/>
    </row>
    <row r="712" spans="5:6" ht="14.25" customHeight="1">
      <c r="E712" s="26"/>
      <c r="F712" s="26"/>
    </row>
    <row r="713" spans="5:6" ht="14.25" customHeight="1">
      <c r="E713" s="26"/>
      <c r="F713" s="26"/>
    </row>
    <row r="714" spans="5:6" ht="14.25" customHeight="1">
      <c r="E714" s="26"/>
      <c r="F714" s="26"/>
    </row>
    <row r="715" spans="5:6" ht="14.25" customHeight="1">
      <c r="E715" s="26"/>
      <c r="F715" s="26"/>
    </row>
    <row r="716" spans="5:6" ht="14.25" customHeight="1">
      <c r="E716" s="26"/>
      <c r="F716" s="26"/>
    </row>
    <row r="717" spans="5:6" ht="14.25" customHeight="1">
      <c r="E717" s="26"/>
      <c r="F717" s="26"/>
    </row>
    <row r="718" spans="5:6" ht="14.25" customHeight="1">
      <c r="E718" s="26"/>
      <c r="F718" s="26"/>
    </row>
    <row r="719" spans="5:6" ht="14.25" customHeight="1">
      <c r="E719" s="26"/>
      <c r="F719" s="26"/>
    </row>
    <row r="720" spans="5:6" ht="14.25" customHeight="1">
      <c r="E720" s="26"/>
      <c r="F720" s="26"/>
    </row>
    <row r="721" spans="5:6" ht="14.25" customHeight="1">
      <c r="E721" s="26"/>
      <c r="F721" s="26"/>
    </row>
    <row r="722" spans="5:6" ht="14.25" customHeight="1">
      <c r="E722" s="26"/>
      <c r="F722" s="26"/>
    </row>
    <row r="723" spans="5:6" ht="14.25" customHeight="1">
      <c r="E723" s="26"/>
      <c r="F723" s="26"/>
    </row>
    <row r="724" spans="5:6" ht="14.25" customHeight="1">
      <c r="E724" s="26"/>
      <c r="F724" s="26"/>
    </row>
    <row r="725" spans="5:6" ht="14.25" customHeight="1">
      <c r="E725" s="26"/>
      <c r="F725" s="26"/>
    </row>
    <row r="726" spans="5:6" ht="14.25" customHeight="1">
      <c r="E726" s="26"/>
      <c r="F726" s="26"/>
    </row>
    <row r="727" spans="5:6" ht="14.25" customHeight="1">
      <c r="E727" s="26"/>
      <c r="F727" s="26"/>
    </row>
    <row r="728" spans="5:6" ht="14.25" customHeight="1">
      <c r="E728" s="26"/>
      <c r="F728" s="26"/>
    </row>
    <row r="729" spans="5:6" ht="14.25" customHeight="1">
      <c r="E729" s="26"/>
      <c r="F729" s="26"/>
    </row>
    <row r="730" spans="5:6" ht="14.25" customHeight="1">
      <c r="E730" s="26"/>
      <c r="F730" s="26"/>
    </row>
    <row r="731" spans="5:6" ht="14.25" customHeight="1">
      <c r="E731" s="26"/>
      <c r="F731" s="26"/>
    </row>
    <row r="732" spans="5:6" ht="14.25" customHeight="1">
      <c r="E732" s="26"/>
      <c r="F732" s="26"/>
    </row>
    <row r="733" spans="5:6" ht="14.25" customHeight="1">
      <c r="E733" s="26"/>
      <c r="F733" s="26"/>
    </row>
    <row r="734" spans="5:6" ht="14.25" customHeight="1">
      <c r="E734" s="26"/>
      <c r="F734" s="26"/>
    </row>
    <row r="735" spans="5:6" ht="14.25" customHeight="1">
      <c r="E735" s="26"/>
      <c r="F735" s="26"/>
    </row>
    <row r="736" spans="5:6" ht="14.25" customHeight="1">
      <c r="E736" s="26"/>
      <c r="F736" s="26"/>
    </row>
    <row r="737" spans="5:6" ht="14.25" customHeight="1">
      <c r="E737" s="26"/>
      <c r="F737" s="26"/>
    </row>
    <row r="738" spans="5:6" ht="14.25" customHeight="1">
      <c r="E738" s="26"/>
      <c r="F738" s="26"/>
    </row>
    <row r="739" spans="5:6" ht="14.25" customHeight="1">
      <c r="E739" s="26"/>
      <c r="F739" s="26"/>
    </row>
    <row r="740" spans="5:6" ht="14.25" customHeight="1">
      <c r="E740" s="26"/>
      <c r="F740" s="26"/>
    </row>
    <row r="741" spans="5:6" ht="14.25" customHeight="1">
      <c r="E741" s="26"/>
      <c r="F741" s="26"/>
    </row>
    <row r="742" spans="5:6" ht="14.25" customHeight="1">
      <c r="E742" s="26"/>
      <c r="F742" s="26"/>
    </row>
    <row r="743" spans="5:6" ht="14.25" customHeight="1">
      <c r="E743" s="26"/>
      <c r="F743" s="26"/>
    </row>
    <row r="744" spans="5:6" ht="14.25" customHeight="1">
      <c r="E744" s="26"/>
      <c r="F744" s="26"/>
    </row>
    <row r="745" spans="5:6" ht="14.25" customHeight="1">
      <c r="E745" s="26"/>
      <c r="F745" s="26"/>
    </row>
    <row r="746" spans="5:6" ht="14.25" customHeight="1">
      <c r="E746" s="26"/>
      <c r="F746" s="26"/>
    </row>
    <row r="747" spans="5:6" ht="14.25" customHeight="1">
      <c r="E747" s="26"/>
      <c r="F747" s="26"/>
    </row>
    <row r="748" spans="5:6" ht="14.25" customHeight="1">
      <c r="E748" s="26"/>
      <c r="F748" s="26"/>
    </row>
    <row r="749" spans="5:6" ht="14.25" customHeight="1">
      <c r="E749" s="26"/>
      <c r="F749" s="26"/>
    </row>
    <row r="750" spans="5:6" ht="14.25" customHeight="1">
      <c r="E750" s="26"/>
      <c r="F750" s="26"/>
    </row>
    <row r="751" spans="5:6" ht="14.25" customHeight="1">
      <c r="E751" s="26"/>
      <c r="F751" s="26"/>
    </row>
    <row r="752" spans="5:6" ht="14.25" customHeight="1">
      <c r="E752" s="26"/>
      <c r="F752" s="26"/>
    </row>
    <row r="753" spans="5:6" ht="14.25" customHeight="1">
      <c r="E753" s="26"/>
      <c r="F753" s="26"/>
    </row>
    <row r="754" spans="5:6" ht="14.25" customHeight="1">
      <c r="E754" s="26"/>
      <c r="F754" s="26"/>
    </row>
    <row r="755" spans="5:6" ht="14.25" customHeight="1">
      <c r="E755" s="26"/>
      <c r="F755" s="26"/>
    </row>
    <row r="756" spans="5:6" ht="14.25" customHeight="1">
      <c r="E756" s="26"/>
      <c r="F756" s="26"/>
    </row>
    <row r="757" spans="5:6" ht="14.25" customHeight="1">
      <c r="E757" s="26"/>
      <c r="F757" s="26"/>
    </row>
    <row r="758" spans="5:6" ht="14.25" customHeight="1">
      <c r="E758" s="26"/>
      <c r="F758" s="26"/>
    </row>
    <row r="759" spans="5:6" ht="14.25" customHeight="1">
      <c r="E759" s="26"/>
      <c r="F759" s="26"/>
    </row>
    <row r="760" spans="5:6" ht="14.25" customHeight="1">
      <c r="E760" s="26"/>
      <c r="F760" s="26"/>
    </row>
    <row r="761" spans="5:6" ht="14.25" customHeight="1">
      <c r="E761" s="26"/>
      <c r="F761" s="26"/>
    </row>
    <row r="762" spans="5:6" ht="14.25" customHeight="1">
      <c r="E762" s="26"/>
      <c r="F762" s="26"/>
    </row>
    <row r="763" spans="5:6" ht="14.25" customHeight="1">
      <c r="E763" s="26"/>
      <c r="F763" s="26"/>
    </row>
    <row r="764" spans="5:6" ht="14.25" customHeight="1">
      <c r="E764" s="26"/>
      <c r="F764" s="26"/>
    </row>
    <row r="765" spans="5:6" ht="14.25" customHeight="1">
      <c r="E765" s="26"/>
      <c r="F765" s="26"/>
    </row>
    <row r="766" spans="5:6" ht="14.25" customHeight="1">
      <c r="E766" s="26"/>
      <c r="F766" s="26"/>
    </row>
    <row r="767" spans="5:6" ht="14.25" customHeight="1">
      <c r="E767" s="26"/>
      <c r="F767" s="26"/>
    </row>
    <row r="768" spans="5:6" ht="14.25" customHeight="1">
      <c r="E768" s="26"/>
      <c r="F768" s="26"/>
    </row>
    <row r="769" spans="5:6" ht="14.25" customHeight="1">
      <c r="E769" s="26"/>
      <c r="F769" s="26"/>
    </row>
    <row r="770" spans="5:6" ht="14.25" customHeight="1">
      <c r="E770" s="26"/>
      <c r="F770" s="26"/>
    </row>
    <row r="771" spans="5:6" ht="14.25" customHeight="1">
      <c r="E771" s="26"/>
      <c r="F771" s="26"/>
    </row>
    <row r="772" spans="5:6" ht="14.25" customHeight="1">
      <c r="E772" s="26"/>
      <c r="F772" s="26"/>
    </row>
    <row r="773" spans="5:6" ht="14.25" customHeight="1">
      <c r="E773" s="26"/>
      <c r="F773" s="26"/>
    </row>
    <row r="774" spans="5:6" ht="14.25" customHeight="1">
      <c r="E774" s="26"/>
      <c r="F774" s="26"/>
    </row>
    <row r="775" spans="5:6" ht="14.25" customHeight="1">
      <c r="E775" s="26"/>
      <c r="F775" s="26"/>
    </row>
    <row r="776" spans="5:6" ht="14.25" customHeight="1">
      <c r="E776" s="26"/>
      <c r="F776" s="26"/>
    </row>
    <row r="777" spans="5:6" ht="14.25" customHeight="1">
      <c r="E777" s="26"/>
      <c r="F777" s="26"/>
    </row>
    <row r="778" spans="5:6" ht="14.25" customHeight="1">
      <c r="E778" s="26"/>
      <c r="F778" s="26"/>
    </row>
    <row r="779" spans="5:6" ht="14.25" customHeight="1">
      <c r="E779" s="26"/>
      <c r="F779" s="26"/>
    </row>
    <row r="780" spans="5:6" ht="14.25" customHeight="1">
      <c r="E780" s="26"/>
      <c r="F780" s="26"/>
    </row>
    <row r="781" spans="5:6" ht="14.25" customHeight="1">
      <c r="E781" s="26"/>
      <c r="F781" s="26"/>
    </row>
    <row r="782" spans="5:6" ht="14.25" customHeight="1">
      <c r="E782" s="26"/>
      <c r="F782" s="26"/>
    </row>
    <row r="783" spans="5:6" ht="14.25" customHeight="1">
      <c r="E783" s="26"/>
      <c r="F783" s="26"/>
    </row>
    <row r="784" spans="5:6" ht="14.25" customHeight="1">
      <c r="E784" s="26"/>
      <c r="F784" s="26"/>
    </row>
    <row r="785" spans="5:6" ht="14.25" customHeight="1">
      <c r="E785" s="26"/>
      <c r="F785" s="26"/>
    </row>
    <row r="786" spans="5:6" ht="14.25" customHeight="1">
      <c r="E786" s="26"/>
      <c r="F786" s="26"/>
    </row>
    <row r="787" spans="5:6" ht="14.25" customHeight="1">
      <c r="E787" s="26"/>
      <c r="F787" s="26"/>
    </row>
    <row r="788" spans="5:6" ht="14.25" customHeight="1">
      <c r="E788" s="26"/>
      <c r="F788" s="26"/>
    </row>
    <row r="789" spans="5:6" ht="14.25" customHeight="1">
      <c r="E789" s="26"/>
      <c r="F789" s="26"/>
    </row>
    <row r="790" spans="5:6" ht="14.25" customHeight="1">
      <c r="E790" s="26"/>
      <c r="F790" s="26"/>
    </row>
    <row r="791" spans="5:6" ht="14.25" customHeight="1">
      <c r="E791" s="26"/>
      <c r="F791" s="26"/>
    </row>
    <row r="792" spans="5:6" ht="14.25" customHeight="1">
      <c r="E792" s="26"/>
      <c r="F792" s="26"/>
    </row>
    <row r="793" spans="5:6" ht="14.25" customHeight="1">
      <c r="E793" s="26"/>
      <c r="F793" s="26"/>
    </row>
    <row r="794" spans="5:6" ht="14.25" customHeight="1">
      <c r="E794" s="26"/>
      <c r="F794" s="26"/>
    </row>
    <row r="795" spans="5:6" ht="14.25" customHeight="1">
      <c r="E795" s="26"/>
      <c r="F795" s="26"/>
    </row>
    <row r="796" spans="5:6" ht="14.25" customHeight="1">
      <c r="E796" s="26"/>
      <c r="F796" s="26"/>
    </row>
    <row r="797" spans="5:6" ht="14.25" customHeight="1">
      <c r="E797" s="26"/>
      <c r="F797" s="26"/>
    </row>
    <row r="798" spans="5:6" ht="14.25" customHeight="1">
      <c r="E798" s="26"/>
      <c r="F798" s="26"/>
    </row>
    <row r="799" spans="5:6" ht="14.25" customHeight="1">
      <c r="E799" s="26"/>
      <c r="F799" s="26"/>
    </row>
    <row r="800" spans="5:6" ht="14.25" customHeight="1">
      <c r="E800" s="26"/>
      <c r="F800" s="26"/>
    </row>
    <row r="801" spans="5:6" ht="14.25" customHeight="1">
      <c r="E801" s="26"/>
      <c r="F801" s="26"/>
    </row>
    <row r="802" spans="5:6" ht="14.25" customHeight="1">
      <c r="E802" s="26"/>
      <c r="F802" s="26"/>
    </row>
    <row r="803" spans="5:6" ht="14.25" customHeight="1">
      <c r="E803" s="26"/>
      <c r="F803" s="26"/>
    </row>
    <row r="804" spans="5:6" ht="14.25" customHeight="1">
      <c r="E804" s="26"/>
      <c r="F804" s="26"/>
    </row>
    <row r="805" spans="5:6" ht="14.25" customHeight="1">
      <c r="E805" s="26"/>
      <c r="F805" s="26"/>
    </row>
    <row r="806" spans="5:6" ht="14.25" customHeight="1">
      <c r="E806" s="26"/>
      <c r="F806" s="26"/>
    </row>
    <row r="807" spans="5:6" ht="14.25" customHeight="1">
      <c r="E807" s="26"/>
      <c r="F807" s="26"/>
    </row>
    <row r="808" spans="5:6" ht="14.25" customHeight="1">
      <c r="E808" s="26"/>
      <c r="F808" s="26"/>
    </row>
    <row r="809" spans="5:6" ht="14.25" customHeight="1">
      <c r="E809" s="26"/>
      <c r="F809" s="26"/>
    </row>
    <row r="810" spans="5:6" ht="14.25" customHeight="1">
      <c r="E810" s="26"/>
      <c r="F810" s="26"/>
    </row>
    <row r="811" spans="5:6" ht="14.25" customHeight="1">
      <c r="E811" s="26"/>
      <c r="F811" s="26"/>
    </row>
    <row r="812" spans="5:6" ht="14.25" customHeight="1">
      <c r="E812" s="26"/>
      <c r="F812" s="26"/>
    </row>
    <row r="813" spans="5:6" ht="14.25" customHeight="1">
      <c r="E813" s="26"/>
      <c r="F813" s="26"/>
    </row>
    <row r="814" spans="5:6" ht="14.25" customHeight="1">
      <c r="E814" s="26"/>
      <c r="F814" s="26"/>
    </row>
    <row r="815" spans="5:6" ht="14.25" customHeight="1">
      <c r="E815" s="26"/>
      <c r="F815" s="26"/>
    </row>
    <row r="816" spans="5:6" ht="14.25" customHeight="1">
      <c r="E816" s="26"/>
      <c r="F816" s="26"/>
    </row>
    <row r="817" spans="5:6" ht="14.25" customHeight="1">
      <c r="E817" s="26"/>
      <c r="F817" s="26"/>
    </row>
    <row r="818" spans="5:6" ht="14.25" customHeight="1">
      <c r="E818" s="26"/>
      <c r="F818" s="26"/>
    </row>
    <row r="819" spans="5:6" ht="14.25" customHeight="1">
      <c r="E819" s="26"/>
      <c r="F819" s="26"/>
    </row>
    <row r="820" spans="5:6" ht="14.25" customHeight="1">
      <c r="E820" s="26"/>
      <c r="F820" s="26"/>
    </row>
    <row r="821" spans="5:6" ht="14.25" customHeight="1">
      <c r="E821" s="26"/>
      <c r="F821" s="26"/>
    </row>
    <row r="822" spans="5:6" ht="14.25" customHeight="1">
      <c r="E822" s="26"/>
      <c r="F822" s="26"/>
    </row>
    <row r="823" spans="5:6" ht="14.25" customHeight="1">
      <c r="E823" s="26"/>
      <c r="F823" s="26"/>
    </row>
    <row r="824" spans="5:6" ht="14.25" customHeight="1">
      <c r="E824" s="26"/>
      <c r="F824" s="26"/>
    </row>
    <row r="825" spans="5:6" ht="14.25" customHeight="1">
      <c r="E825" s="26"/>
      <c r="F825" s="26"/>
    </row>
    <row r="826" spans="5:6" ht="14.25" customHeight="1">
      <c r="E826" s="26"/>
      <c r="F826" s="26"/>
    </row>
    <row r="827" spans="5:6" ht="14.25" customHeight="1">
      <c r="E827" s="26"/>
      <c r="F827" s="26"/>
    </row>
    <row r="828" spans="5:6" ht="14.25" customHeight="1">
      <c r="E828" s="26"/>
      <c r="F828" s="26"/>
    </row>
    <row r="829" spans="5:6" ht="14.25" customHeight="1">
      <c r="E829" s="26"/>
      <c r="F829" s="26"/>
    </row>
    <row r="830" spans="5:6" ht="14.25" customHeight="1">
      <c r="E830" s="26"/>
      <c r="F830" s="26"/>
    </row>
    <row r="831" spans="5:6" ht="14.25" customHeight="1">
      <c r="E831" s="26"/>
      <c r="F831" s="26"/>
    </row>
    <row r="832" spans="5:6" ht="14.25" customHeight="1">
      <c r="E832" s="26"/>
      <c r="F832" s="26"/>
    </row>
    <row r="833" spans="5:6" ht="14.25" customHeight="1">
      <c r="E833" s="26"/>
      <c r="F833" s="26"/>
    </row>
    <row r="834" spans="5:6" ht="14.25" customHeight="1">
      <c r="E834" s="26"/>
      <c r="F834" s="26"/>
    </row>
    <row r="835" spans="5:6" ht="14.25" customHeight="1">
      <c r="E835" s="26"/>
      <c r="F835" s="26"/>
    </row>
    <row r="836" spans="5:6" ht="14.25" customHeight="1">
      <c r="E836" s="26"/>
      <c r="F836" s="26"/>
    </row>
    <row r="837" spans="5:6" ht="14.25" customHeight="1">
      <c r="E837" s="26"/>
      <c r="F837" s="26"/>
    </row>
    <row r="838" spans="5:6" ht="14.25" customHeight="1">
      <c r="E838" s="26"/>
      <c r="F838" s="26"/>
    </row>
    <row r="839" spans="5:6" ht="14.25" customHeight="1">
      <c r="E839" s="26"/>
      <c r="F839" s="26"/>
    </row>
    <row r="840" spans="5:6" ht="14.25" customHeight="1">
      <c r="E840" s="26"/>
      <c r="F840" s="26"/>
    </row>
    <row r="841" spans="5:6" ht="14.25" customHeight="1">
      <c r="E841" s="26"/>
      <c r="F841" s="26"/>
    </row>
    <row r="842" spans="5:6" ht="14.25" customHeight="1">
      <c r="E842" s="26"/>
      <c r="F842" s="26"/>
    </row>
    <row r="843" spans="5:6" ht="14.25" customHeight="1">
      <c r="E843" s="26"/>
      <c r="F843" s="26"/>
    </row>
    <row r="844" spans="5:6" ht="14.25" customHeight="1">
      <c r="E844" s="26"/>
      <c r="F844" s="26"/>
    </row>
    <row r="845" spans="5:6" ht="14.25" customHeight="1">
      <c r="E845" s="26"/>
      <c r="F845" s="26"/>
    </row>
    <row r="846" spans="5:6" ht="14.25" customHeight="1">
      <c r="E846" s="26"/>
      <c r="F846" s="26"/>
    </row>
    <row r="847" spans="5:6" ht="14.25" customHeight="1">
      <c r="E847" s="26"/>
      <c r="F847" s="26"/>
    </row>
    <row r="848" spans="5:6" ht="14.25" customHeight="1">
      <c r="E848" s="26"/>
      <c r="F848" s="26"/>
    </row>
    <row r="849" spans="5:6" ht="14.25" customHeight="1">
      <c r="E849" s="26"/>
      <c r="F849" s="26"/>
    </row>
    <row r="850" spans="5:6" ht="14.25" customHeight="1">
      <c r="E850" s="26"/>
      <c r="F850" s="26"/>
    </row>
    <row r="851" spans="5:6" ht="14.25" customHeight="1">
      <c r="E851" s="26"/>
      <c r="F851" s="26"/>
    </row>
    <row r="852" spans="5:6" ht="14.25" customHeight="1">
      <c r="E852" s="26"/>
      <c r="F852" s="26"/>
    </row>
    <row r="853" spans="5:6" ht="14.25" customHeight="1">
      <c r="E853" s="26"/>
      <c r="F853" s="26"/>
    </row>
    <row r="854" spans="5:6" ht="14.25" customHeight="1">
      <c r="E854" s="26"/>
      <c r="F854" s="26"/>
    </row>
    <row r="855" spans="5:6" ht="14.25" customHeight="1">
      <c r="E855" s="26"/>
      <c r="F855" s="26"/>
    </row>
    <row r="856" spans="5:6" ht="14.25" customHeight="1">
      <c r="E856" s="26"/>
      <c r="F856" s="26"/>
    </row>
    <row r="857" spans="5:6" ht="14.25" customHeight="1">
      <c r="E857" s="26"/>
      <c r="F857" s="26"/>
    </row>
    <row r="858" spans="5:6" ht="14.25" customHeight="1">
      <c r="E858" s="26"/>
      <c r="F858" s="26"/>
    </row>
    <row r="859" spans="5:6" ht="14.25" customHeight="1">
      <c r="E859" s="26"/>
      <c r="F859" s="26"/>
    </row>
    <row r="860" spans="5:6" ht="14.25" customHeight="1">
      <c r="E860" s="26"/>
      <c r="F860" s="26"/>
    </row>
    <row r="861" spans="5:6" ht="14.25" customHeight="1">
      <c r="E861" s="26"/>
      <c r="F861" s="26"/>
    </row>
    <row r="862" spans="5:6" ht="14.25" customHeight="1">
      <c r="E862" s="26"/>
      <c r="F862" s="26"/>
    </row>
    <row r="863" spans="5:6" ht="14.25" customHeight="1">
      <c r="E863" s="26"/>
      <c r="F863" s="26"/>
    </row>
    <row r="864" spans="5:6" ht="14.25" customHeight="1">
      <c r="E864" s="26"/>
      <c r="F864" s="26"/>
    </row>
    <row r="865" spans="5:6" ht="14.25" customHeight="1">
      <c r="E865" s="26"/>
      <c r="F865" s="26"/>
    </row>
    <row r="866" spans="5:6" ht="14.25" customHeight="1">
      <c r="E866" s="26"/>
      <c r="F866" s="26"/>
    </row>
    <row r="867" spans="5:6" ht="14.25" customHeight="1">
      <c r="E867" s="26"/>
      <c r="F867" s="26"/>
    </row>
    <row r="868" spans="5:6" ht="14.25" customHeight="1">
      <c r="E868" s="26"/>
      <c r="F868" s="26"/>
    </row>
    <row r="869" spans="5:6" ht="14.25" customHeight="1">
      <c r="E869" s="26"/>
      <c r="F869" s="26"/>
    </row>
    <row r="870" spans="5:6" ht="14.25" customHeight="1">
      <c r="E870" s="26"/>
      <c r="F870" s="26"/>
    </row>
    <row r="871" spans="5:6" ht="14.25" customHeight="1">
      <c r="E871" s="26"/>
      <c r="F871" s="26"/>
    </row>
    <row r="872" spans="5:6" ht="14.25" customHeight="1">
      <c r="E872" s="26"/>
      <c r="F872" s="26"/>
    </row>
    <row r="873" spans="5:6" ht="14.25" customHeight="1">
      <c r="E873" s="26"/>
      <c r="F873" s="26"/>
    </row>
    <row r="874" spans="5:6" ht="14.25" customHeight="1">
      <c r="E874" s="26"/>
      <c r="F874" s="26"/>
    </row>
    <row r="875" spans="5:6" ht="14.25" customHeight="1">
      <c r="E875" s="26"/>
      <c r="F875" s="26"/>
    </row>
    <row r="876" spans="5:6" ht="14.25" customHeight="1">
      <c r="E876" s="26"/>
      <c r="F876" s="26"/>
    </row>
    <row r="877" spans="5:6" ht="14.25" customHeight="1">
      <c r="E877" s="26"/>
      <c r="F877" s="26"/>
    </row>
    <row r="878" spans="5:6" ht="14.25" customHeight="1">
      <c r="E878" s="26"/>
      <c r="F878" s="26"/>
    </row>
    <row r="879" spans="5:6" ht="14.25" customHeight="1">
      <c r="E879" s="26"/>
      <c r="F879" s="26"/>
    </row>
    <row r="880" spans="5:6" ht="14.25" customHeight="1">
      <c r="E880" s="26"/>
      <c r="F880" s="26"/>
    </row>
    <row r="881" spans="5:6" ht="14.25" customHeight="1">
      <c r="E881" s="26"/>
      <c r="F881" s="26"/>
    </row>
    <row r="882" spans="5:6" ht="14.25" customHeight="1">
      <c r="E882" s="26"/>
      <c r="F882" s="26"/>
    </row>
    <row r="883" spans="5:6" ht="14.25" customHeight="1">
      <c r="E883" s="26"/>
      <c r="F883" s="26"/>
    </row>
    <row r="884" spans="5:6" ht="14.25" customHeight="1">
      <c r="E884" s="26"/>
      <c r="F884" s="26"/>
    </row>
    <row r="885" spans="5:6" ht="14.25" customHeight="1">
      <c r="E885" s="26"/>
      <c r="F885" s="26"/>
    </row>
    <row r="886" spans="5:6" ht="14.25" customHeight="1">
      <c r="E886" s="26"/>
      <c r="F886" s="26"/>
    </row>
    <row r="887" spans="5:6" ht="14.25" customHeight="1">
      <c r="E887" s="26"/>
      <c r="F887" s="26"/>
    </row>
    <row r="888" spans="5:6" ht="14.25" customHeight="1">
      <c r="E888" s="26"/>
      <c r="F888" s="26"/>
    </row>
    <row r="889" spans="5:6" ht="14.25" customHeight="1">
      <c r="E889" s="26"/>
      <c r="F889" s="26"/>
    </row>
    <row r="890" spans="5:6" ht="14.25" customHeight="1">
      <c r="E890" s="26"/>
      <c r="F890" s="26"/>
    </row>
    <row r="891" spans="5:6" ht="14.25" customHeight="1">
      <c r="E891" s="26"/>
      <c r="F891" s="26"/>
    </row>
    <row r="892" spans="5:6" ht="14.25" customHeight="1">
      <c r="E892" s="26"/>
      <c r="F892" s="26"/>
    </row>
    <row r="893" spans="5:6" ht="14.25" customHeight="1">
      <c r="E893" s="26"/>
      <c r="F893" s="26"/>
    </row>
    <row r="894" spans="5:6" ht="14.25" customHeight="1">
      <c r="E894" s="26"/>
      <c r="F894" s="26"/>
    </row>
    <row r="895" spans="5:6" ht="14.25" customHeight="1">
      <c r="E895" s="26"/>
      <c r="F895" s="26"/>
    </row>
    <row r="896" spans="5:6" ht="14.25" customHeight="1">
      <c r="E896" s="26"/>
      <c r="F896" s="26"/>
    </row>
    <row r="897" spans="5:6" ht="14.25" customHeight="1">
      <c r="E897" s="26"/>
      <c r="F897" s="26"/>
    </row>
    <row r="898" spans="5:6" ht="14.25" customHeight="1">
      <c r="E898" s="26"/>
      <c r="F898" s="26"/>
    </row>
    <row r="899" spans="5:6" ht="14.25" customHeight="1">
      <c r="E899" s="26"/>
      <c r="F899" s="26"/>
    </row>
    <row r="900" spans="5:6" ht="14.25" customHeight="1">
      <c r="E900" s="26"/>
      <c r="F900" s="26"/>
    </row>
    <row r="901" spans="5:6" ht="14.25" customHeight="1">
      <c r="E901" s="26"/>
      <c r="F901" s="26"/>
    </row>
    <row r="902" spans="5:6" ht="14.25" customHeight="1">
      <c r="E902" s="26"/>
      <c r="F902" s="26"/>
    </row>
    <row r="903" spans="5:6" ht="14.25" customHeight="1">
      <c r="E903" s="26"/>
      <c r="F903" s="26"/>
    </row>
    <row r="904" spans="5:6" ht="14.25" customHeight="1">
      <c r="E904" s="26"/>
      <c r="F904" s="26"/>
    </row>
    <row r="905" spans="5:6" ht="14.25" customHeight="1">
      <c r="E905" s="26"/>
      <c r="F905" s="26"/>
    </row>
    <row r="906" spans="5:6" ht="14.25" customHeight="1">
      <c r="E906" s="26"/>
      <c r="F906" s="26"/>
    </row>
    <row r="907" spans="5:6" ht="14.25" customHeight="1">
      <c r="E907" s="26"/>
      <c r="F907" s="26"/>
    </row>
    <row r="908" spans="5:6" ht="14.25" customHeight="1">
      <c r="E908" s="26"/>
      <c r="F908" s="26"/>
    </row>
    <row r="909" spans="5:6" ht="14.25" customHeight="1">
      <c r="E909" s="26"/>
      <c r="F909" s="26"/>
    </row>
    <row r="910" spans="5:6" ht="14.25" customHeight="1">
      <c r="E910" s="26"/>
      <c r="F910" s="26"/>
    </row>
    <row r="911" spans="5:6" ht="14.25" customHeight="1">
      <c r="E911" s="26"/>
      <c r="F911" s="26"/>
    </row>
    <row r="912" spans="5:6" ht="14.25" customHeight="1">
      <c r="E912" s="26"/>
      <c r="F912" s="26"/>
    </row>
    <row r="913" spans="5:6" ht="14.25" customHeight="1">
      <c r="E913" s="26"/>
      <c r="F913" s="26"/>
    </row>
    <row r="914" spans="5:6" ht="14.25" customHeight="1">
      <c r="E914" s="26"/>
      <c r="F914" s="26"/>
    </row>
    <row r="915" spans="5:6" ht="14.25" customHeight="1">
      <c r="E915" s="26"/>
      <c r="F915" s="26"/>
    </row>
    <row r="916" spans="5:6" ht="14.25" customHeight="1">
      <c r="E916" s="26"/>
      <c r="F916" s="26"/>
    </row>
    <row r="917" spans="5:6" ht="14.25" customHeight="1">
      <c r="E917" s="26"/>
      <c r="F917" s="26"/>
    </row>
    <row r="918" spans="5:6" ht="14.25" customHeight="1">
      <c r="E918" s="26"/>
      <c r="F918" s="26"/>
    </row>
    <row r="919" spans="5:6" ht="14.25" customHeight="1">
      <c r="E919" s="26"/>
      <c r="F919" s="26"/>
    </row>
    <row r="920" spans="5:6" ht="14.25" customHeight="1">
      <c r="E920" s="26"/>
      <c r="F920" s="26"/>
    </row>
    <row r="921" spans="5:6" ht="14.25" customHeight="1">
      <c r="E921" s="26"/>
      <c r="F921" s="26"/>
    </row>
    <row r="922" spans="5:6" ht="14.25" customHeight="1">
      <c r="E922" s="26"/>
      <c r="F922" s="26"/>
    </row>
    <row r="923" spans="5:6" ht="14.25" customHeight="1">
      <c r="E923" s="26"/>
      <c r="F923" s="26"/>
    </row>
    <row r="924" spans="5:6" ht="14.25" customHeight="1">
      <c r="E924" s="26"/>
      <c r="F924" s="26"/>
    </row>
    <row r="925" spans="5:6" ht="14.25" customHeight="1">
      <c r="E925" s="26"/>
      <c r="F925" s="26"/>
    </row>
    <row r="926" spans="5:6" ht="14.25" customHeight="1">
      <c r="E926" s="26"/>
      <c r="F926" s="26"/>
    </row>
    <row r="927" spans="5:6" ht="14.25" customHeight="1">
      <c r="E927" s="26"/>
      <c r="F927" s="26"/>
    </row>
    <row r="928" spans="5:6" ht="14.25" customHeight="1">
      <c r="E928" s="26"/>
      <c r="F928" s="26"/>
    </row>
    <row r="929" spans="5:6" ht="14.25" customHeight="1">
      <c r="E929" s="26"/>
      <c r="F929" s="26"/>
    </row>
    <row r="930" spans="5:6" ht="14.25" customHeight="1">
      <c r="E930" s="26"/>
      <c r="F930" s="26"/>
    </row>
    <row r="931" spans="5:6" ht="14.25" customHeight="1">
      <c r="E931" s="26"/>
      <c r="F931" s="26"/>
    </row>
    <row r="932" spans="5:6" ht="14.25" customHeight="1">
      <c r="E932" s="26"/>
      <c r="F932" s="26"/>
    </row>
    <row r="933" spans="5:6" ht="14.25" customHeight="1">
      <c r="E933" s="26"/>
      <c r="F933" s="26"/>
    </row>
    <row r="934" spans="5:6" ht="14.25" customHeight="1">
      <c r="E934" s="26"/>
      <c r="F934" s="26"/>
    </row>
    <row r="935" spans="5:6" ht="14.25" customHeight="1">
      <c r="E935" s="26"/>
      <c r="F935" s="26"/>
    </row>
    <row r="936" spans="5:6" ht="14.25" customHeight="1">
      <c r="E936" s="26"/>
      <c r="F936" s="26"/>
    </row>
    <row r="937" spans="5:6" ht="14.25" customHeight="1">
      <c r="E937" s="26"/>
      <c r="F937" s="26"/>
    </row>
    <row r="938" spans="5:6" ht="14.25" customHeight="1">
      <c r="E938" s="26"/>
      <c r="F938" s="26"/>
    </row>
    <row r="939" spans="5:6" ht="14.25" customHeight="1">
      <c r="E939" s="26"/>
      <c r="F939" s="26"/>
    </row>
    <row r="940" spans="5:6" ht="14.25" customHeight="1">
      <c r="E940" s="26"/>
      <c r="F940" s="26"/>
    </row>
    <row r="941" spans="5:6" ht="14.25" customHeight="1">
      <c r="E941" s="26"/>
      <c r="F941" s="26"/>
    </row>
    <row r="942" spans="5:6" ht="14.25" customHeight="1">
      <c r="E942" s="26"/>
      <c r="F942" s="26"/>
    </row>
    <row r="943" spans="5:6" ht="14.25" customHeight="1">
      <c r="E943" s="26"/>
      <c r="F943" s="26"/>
    </row>
    <row r="944" spans="5:6" ht="14.25" customHeight="1">
      <c r="E944" s="26"/>
      <c r="F944" s="26"/>
    </row>
    <row r="945" spans="5:6" ht="14.25" customHeight="1">
      <c r="E945" s="26"/>
      <c r="F945" s="26"/>
    </row>
    <row r="946" spans="5:6" ht="14.25" customHeight="1">
      <c r="E946" s="26"/>
      <c r="F946" s="26"/>
    </row>
    <row r="947" spans="5:6" ht="14.25" customHeight="1">
      <c r="E947" s="26"/>
      <c r="F947" s="26"/>
    </row>
    <row r="948" spans="5:6" ht="14.25" customHeight="1">
      <c r="E948" s="26"/>
      <c r="F948" s="26"/>
    </row>
    <row r="949" spans="5:6" ht="14.25" customHeight="1">
      <c r="E949" s="26"/>
      <c r="F949" s="26"/>
    </row>
    <row r="950" spans="5:6" ht="14.25" customHeight="1">
      <c r="E950" s="26"/>
      <c r="F950" s="26"/>
    </row>
    <row r="951" spans="5:6" ht="14.25" customHeight="1">
      <c r="E951" s="26"/>
      <c r="F951" s="26"/>
    </row>
    <row r="952" spans="5:6" ht="14.25" customHeight="1">
      <c r="E952" s="26"/>
      <c r="F952" s="26"/>
    </row>
    <row r="953" spans="5:6" ht="14.25" customHeight="1">
      <c r="E953" s="26"/>
      <c r="F953" s="26"/>
    </row>
    <row r="954" spans="5:6" ht="14.25" customHeight="1">
      <c r="E954" s="26"/>
      <c r="F954" s="26"/>
    </row>
    <row r="955" spans="5:6" ht="14.25" customHeight="1">
      <c r="E955" s="26"/>
      <c r="F955" s="26"/>
    </row>
    <row r="956" spans="5:6" ht="14.25" customHeight="1">
      <c r="E956" s="26"/>
      <c r="F956" s="26"/>
    </row>
    <row r="957" spans="5:6" ht="14.25" customHeight="1">
      <c r="E957" s="26"/>
      <c r="F957" s="26"/>
    </row>
    <row r="958" spans="5:6" ht="14.25" customHeight="1">
      <c r="E958" s="26"/>
      <c r="F958" s="26"/>
    </row>
    <row r="959" spans="5:6" ht="14.25" customHeight="1">
      <c r="E959" s="26"/>
      <c r="F959" s="26"/>
    </row>
    <row r="960" spans="5:6" ht="14.25" customHeight="1">
      <c r="E960" s="26"/>
      <c r="F960" s="26"/>
    </row>
    <row r="961" spans="5:6" ht="14.25" customHeight="1">
      <c r="E961" s="26"/>
      <c r="F961" s="26"/>
    </row>
    <row r="962" spans="5:6" ht="14.25" customHeight="1">
      <c r="E962" s="26"/>
      <c r="F962" s="26"/>
    </row>
    <row r="963" spans="5:6" ht="14.25" customHeight="1">
      <c r="E963" s="26"/>
      <c r="F963" s="26"/>
    </row>
    <row r="964" spans="5:6" ht="14.25" customHeight="1">
      <c r="E964" s="26"/>
      <c r="F964" s="26"/>
    </row>
    <row r="965" spans="5:6" ht="14.25" customHeight="1">
      <c r="E965" s="26"/>
      <c r="F965" s="26"/>
    </row>
    <row r="966" spans="5:6" ht="14.25" customHeight="1">
      <c r="E966" s="26"/>
      <c r="F966" s="26"/>
    </row>
    <row r="967" spans="5:6" ht="14.25" customHeight="1">
      <c r="E967" s="26"/>
      <c r="F967" s="26"/>
    </row>
    <row r="968" spans="5:6" ht="14.25" customHeight="1">
      <c r="E968" s="26"/>
      <c r="F968" s="26"/>
    </row>
    <row r="969" spans="5:6" ht="14.25" customHeight="1">
      <c r="E969" s="26"/>
      <c r="F969" s="26"/>
    </row>
    <row r="970" spans="5:6" ht="14.25" customHeight="1">
      <c r="E970" s="26"/>
      <c r="F970" s="26"/>
    </row>
    <row r="971" spans="5:6" ht="14.25" customHeight="1">
      <c r="E971" s="26"/>
      <c r="F971" s="26"/>
    </row>
    <row r="972" spans="5:6" ht="14.25" customHeight="1">
      <c r="E972" s="26"/>
      <c r="F972" s="26"/>
    </row>
    <row r="973" spans="5:6" ht="14.25" customHeight="1">
      <c r="E973" s="26"/>
      <c r="F973" s="26"/>
    </row>
    <row r="974" spans="5:6" ht="14.25" customHeight="1">
      <c r="E974" s="26"/>
      <c r="F974" s="26"/>
    </row>
    <row r="975" spans="5:6" ht="14.25" customHeight="1">
      <c r="E975" s="26"/>
      <c r="F975" s="26"/>
    </row>
    <row r="976" spans="5:6" ht="14.25" customHeight="1">
      <c r="E976" s="26"/>
      <c r="F976" s="26"/>
    </row>
    <row r="977" spans="5:6" ht="14.25" customHeight="1">
      <c r="E977" s="26"/>
      <c r="F977" s="26"/>
    </row>
    <row r="978" spans="5:6" ht="14.25" customHeight="1">
      <c r="E978" s="26"/>
      <c r="F978" s="26"/>
    </row>
    <row r="979" spans="5:6" ht="14.25" customHeight="1">
      <c r="E979" s="26"/>
      <c r="F979" s="26"/>
    </row>
    <row r="980" spans="5:6" ht="14.25" customHeight="1">
      <c r="E980" s="26"/>
      <c r="F980" s="26"/>
    </row>
    <row r="981" spans="5:6" ht="14.25" customHeight="1">
      <c r="E981" s="26"/>
      <c r="F981" s="26"/>
    </row>
    <row r="982" spans="5:6" ht="14.25" customHeight="1">
      <c r="E982" s="26"/>
      <c r="F982" s="26"/>
    </row>
    <row r="983" spans="5:6" ht="14.25" customHeight="1">
      <c r="E983" s="26"/>
      <c r="F983" s="26"/>
    </row>
    <row r="984" spans="5:6" ht="14.25" customHeight="1">
      <c r="E984" s="26"/>
      <c r="F984" s="26"/>
    </row>
    <row r="985" spans="5:6" ht="14.25" customHeight="1">
      <c r="E985" s="26"/>
      <c r="F985" s="26"/>
    </row>
    <row r="986" spans="5:6" ht="14.25" customHeight="1">
      <c r="E986" s="26"/>
      <c r="F986" s="26"/>
    </row>
    <row r="987" spans="5:6" ht="14.25" customHeight="1">
      <c r="E987" s="26"/>
      <c r="F987" s="26"/>
    </row>
    <row r="988" spans="5:6" ht="14.25" customHeight="1">
      <c r="E988" s="26"/>
      <c r="F988" s="26"/>
    </row>
    <row r="989" spans="5:6" ht="14.25" customHeight="1">
      <c r="E989" s="26"/>
      <c r="F989" s="26"/>
    </row>
    <row r="990" spans="5:6" ht="14.25" customHeight="1">
      <c r="E990" s="26"/>
      <c r="F990" s="26"/>
    </row>
    <row r="991" spans="5:6" ht="14.25" customHeight="1">
      <c r="E991" s="26"/>
      <c r="F991" s="26"/>
    </row>
    <row r="992" spans="5:6" ht="14.25" customHeight="1">
      <c r="E992" s="26"/>
      <c r="F992" s="26"/>
    </row>
    <row r="993" spans="5:6" ht="14.25" customHeight="1">
      <c r="E993" s="26"/>
      <c r="F993" s="26"/>
    </row>
    <row r="994" spans="5:6" ht="14.25" customHeight="1">
      <c r="E994" s="26"/>
      <c r="F994" s="26"/>
    </row>
    <row r="995" spans="5:6" ht="14.25" customHeight="1">
      <c r="E995" s="26"/>
      <c r="F995" s="26"/>
    </row>
    <row r="996" spans="5:6" ht="14.25" customHeight="1">
      <c r="E996" s="26"/>
      <c r="F996" s="26"/>
    </row>
    <row r="997" spans="5:6" ht="14.25" customHeight="1">
      <c r="E997" s="26"/>
      <c r="F997" s="26"/>
    </row>
    <row r="998" spans="5:6" ht="14.25" customHeight="1">
      <c r="E998" s="26"/>
      <c r="F998" s="26"/>
    </row>
    <row r="999" spans="5:6" ht="14.25" customHeight="1">
      <c r="E999" s="26"/>
      <c r="F999" s="26"/>
    </row>
    <row r="1000" spans="5:6" ht="14.25" customHeight="1">
      <c r="E1000" s="26"/>
      <c r="F1000" s="26"/>
    </row>
  </sheetData>
  <pageMargins left="0.7" right="0.7" top="0.75" bottom="0.75" header="0" footer="0"/>
  <pageSetup scale="94" orientation="portrait"/>
  <headerFooter>
    <oddFooter>&amp;L_x000D_#000000 Sensitivity: LNT Construction Internal Use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800-000000000000}">
          <x14:formula1>
            <xm:f>'Data Validation'!$E$4:$E$12</xm:f>
          </x14:formula1>
          <xm:sqref>E7</xm:sqref>
        </x14:dataValidation>
        <x14:dataValidation type="list" allowBlank="1" showErrorMessage="1" xr:uid="{00000000-0002-0000-0800-000001000000}">
          <x14:formula1>
            <xm:f>'Data Validation'!$M$4:$M$5</xm:f>
          </x14:formula1>
          <xm:sqref>E28</xm:sqref>
        </x14:dataValidation>
        <x14:dataValidation type="list" allowBlank="1" showErrorMessage="1" xr:uid="{00000000-0002-0000-0800-000002000000}">
          <x14:formula1>
            <xm:f>'Data Validation'!$G$4:$G$7</xm:f>
          </x14:formula1>
          <xm:sqref>E4</xm:sqref>
        </x14:dataValidation>
        <x14:dataValidation type="list" allowBlank="1" showErrorMessage="1" xr:uid="{00000000-0002-0000-0800-000003000000}">
          <x14:formula1>
            <xm:f>'Data Validation'!$C$4:$C$7</xm:f>
          </x14:formula1>
          <xm:sqref>E26</xm:sqref>
        </x14:dataValidation>
        <x14:dataValidation type="list" allowBlank="1" showErrorMessage="1" xr:uid="{00000000-0002-0000-0800-000004000000}">
          <x14:formula1>
            <xm:f>'Data Validation'!$K$5:$K$28</xm:f>
          </x14:formula1>
          <xm:sqref>E6</xm:sqref>
        </x14:dataValidation>
        <x14:dataValidation type="list" allowBlank="1" showErrorMessage="1" xr:uid="{00000000-0002-0000-0800-000005000000}">
          <x14:formula1>
            <xm:f>'Data Validation'!$I$4:$I$5</xm:f>
          </x14:formula1>
          <xm:sqref>E5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T1000"/>
  <sheetViews>
    <sheetView topLeftCell="A2" workbookViewId="0">
      <selection activeCell="J26" sqref="J26"/>
    </sheetView>
  </sheetViews>
  <sheetFormatPr defaultColWidth="14.44140625" defaultRowHeight="15" customHeight="1"/>
  <cols>
    <col min="1" max="1" width="8.6640625" customWidth="1"/>
    <col min="2" max="2" width="15" customWidth="1"/>
    <col min="3" max="3" width="9.5546875" customWidth="1"/>
    <col min="4" max="4" width="16.109375" customWidth="1"/>
    <col min="5" max="6" width="8.6640625" customWidth="1"/>
    <col min="7" max="7" width="16.6640625" customWidth="1"/>
    <col min="8" max="8" width="8.6640625" customWidth="1"/>
    <col min="9" max="9" width="9.88671875" customWidth="1"/>
    <col min="10" max="10" width="10.5546875" customWidth="1"/>
    <col min="11" max="11" width="17.6640625" customWidth="1"/>
    <col min="12" max="12" width="11" customWidth="1"/>
    <col min="13" max="13" width="15.88671875" customWidth="1"/>
    <col min="14" max="14" width="8.6640625" customWidth="1"/>
    <col min="15" max="15" width="12.6640625" customWidth="1"/>
    <col min="16" max="26" width="8.6640625" customWidth="1"/>
  </cols>
  <sheetData>
    <row r="1" spans="2:20" ht="14.25" customHeight="1"/>
    <row r="2" spans="2:20" ht="14.25" customHeight="1"/>
    <row r="3" spans="2:20" ht="14.25" customHeight="1">
      <c r="B3" s="1" t="s">
        <v>659</v>
      </c>
      <c r="D3" s="1" t="s">
        <v>664</v>
      </c>
      <c r="F3" s="1" t="s">
        <v>3</v>
      </c>
      <c r="H3" s="1" t="s">
        <v>665</v>
      </c>
      <c r="J3" s="1" t="s">
        <v>666</v>
      </c>
      <c r="L3" s="1" t="s">
        <v>667</v>
      </c>
      <c r="N3" s="71" t="s">
        <v>668</v>
      </c>
      <c r="O3" s="71" t="s">
        <v>81</v>
      </c>
      <c r="P3" s="5" t="s">
        <v>97</v>
      </c>
      <c r="Q3" s="5" t="s">
        <v>85</v>
      </c>
    </row>
    <row r="4" spans="2:20" ht="14.25" customHeight="1">
      <c r="C4" s="1" t="s">
        <v>669</v>
      </c>
      <c r="E4" s="1" t="s">
        <v>670</v>
      </c>
      <c r="G4" s="1" t="s">
        <v>61</v>
      </c>
      <c r="I4" s="1" t="s">
        <v>63</v>
      </c>
      <c r="J4" s="1" t="s">
        <v>63</v>
      </c>
      <c r="M4" s="1" t="s">
        <v>671</v>
      </c>
      <c r="N4" s="72" t="s">
        <v>672</v>
      </c>
      <c r="O4" s="72" t="s">
        <v>673</v>
      </c>
      <c r="P4" s="5"/>
      <c r="Q4" s="5"/>
      <c r="T4" s="3" t="s">
        <v>674</v>
      </c>
    </row>
    <row r="5" spans="2:20" ht="14.25" customHeight="1">
      <c r="C5" s="1" t="s">
        <v>675</v>
      </c>
      <c r="E5" s="1" t="s">
        <v>676</v>
      </c>
      <c r="G5" s="1" t="s">
        <v>677</v>
      </c>
      <c r="I5" s="1" t="s">
        <v>653</v>
      </c>
      <c r="K5" s="1" t="s">
        <v>70</v>
      </c>
      <c r="M5" s="1" t="s">
        <v>116</v>
      </c>
      <c r="N5" s="5" t="s">
        <v>74</v>
      </c>
      <c r="O5" s="5" t="s">
        <v>678</v>
      </c>
      <c r="P5" s="5" t="s">
        <v>678</v>
      </c>
      <c r="Q5" s="5" t="s">
        <v>678</v>
      </c>
      <c r="T5" s="1" t="s">
        <v>16</v>
      </c>
    </row>
    <row r="6" spans="2:20" ht="14.25" customHeight="1">
      <c r="C6" s="1" t="s">
        <v>679</v>
      </c>
      <c r="E6" s="1" t="s">
        <v>680</v>
      </c>
      <c r="G6" s="1" t="s">
        <v>681</v>
      </c>
      <c r="K6" s="1" t="s">
        <v>682</v>
      </c>
      <c r="N6" s="5" t="s">
        <v>683</v>
      </c>
      <c r="O6" s="5"/>
      <c r="P6" s="5"/>
      <c r="Q6" s="5"/>
      <c r="T6" s="1" t="s">
        <v>684</v>
      </c>
    </row>
    <row r="7" spans="2:20" ht="14.25" customHeight="1">
      <c r="E7" s="1" t="s">
        <v>655</v>
      </c>
      <c r="G7" s="1" t="s">
        <v>652</v>
      </c>
      <c r="K7" s="1" t="s">
        <v>64</v>
      </c>
      <c r="N7" s="5" t="s">
        <v>685</v>
      </c>
      <c r="O7" s="5"/>
      <c r="P7" s="5"/>
      <c r="Q7" s="5"/>
      <c r="T7" s="1" t="s">
        <v>13</v>
      </c>
    </row>
    <row r="8" spans="2:20" ht="14.25" customHeight="1">
      <c r="E8" s="1" t="s">
        <v>77</v>
      </c>
      <c r="K8" s="1" t="s">
        <v>81</v>
      </c>
      <c r="N8" s="5" t="s">
        <v>686</v>
      </c>
      <c r="O8" s="5"/>
      <c r="P8" s="5"/>
      <c r="Q8" s="5"/>
    </row>
    <row r="9" spans="2:20" ht="14.25" customHeight="1">
      <c r="E9" s="1" t="s">
        <v>687</v>
      </c>
      <c r="K9" s="1" t="s">
        <v>85</v>
      </c>
    </row>
    <row r="10" spans="2:20" ht="14.25" customHeight="1">
      <c r="E10" s="1" t="s">
        <v>688</v>
      </c>
      <c r="K10" s="1" t="s">
        <v>689</v>
      </c>
    </row>
    <row r="11" spans="2:20" ht="14.25" customHeight="1">
      <c r="E11" s="1" t="s">
        <v>690</v>
      </c>
      <c r="K11" s="1" t="s">
        <v>94</v>
      </c>
    </row>
    <row r="12" spans="2:20" ht="14.25" customHeight="1">
      <c r="E12" s="1" t="s">
        <v>691</v>
      </c>
      <c r="K12" s="1" t="s">
        <v>692</v>
      </c>
    </row>
    <row r="13" spans="2:20" ht="14.25" customHeight="1">
      <c r="K13" s="1" t="s">
        <v>693</v>
      </c>
    </row>
    <row r="14" spans="2:20" ht="14.25" customHeight="1">
      <c r="K14" s="1" t="s">
        <v>694</v>
      </c>
    </row>
    <row r="15" spans="2:20" ht="14.25" customHeight="1">
      <c r="K15" s="1" t="s">
        <v>695</v>
      </c>
    </row>
    <row r="16" spans="2:20" ht="14.25" customHeight="1">
      <c r="K16" s="1" t="s">
        <v>696</v>
      </c>
    </row>
    <row r="17" spans="10:11" ht="14.25" customHeight="1">
      <c r="K17" s="1" t="s">
        <v>106</v>
      </c>
    </row>
    <row r="18" spans="10:11" ht="14.25" customHeight="1">
      <c r="K18" s="1" t="s">
        <v>104</v>
      </c>
    </row>
    <row r="19" spans="10:11" ht="14.25" customHeight="1">
      <c r="K19" s="1" t="s">
        <v>697</v>
      </c>
    </row>
    <row r="20" spans="10:11" ht="14.25" customHeight="1">
      <c r="K20" s="1" t="s">
        <v>698</v>
      </c>
    </row>
    <row r="21" spans="10:11" ht="14.25" customHeight="1"/>
    <row r="22" spans="10:11" ht="14.25" customHeight="1">
      <c r="J22" s="1" t="s">
        <v>653</v>
      </c>
      <c r="K22" s="1" t="s">
        <v>652</v>
      </c>
    </row>
    <row r="23" spans="10:11" ht="14.25" customHeight="1">
      <c r="K23" s="1" t="s">
        <v>699</v>
      </c>
    </row>
    <row r="24" spans="10:11" ht="14.25" customHeight="1">
      <c r="K24" s="1" t="s">
        <v>654</v>
      </c>
    </row>
    <row r="25" spans="10:11" ht="14.25" customHeight="1">
      <c r="K25" s="1" t="s">
        <v>700</v>
      </c>
    </row>
    <row r="26" spans="10:11" ht="14.25" customHeight="1">
      <c r="K26" s="1" t="s">
        <v>701</v>
      </c>
    </row>
    <row r="27" spans="10:11" ht="14.25" customHeight="1">
      <c r="K27" s="1" t="s">
        <v>702</v>
      </c>
    </row>
    <row r="28" spans="10:11" ht="14.25" customHeight="1">
      <c r="K28" s="1" t="s">
        <v>703</v>
      </c>
    </row>
    <row r="29" spans="10:11" ht="14.25" customHeight="1"/>
    <row r="30" spans="10:11" ht="14.25" customHeight="1"/>
    <row r="31" spans="10:11" ht="14.25" customHeight="1"/>
    <row r="32" spans="10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G1000"/>
  <sheetViews>
    <sheetView topLeftCell="A3" workbookViewId="0"/>
  </sheetViews>
  <sheetFormatPr defaultColWidth="14.44140625" defaultRowHeight="15" customHeight="1"/>
  <cols>
    <col min="1" max="1" width="8.6640625" customWidth="1"/>
    <col min="2" max="2" width="12.33203125" customWidth="1"/>
    <col min="3" max="3" width="14.109375" customWidth="1"/>
    <col min="4" max="4" width="6.33203125" customWidth="1"/>
    <col min="5" max="5" width="8.6640625" customWidth="1"/>
    <col min="6" max="6" width="7.6640625" customWidth="1"/>
    <col min="7" max="7" width="10.88671875" customWidth="1"/>
    <col min="8" max="26" width="8.6640625" customWidth="1"/>
  </cols>
  <sheetData>
    <row r="1" spans="2:7" ht="14.25" customHeight="1"/>
    <row r="2" spans="2:7" ht="14.25" customHeight="1"/>
    <row r="3" spans="2:7" ht="14.25" customHeight="1">
      <c r="B3" s="143" t="s">
        <v>704</v>
      </c>
      <c r="C3" s="143" t="s">
        <v>3</v>
      </c>
      <c r="D3" s="143" t="s">
        <v>127</v>
      </c>
      <c r="E3" s="145" t="s">
        <v>705</v>
      </c>
      <c r="F3" s="143" t="s">
        <v>126</v>
      </c>
      <c r="G3" s="143" t="s">
        <v>143</v>
      </c>
    </row>
    <row r="4" spans="2:7" ht="14.25" customHeight="1">
      <c r="B4" s="144"/>
      <c r="C4" s="144"/>
      <c r="D4" s="144"/>
      <c r="E4" s="144"/>
      <c r="F4" s="144"/>
      <c r="G4" s="144"/>
    </row>
    <row r="5" spans="2:7" ht="14.25" customHeight="1">
      <c r="B5" s="73"/>
      <c r="C5" s="74"/>
      <c r="D5" s="73"/>
      <c r="E5" s="75"/>
      <c r="F5" s="73"/>
      <c r="G5" s="73"/>
    </row>
    <row r="6" spans="2:7" ht="14.25" customHeight="1">
      <c r="B6" s="76" t="s">
        <v>139</v>
      </c>
      <c r="C6" s="76" t="s">
        <v>706</v>
      </c>
      <c r="D6" s="76" t="s">
        <v>707</v>
      </c>
      <c r="E6" s="77">
        <v>11000</v>
      </c>
      <c r="F6" s="76" t="s">
        <v>708</v>
      </c>
      <c r="G6" s="76"/>
    </row>
    <row r="7" spans="2:7" ht="14.25" customHeight="1">
      <c r="B7" s="76" t="s">
        <v>139</v>
      </c>
      <c r="C7" s="76" t="s">
        <v>706</v>
      </c>
      <c r="D7" s="76" t="s">
        <v>707</v>
      </c>
      <c r="E7" s="77">
        <v>11026.773999999999</v>
      </c>
      <c r="F7" s="76" t="s">
        <v>709</v>
      </c>
      <c r="G7" s="76" t="str">
        <f t="shared" ref="G7:G42" si="0">CONCATENATE(F6,"-",F7)</f>
        <v>PL1B-PL1A</v>
      </c>
    </row>
    <row r="8" spans="2:7" ht="14.25" customHeight="1">
      <c r="B8" s="76" t="s">
        <v>139</v>
      </c>
      <c r="C8" s="76" t="s">
        <v>710</v>
      </c>
      <c r="D8" s="76" t="s">
        <v>707</v>
      </c>
      <c r="E8" s="77">
        <v>11053.549000000001</v>
      </c>
      <c r="F8" s="76" t="s">
        <v>711</v>
      </c>
      <c r="G8" s="76" t="str">
        <f t="shared" si="0"/>
        <v>PL1A-PL1</v>
      </c>
    </row>
    <row r="9" spans="2:7" ht="14.25" customHeight="1">
      <c r="B9" s="76" t="s">
        <v>139</v>
      </c>
      <c r="C9" s="76" t="s">
        <v>710</v>
      </c>
      <c r="D9" s="76" t="s">
        <v>707</v>
      </c>
      <c r="E9" s="77">
        <v>11094.175999999999</v>
      </c>
      <c r="F9" s="76" t="s">
        <v>712</v>
      </c>
      <c r="G9" s="76" t="str">
        <f t="shared" si="0"/>
        <v>PL1-PL2</v>
      </c>
    </row>
    <row r="10" spans="2:7" ht="14.25" customHeight="1">
      <c r="B10" s="76" t="s">
        <v>139</v>
      </c>
      <c r="C10" s="76" t="s">
        <v>710</v>
      </c>
      <c r="D10" s="76" t="s">
        <v>707</v>
      </c>
      <c r="E10" s="77">
        <v>11134.803</v>
      </c>
      <c r="F10" s="76" t="s">
        <v>713</v>
      </c>
      <c r="G10" s="76" t="str">
        <f t="shared" si="0"/>
        <v>PL2-PL3</v>
      </c>
    </row>
    <row r="11" spans="2:7" ht="14.25" customHeight="1">
      <c r="B11" s="76" t="s">
        <v>139</v>
      </c>
      <c r="C11" s="76" t="s">
        <v>710</v>
      </c>
      <c r="D11" s="76" t="s">
        <v>707</v>
      </c>
      <c r="E11" s="77">
        <v>11175.431</v>
      </c>
      <c r="F11" s="76" t="s">
        <v>714</v>
      </c>
      <c r="G11" s="76" t="str">
        <f t="shared" si="0"/>
        <v>PL3-PL4</v>
      </c>
    </row>
    <row r="12" spans="2:7" ht="14.25" customHeight="1">
      <c r="B12" s="76" t="s">
        <v>139</v>
      </c>
      <c r="C12" s="76" t="s">
        <v>706</v>
      </c>
      <c r="D12" s="76" t="s">
        <v>707</v>
      </c>
      <c r="E12" s="77">
        <v>11216.058000000001</v>
      </c>
      <c r="F12" s="76" t="s">
        <v>715</v>
      </c>
      <c r="G12" s="76" t="str">
        <f t="shared" si="0"/>
        <v>PL4-PL5</v>
      </c>
    </row>
    <row r="13" spans="2:7" ht="14.25" customHeight="1">
      <c r="B13" s="76" t="s">
        <v>139</v>
      </c>
      <c r="C13" s="76" t="s">
        <v>706</v>
      </c>
      <c r="D13" s="76" t="s">
        <v>707</v>
      </c>
      <c r="E13" s="77">
        <v>11256.686</v>
      </c>
      <c r="F13" s="76" t="s">
        <v>716</v>
      </c>
      <c r="G13" s="76" t="str">
        <f t="shared" si="0"/>
        <v>PL5-PL6</v>
      </c>
    </row>
    <row r="14" spans="2:7" ht="14.25" customHeight="1">
      <c r="B14" s="76" t="s">
        <v>139</v>
      </c>
      <c r="C14" s="76" t="s">
        <v>706</v>
      </c>
      <c r="D14" s="76" t="s">
        <v>707</v>
      </c>
      <c r="E14" s="77">
        <v>11306.267</v>
      </c>
      <c r="F14" s="76" t="s">
        <v>717</v>
      </c>
      <c r="G14" s="76" t="str">
        <f t="shared" si="0"/>
        <v>PL6-PL7</v>
      </c>
    </row>
    <row r="15" spans="2:7" ht="14.25" customHeight="1">
      <c r="B15" s="76" t="s">
        <v>139</v>
      </c>
      <c r="C15" s="76" t="s">
        <v>706</v>
      </c>
      <c r="D15" s="76" t="s">
        <v>707</v>
      </c>
      <c r="E15" s="77">
        <v>11355.85</v>
      </c>
      <c r="F15" s="76" t="s">
        <v>718</v>
      </c>
      <c r="G15" s="76" t="str">
        <f t="shared" si="0"/>
        <v>PL7-PL8</v>
      </c>
    </row>
    <row r="16" spans="2:7" ht="14.25" customHeight="1">
      <c r="B16" s="76" t="s">
        <v>139</v>
      </c>
      <c r="C16" s="76" t="s">
        <v>710</v>
      </c>
      <c r="D16" s="76" t="s">
        <v>707</v>
      </c>
      <c r="E16" s="77">
        <v>11402.447</v>
      </c>
      <c r="F16" s="76" t="s">
        <v>719</v>
      </c>
      <c r="G16" s="76" t="str">
        <f t="shared" si="0"/>
        <v>PL8-PL9</v>
      </c>
    </row>
    <row r="17" spans="2:7" ht="14.25" customHeight="1">
      <c r="B17" s="76" t="s">
        <v>139</v>
      </c>
      <c r="C17" s="76" t="s">
        <v>710</v>
      </c>
      <c r="D17" s="76" t="s">
        <v>707</v>
      </c>
      <c r="E17" s="77">
        <v>11446.058999999999</v>
      </c>
      <c r="F17" s="76" t="s">
        <v>720</v>
      </c>
      <c r="G17" s="76" t="str">
        <f t="shared" si="0"/>
        <v>PL9-PL10</v>
      </c>
    </row>
    <row r="18" spans="2:7" ht="14.25" customHeight="1">
      <c r="B18" s="76" t="s">
        <v>139</v>
      </c>
      <c r="C18" s="76" t="s">
        <v>710</v>
      </c>
      <c r="D18" s="76" t="s">
        <v>707</v>
      </c>
      <c r="E18" s="77">
        <v>11489.671</v>
      </c>
      <c r="F18" s="76" t="s">
        <v>721</v>
      </c>
      <c r="G18" s="76" t="str">
        <f t="shared" si="0"/>
        <v>PL10-PL11</v>
      </c>
    </row>
    <row r="19" spans="2:7" ht="14.25" customHeight="1">
      <c r="B19" s="76" t="s">
        <v>139</v>
      </c>
      <c r="C19" s="76" t="s">
        <v>710</v>
      </c>
      <c r="D19" s="76" t="s">
        <v>707</v>
      </c>
      <c r="E19" s="77">
        <v>11533.282999999999</v>
      </c>
      <c r="F19" s="76" t="s">
        <v>722</v>
      </c>
      <c r="G19" s="76" t="str">
        <f t="shared" si="0"/>
        <v>PL11-PL12</v>
      </c>
    </row>
    <row r="20" spans="2:7" ht="14.25" customHeight="1">
      <c r="B20" s="76" t="s">
        <v>139</v>
      </c>
      <c r="C20" s="76" t="s">
        <v>710</v>
      </c>
      <c r="D20" s="76" t="s">
        <v>707</v>
      </c>
      <c r="E20" s="77">
        <v>11576.896000000001</v>
      </c>
      <c r="F20" s="76" t="s">
        <v>723</v>
      </c>
      <c r="G20" s="76" t="str">
        <f t="shared" si="0"/>
        <v>PL12-PL13</v>
      </c>
    </row>
    <row r="21" spans="2:7" ht="14.25" customHeight="1">
      <c r="B21" s="76" t="s">
        <v>139</v>
      </c>
      <c r="C21" s="76" t="s">
        <v>710</v>
      </c>
      <c r="D21" s="76" t="s">
        <v>707</v>
      </c>
      <c r="E21" s="77">
        <v>11617.522999999999</v>
      </c>
      <c r="F21" s="76" t="s">
        <v>724</v>
      </c>
      <c r="G21" s="76" t="str">
        <f t="shared" si="0"/>
        <v>PL13-PL14</v>
      </c>
    </row>
    <row r="22" spans="2:7" ht="14.25" customHeight="1">
      <c r="B22" s="76" t="s">
        <v>139</v>
      </c>
      <c r="C22" s="76" t="s">
        <v>706</v>
      </c>
      <c r="D22" s="76" t="s">
        <v>707</v>
      </c>
      <c r="E22" s="77">
        <v>11658.151</v>
      </c>
      <c r="F22" s="76" t="s">
        <v>725</v>
      </c>
      <c r="G22" s="76" t="str">
        <f t="shared" si="0"/>
        <v>PL14-PL15</v>
      </c>
    </row>
    <row r="23" spans="2:7" ht="14.25" customHeight="1">
      <c r="B23" s="76" t="s">
        <v>139</v>
      </c>
      <c r="C23" s="76" t="s">
        <v>706</v>
      </c>
      <c r="D23" s="76" t="s">
        <v>707</v>
      </c>
      <c r="E23" s="77">
        <v>11698.843000000001</v>
      </c>
      <c r="F23" s="76" t="s">
        <v>726</v>
      </c>
      <c r="G23" s="76" t="str">
        <f t="shared" si="0"/>
        <v>PL15-PL16</v>
      </c>
    </row>
    <row r="24" spans="2:7" ht="14.25" customHeight="1">
      <c r="B24" s="76" t="s">
        <v>139</v>
      </c>
      <c r="C24" s="76" t="s">
        <v>706</v>
      </c>
      <c r="D24" s="76" t="s">
        <v>707</v>
      </c>
      <c r="E24" s="77">
        <v>11739.536</v>
      </c>
      <c r="F24" s="76" t="s">
        <v>727</v>
      </c>
      <c r="G24" s="76" t="str">
        <f t="shared" si="0"/>
        <v>PL16-PL17</v>
      </c>
    </row>
    <row r="25" spans="2:7" ht="14.25" customHeight="1">
      <c r="B25" s="76" t="s">
        <v>139</v>
      </c>
      <c r="C25" s="76" t="s">
        <v>706</v>
      </c>
      <c r="D25" s="76" t="s">
        <v>707</v>
      </c>
      <c r="E25" s="77">
        <v>11780.45</v>
      </c>
      <c r="F25" s="76" t="s">
        <v>728</v>
      </c>
      <c r="G25" s="76" t="str">
        <f t="shared" si="0"/>
        <v>PL17-PL18</v>
      </c>
    </row>
    <row r="26" spans="2:7" ht="14.25" customHeight="1">
      <c r="B26" s="76" t="s">
        <v>139</v>
      </c>
      <c r="C26" s="76" t="s">
        <v>706</v>
      </c>
      <c r="D26" s="76" t="s">
        <v>707</v>
      </c>
      <c r="E26" s="77">
        <v>11821.050999999999</v>
      </c>
      <c r="F26" s="76" t="s">
        <v>729</v>
      </c>
      <c r="G26" s="76" t="str">
        <f t="shared" si="0"/>
        <v>PL18-PL19</v>
      </c>
    </row>
    <row r="27" spans="2:7" ht="14.25" customHeight="1">
      <c r="B27" s="76" t="s">
        <v>139</v>
      </c>
      <c r="C27" s="76" t="s">
        <v>706</v>
      </c>
      <c r="D27" s="76" t="s">
        <v>707</v>
      </c>
      <c r="E27" s="77">
        <v>11860.944</v>
      </c>
      <c r="F27" s="76" t="s">
        <v>730</v>
      </c>
      <c r="G27" s="76" t="str">
        <f t="shared" si="0"/>
        <v>PL19-PL20</v>
      </c>
    </row>
    <row r="28" spans="2:7" ht="14.25" customHeight="1">
      <c r="B28" s="76" t="s">
        <v>139</v>
      </c>
      <c r="C28" s="76" t="s">
        <v>706</v>
      </c>
      <c r="D28" s="76" t="s">
        <v>707</v>
      </c>
      <c r="E28" s="77">
        <v>11901.545</v>
      </c>
      <c r="F28" s="76" t="s">
        <v>731</v>
      </c>
      <c r="G28" s="76" t="str">
        <f t="shared" si="0"/>
        <v>PL20-PL21</v>
      </c>
    </row>
    <row r="29" spans="2:7" ht="14.25" customHeight="1">
      <c r="B29" s="76" t="s">
        <v>139</v>
      </c>
      <c r="C29" s="76" t="s">
        <v>706</v>
      </c>
      <c r="D29" s="76" t="s">
        <v>707</v>
      </c>
      <c r="E29" s="77">
        <v>11942.458000000001</v>
      </c>
      <c r="F29" s="76" t="s">
        <v>732</v>
      </c>
      <c r="G29" s="76" t="str">
        <f t="shared" si="0"/>
        <v>PL21-PL22</v>
      </c>
    </row>
    <row r="30" spans="2:7" ht="14.25" customHeight="1">
      <c r="B30" s="76" t="s">
        <v>139</v>
      </c>
      <c r="C30" s="76" t="s">
        <v>706</v>
      </c>
      <c r="D30" s="76" t="s">
        <v>707</v>
      </c>
      <c r="E30" s="77">
        <v>11992.040999999999</v>
      </c>
      <c r="F30" s="76" t="s">
        <v>733</v>
      </c>
      <c r="G30" s="76" t="str">
        <f t="shared" si="0"/>
        <v>PL22-PL23</v>
      </c>
    </row>
    <row r="31" spans="2:7" ht="14.25" customHeight="1">
      <c r="B31" s="76" t="s">
        <v>139</v>
      </c>
      <c r="C31" s="76" t="s">
        <v>706</v>
      </c>
      <c r="D31" s="76" t="s">
        <v>707</v>
      </c>
      <c r="E31" s="77">
        <v>12041.623</v>
      </c>
      <c r="F31" s="76" t="s">
        <v>734</v>
      </c>
      <c r="G31" s="76" t="str">
        <f t="shared" si="0"/>
        <v>PL23-PL24</v>
      </c>
    </row>
    <row r="32" spans="2:7" ht="14.25" customHeight="1">
      <c r="B32" s="76" t="s">
        <v>139</v>
      </c>
      <c r="C32" s="76" t="s">
        <v>706</v>
      </c>
      <c r="D32" s="76" t="s">
        <v>707</v>
      </c>
      <c r="E32" s="77">
        <v>12091.205</v>
      </c>
      <c r="F32" s="76" t="s">
        <v>735</v>
      </c>
      <c r="G32" s="76" t="str">
        <f t="shared" si="0"/>
        <v>PL24-PL25</v>
      </c>
    </row>
    <row r="33" spans="2:7" ht="14.25" customHeight="1">
      <c r="B33" s="76" t="s">
        <v>139</v>
      </c>
      <c r="C33" s="76" t="s">
        <v>706</v>
      </c>
      <c r="D33" s="76" t="s">
        <v>707</v>
      </c>
      <c r="E33" s="77">
        <v>12140.787</v>
      </c>
      <c r="F33" s="76" t="s">
        <v>736</v>
      </c>
      <c r="G33" s="76" t="str">
        <f t="shared" si="0"/>
        <v>PL25-PL26</v>
      </c>
    </row>
    <row r="34" spans="2:7" ht="14.25" customHeight="1">
      <c r="B34" s="76" t="s">
        <v>139</v>
      </c>
      <c r="C34" s="76" t="s">
        <v>706</v>
      </c>
      <c r="D34" s="76" t="s">
        <v>707</v>
      </c>
      <c r="E34" s="77">
        <v>12190.369000000001</v>
      </c>
      <c r="F34" s="76" t="s">
        <v>737</v>
      </c>
      <c r="G34" s="76" t="str">
        <f t="shared" si="0"/>
        <v>PL26-PL27</v>
      </c>
    </row>
    <row r="35" spans="2:7" ht="14.25" customHeight="1">
      <c r="B35" s="76" t="s">
        <v>139</v>
      </c>
      <c r="C35" s="76" t="s">
        <v>706</v>
      </c>
      <c r="D35" s="76" t="s">
        <v>707</v>
      </c>
      <c r="E35" s="77">
        <v>12239.950999999999</v>
      </c>
      <c r="F35" s="76" t="s">
        <v>738</v>
      </c>
      <c r="G35" s="76" t="str">
        <f t="shared" si="0"/>
        <v>PL27-PL28</v>
      </c>
    </row>
    <row r="36" spans="2:7" ht="14.25" customHeight="1">
      <c r="B36" s="76" t="s">
        <v>139</v>
      </c>
      <c r="C36" s="76" t="s">
        <v>706</v>
      </c>
      <c r="D36" s="76" t="s">
        <v>707</v>
      </c>
      <c r="E36" s="77">
        <v>12289.531999999999</v>
      </c>
      <c r="F36" s="76" t="s">
        <v>739</v>
      </c>
      <c r="G36" s="76" t="str">
        <f t="shared" si="0"/>
        <v>PL28-PL29</v>
      </c>
    </row>
    <row r="37" spans="2:7" ht="14.25" customHeight="1">
      <c r="B37" s="76" t="s">
        <v>139</v>
      </c>
      <c r="C37" s="76" t="s">
        <v>706</v>
      </c>
      <c r="D37" s="76" t="s">
        <v>707</v>
      </c>
      <c r="E37" s="77">
        <v>12339.114</v>
      </c>
      <c r="F37" s="76" t="s">
        <v>740</v>
      </c>
      <c r="G37" s="76" t="str">
        <f t="shared" si="0"/>
        <v>PL29-PL30</v>
      </c>
    </row>
    <row r="38" spans="2:7" ht="14.25" customHeight="1">
      <c r="B38" s="76" t="s">
        <v>139</v>
      </c>
      <c r="C38" s="76" t="s">
        <v>706</v>
      </c>
      <c r="D38" s="76" t="s">
        <v>707</v>
      </c>
      <c r="E38" s="77">
        <v>12388.825000000001</v>
      </c>
      <c r="F38" s="76" t="s">
        <v>741</v>
      </c>
      <c r="G38" s="76" t="str">
        <f t="shared" si="0"/>
        <v>PL30-PL31</v>
      </c>
    </row>
    <row r="39" spans="2:7" ht="14.25" customHeight="1">
      <c r="B39" s="76" t="s">
        <v>139</v>
      </c>
      <c r="C39" s="76" t="s">
        <v>706</v>
      </c>
      <c r="D39" s="76" t="s">
        <v>707</v>
      </c>
      <c r="E39" s="77">
        <v>12438.772999999999</v>
      </c>
      <c r="F39" s="76" t="s">
        <v>742</v>
      </c>
      <c r="G39" s="76" t="str">
        <f t="shared" si="0"/>
        <v>PL31-PL32</v>
      </c>
    </row>
    <row r="40" spans="2:7" ht="14.25" customHeight="1">
      <c r="B40" s="76" t="s">
        <v>139</v>
      </c>
      <c r="C40" s="76" t="s">
        <v>706</v>
      </c>
      <c r="D40" s="76" t="s">
        <v>707</v>
      </c>
      <c r="E40" s="77">
        <v>12473.723</v>
      </c>
      <c r="F40" s="76" t="s">
        <v>743</v>
      </c>
      <c r="G40" s="76" t="str">
        <f t="shared" si="0"/>
        <v>PL32-PL33</v>
      </c>
    </row>
    <row r="41" spans="2:7" ht="14.25" customHeight="1">
      <c r="B41" s="76" t="s">
        <v>139</v>
      </c>
      <c r="C41" s="76" t="s">
        <v>706</v>
      </c>
      <c r="D41" s="76" t="s">
        <v>707</v>
      </c>
      <c r="E41" s="77">
        <v>12508.673000000001</v>
      </c>
      <c r="F41" s="76" t="s">
        <v>744</v>
      </c>
      <c r="G41" s="76" t="str">
        <f t="shared" si="0"/>
        <v>PL33-PL34</v>
      </c>
    </row>
    <row r="42" spans="2:7" ht="14.25" customHeight="1">
      <c r="B42" s="76" t="s">
        <v>139</v>
      </c>
      <c r="C42" s="76" t="s">
        <v>706</v>
      </c>
      <c r="D42" s="76" t="s">
        <v>707</v>
      </c>
      <c r="E42" s="77">
        <v>12552.653</v>
      </c>
      <c r="F42" s="76" t="s">
        <v>745</v>
      </c>
      <c r="G42" s="76" t="str">
        <f t="shared" si="0"/>
        <v>PL34-PL35</v>
      </c>
    </row>
    <row r="43" spans="2:7" ht="14.25" customHeight="1">
      <c r="B43" s="78" t="s">
        <v>746</v>
      </c>
      <c r="C43" s="78" t="s">
        <v>747</v>
      </c>
      <c r="D43" s="78" t="s">
        <v>707</v>
      </c>
      <c r="E43" s="79">
        <v>12552.653</v>
      </c>
      <c r="F43" s="78" t="s">
        <v>745</v>
      </c>
      <c r="G43" s="78"/>
    </row>
    <row r="44" spans="2:7" ht="14.25" customHeight="1">
      <c r="B44" s="78" t="s">
        <v>746</v>
      </c>
      <c r="C44" s="78" t="s">
        <v>747</v>
      </c>
      <c r="D44" s="78" t="s">
        <v>707</v>
      </c>
      <c r="E44" s="79">
        <v>12652.653</v>
      </c>
      <c r="F44" s="78" t="s">
        <v>748</v>
      </c>
      <c r="G44" s="78" t="str">
        <f>CONCATENATE(F42,"-",F44)</f>
        <v>PL35-PL36</v>
      </c>
    </row>
    <row r="45" spans="2:7" ht="14.25" customHeight="1">
      <c r="B45" s="76" t="s">
        <v>139</v>
      </c>
      <c r="C45" s="76" t="s">
        <v>706</v>
      </c>
      <c r="D45" s="76" t="s">
        <v>707</v>
      </c>
      <c r="E45" s="77">
        <v>12652.653</v>
      </c>
      <c r="F45" s="76" t="s">
        <v>748</v>
      </c>
      <c r="G45" s="76"/>
    </row>
    <row r="46" spans="2:7" ht="14.25" customHeight="1">
      <c r="B46" s="76" t="s">
        <v>139</v>
      </c>
      <c r="C46" s="76" t="s">
        <v>706</v>
      </c>
      <c r="D46" s="76" t="s">
        <v>707</v>
      </c>
      <c r="E46" s="77">
        <v>12693.919</v>
      </c>
      <c r="F46" s="76" t="s">
        <v>749</v>
      </c>
      <c r="G46" s="76" t="str">
        <f>CONCATENATE(F44,"-",F46)</f>
        <v>PL36-PL37</v>
      </c>
    </row>
    <row r="47" spans="2:7" ht="14.25" customHeight="1">
      <c r="B47" s="76" t="s">
        <v>139</v>
      </c>
      <c r="C47" s="76" t="s">
        <v>706</v>
      </c>
      <c r="D47" s="76" t="s">
        <v>707</v>
      </c>
      <c r="E47" s="77">
        <v>12734.905000000001</v>
      </c>
      <c r="F47" s="76" t="s">
        <v>750</v>
      </c>
      <c r="G47" s="76" t="str">
        <f t="shared" ref="G47:G71" si="1">CONCATENATE(F46,"-",F47)</f>
        <v>PL37-PL38</v>
      </c>
    </row>
    <row r="48" spans="2:7" ht="14.25" customHeight="1">
      <c r="B48" s="76" t="s">
        <v>139</v>
      </c>
      <c r="C48" s="76" t="s">
        <v>706</v>
      </c>
      <c r="D48" s="76" t="s">
        <v>707</v>
      </c>
      <c r="E48" s="77">
        <v>12775.199000000001</v>
      </c>
      <c r="F48" s="76" t="s">
        <v>751</v>
      </c>
      <c r="G48" s="76" t="str">
        <f t="shared" si="1"/>
        <v>PL38-PL39</v>
      </c>
    </row>
    <row r="49" spans="2:7" ht="14.25" customHeight="1">
      <c r="B49" s="76" t="s">
        <v>139</v>
      </c>
      <c r="C49" s="76" t="s">
        <v>706</v>
      </c>
      <c r="D49" s="76" t="s">
        <v>707</v>
      </c>
      <c r="E49" s="77">
        <v>12816.182000000001</v>
      </c>
      <c r="F49" s="76" t="s">
        <v>752</v>
      </c>
      <c r="G49" s="76" t="str">
        <f t="shared" si="1"/>
        <v>PL39-PL40</v>
      </c>
    </row>
    <row r="50" spans="2:7" ht="14.25" customHeight="1">
      <c r="B50" s="76" t="s">
        <v>139</v>
      </c>
      <c r="C50" s="76" t="s">
        <v>706</v>
      </c>
      <c r="D50" s="76" t="s">
        <v>707</v>
      </c>
      <c r="E50" s="77">
        <v>12857.449000000001</v>
      </c>
      <c r="F50" s="76" t="s">
        <v>753</v>
      </c>
      <c r="G50" s="76" t="str">
        <f t="shared" si="1"/>
        <v>PL40-PL41</v>
      </c>
    </row>
    <row r="51" spans="2:7" ht="14.25" customHeight="1">
      <c r="B51" s="76" t="s">
        <v>139</v>
      </c>
      <c r="C51" s="76" t="s">
        <v>706</v>
      </c>
      <c r="D51" s="76" t="s">
        <v>707</v>
      </c>
      <c r="E51" s="77">
        <v>12907.449000000001</v>
      </c>
      <c r="F51" s="76" t="s">
        <v>754</v>
      </c>
      <c r="G51" s="76" t="str">
        <f t="shared" si="1"/>
        <v>PL41-PL42</v>
      </c>
    </row>
    <row r="52" spans="2:7" ht="14.25" customHeight="1">
      <c r="B52" s="76" t="s">
        <v>139</v>
      </c>
      <c r="C52" s="76" t="s">
        <v>706</v>
      </c>
      <c r="D52" s="76" t="s">
        <v>707</v>
      </c>
      <c r="E52" s="77">
        <v>12957.449000000001</v>
      </c>
      <c r="F52" s="76" t="s">
        <v>755</v>
      </c>
      <c r="G52" s="76" t="str">
        <f t="shared" si="1"/>
        <v>PL42-PL43</v>
      </c>
    </row>
    <row r="53" spans="2:7" ht="14.25" customHeight="1">
      <c r="B53" s="76" t="s">
        <v>139</v>
      </c>
      <c r="C53" s="76" t="s">
        <v>706</v>
      </c>
      <c r="D53" s="76" t="s">
        <v>707</v>
      </c>
      <c r="E53" s="77">
        <v>13007.449000000001</v>
      </c>
      <c r="F53" s="76" t="s">
        <v>756</v>
      </c>
      <c r="G53" s="76" t="str">
        <f t="shared" si="1"/>
        <v>PL43-PL44</v>
      </c>
    </row>
    <row r="54" spans="2:7" ht="14.25" customHeight="1">
      <c r="B54" s="76" t="s">
        <v>139</v>
      </c>
      <c r="C54" s="76" t="s">
        <v>706</v>
      </c>
      <c r="D54" s="76" t="s">
        <v>707</v>
      </c>
      <c r="E54" s="77">
        <v>13057.449000000001</v>
      </c>
      <c r="F54" s="76" t="s">
        <v>757</v>
      </c>
      <c r="G54" s="76" t="str">
        <f t="shared" si="1"/>
        <v>PL44-PL45</v>
      </c>
    </row>
    <row r="55" spans="2:7" ht="14.25" customHeight="1">
      <c r="B55" s="76" t="s">
        <v>139</v>
      </c>
      <c r="C55" s="76" t="s">
        <v>706</v>
      </c>
      <c r="D55" s="76" t="s">
        <v>707</v>
      </c>
      <c r="E55" s="77">
        <v>13107.449000000001</v>
      </c>
      <c r="F55" s="76" t="s">
        <v>758</v>
      </c>
      <c r="G55" s="76" t="str">
        <f t="shared" si="1"/>
        <v>PL45-PL46</v>
      </c>
    </row>
    <row r="56" spans="2:7" ht="14.25" customHeight="1">
      <c r="B56" s="76" t="s">
        <v>139</v>
      </c>
      <c r="C56" s="76" t="s">
        <v>706</v>
      </c>
      <c r="D56" s="76" t="s">
        <v>707</v>
      </c>
      <c r="E56" s="77">
        <v>13157.449000000001</v>
      </c>
      <c r="F56" s="76" t="s">
        <v>759</v>
      </c>
      <c r="G56" s="76" t="str">
        <f t="shared" si="1"/>
        <v>PL46-PL47</v>
      </c>
    </row>
    <row r="57" spans="2:7" ht="14.25" customHeight="1">
      <c r="B57" s="76" t="s">
        <v>139</v>
      </c>
      <c r="C57" s="76" t="s">
        <v>706</v>
      </c>
      <c r="D57" s="76" t="s">
        <v>707</v>
      </c>
      <c r="E57" s="77">
        <v>13207.449000000001</v>
      </c>
      <c r="F57" s="76" t="s">
        <v>760</v>
      </c>
      <c r="G57" s="76" t="str">
        <f t="shared" si="1"/>
        <v>PL47-PL48</v>
      </c>
    </row>
    <row r="58" spans="2:7" ht="14.25" customHeight="1">
      <c r="B58" s="76" t="s">
        <v>139</v>
      </c>
      <c r="C58" s="76" t="s">
        <v>706</v>
      </c>
      <c r="D58" s="76" t="s">
        <v>707</v>
      </c>
      <c r="E58" s="77">
        <v>13257.449000000001</v>
      </c>
      <c r="F58" s="76" t="s">
        <v>761</v>
      </c>
      <c r="G58" s="76" t="str">
        <f t="shared" si="1"/>
        <v>PL48-PL49</v>
      </c>
    </row>
    <row r="59" spans="2:7" ht="14.25" customHeight="1">
      <c r="B59" s="76" t="s">
        <v>139</v>
      </c>
      <c r="C59" s="76" t="s">
        <v>706</v>
      </c>
      <c r="D59" s="76" t="s">
        <v>707</v>
      </c>
      <c r="E59" s="77">
        <v>13307.449000000001</v>
      </c>
      <c r="F59" s="76" t="s">
        <v>762</v>
      </c>
      <c r="G59" s="76" t="str">
        <f t="shared" si="1"/>
        <v>PL49-PL50</v>
      </c>
    </row>
    <row r="60" spans="2:7" ht="14.25" customHeight="1">
      <c r="B60" s="76" t="s">
        <v>139</v>
      </c>
      <c r="C60" s="76" t="s">
        <v>706</v>
      </c>
      <c r="D60" s="76" t="s">
        <v>707</v>
      </c>
      <c r="E60" s="77">
        <v>13357.449000000001</v>
      </c>
      <c r="F60" s="76" t="s">
        <v>763</v>
      </c>
      <c r="G60" s="76" t="str">
        <f t="shared" si="1"/>
        <v>PL50-PL51</v>
      </c>
    </row>
    <row r="61" spans="2:7" ht="14.25" customHeight="1">
      <c r="B61" s="76" t="s">
        <v>139</v>
      </c>
      <c r="C61" s="76" t="s">
        <v>706</v>
      </c>
      <c r="D61" s="76" t="s">
        <v>707</v>
      </c>
      <c r="E61" s="77">
        <v>13407.449000000001</v>
      </c>
      <c r="F61" s="76" t="s">
        <v>764</v>
      </c>
      <c r="G61" s="76" t="str">
        <f t="shared" si="1"/>
        <v>PL51-PL52</v>
      </c>
    </row>
    <row r="62" spans="2:7" ht="14.25" customHeight="1">
      <c r="B62" s="76" t="s">
        <v>139</v>
      </c>
      <c r="C62" s="76" t="s">
        <v>706</v>
      </c>
      <c r="D62" s="76" t="s">
        <v>707</v>
      </c>
      <c r="E62" s="77">
        <v>13457.407999999999</v>
      </c>
      <c r="F62" s="76" t="s">
        <v>765</v>
      </c>
      <c r="G62" s="76" t="str">
        <f t="shared" si="1"/>
        <v>PL52-PL53</v>
      </c>
    </row>
    <row r="63" spans="2:7" ht="14.25" customHeight="1">
      <c r="B63" s="76" t="s">
        <v>139</v>
      </c>
      <c r="C63" s="76" t="s">
        <v>706</v>
      </c>
      <c r="D63" s="76" t="s">
        <v>707</v>
      </c>
      <c r="E63" s="77">
        <v>13507.117</v>
      </c>
      <c r="F63" s="76" t="s">
        <v>766</v>
      </c>
      <c r="G63" s="76" t="str">
        <f t="shared" si="1"/>
        <v>PL53-PL54</v>
      </c>
    </row>
    <row r="64" spans="2:7" ht="14.25" customHeight="1">
      <c r="B64" s="76" t="s">
        <v>139</v>
      </c>
      <c r="C64" s="76" t="s">
        <v>706</v>
      </c>
      <c r="D64" s="76" t="s">
        <v>707</v>
      </c>
      <c r="E64" s="77">
        <v>13546.782999999999</v>
      </c>
      <c r="F64" s="76" t="s">
        <v>767</v>
      </c>
      <c r="G64" s="76" t="str">
        <f t="shared" si="1"/>
        <v>PL54-PL55</v>
      </c>
    </row>
    <row r="65" spans="2:7" ht="14.25" customHeight="1">
      <c r="B65" s="76" t="s">
        <v>139</v>
      </c>
      <c r="C65" s="76" t="s">
        <v>706</v>
      </c>
      <c r="D65" s="76" t="s">
        <v>707</v>
      </c>
      <c r="E65" s="77">
        <v>13586.453</v>
      </c>
      <c r="F65" s="76" t="s">
        <v>768</v>
      </c>
      <c r="G65" s="76" t="str">
        <f t="shared" si="1"/>
        <v>PL55-PL56</v>
      </c>
    </row>
    <row r="66" spans="2:7" ht="14.25" customHeight="1">
      <c r="B66" s="76" t="s">
        <v>139</v>
      </c>
      <c r="C66" s="76" t="s">
        <v>706</v>
      </c>
      <c r="D66" s="76" t="s">
        <v>707</v>
      </c>
      <c r="E66" s="77">
        <v>13626.121999999999</v>
      </c>
      <c r="F66" s="76" t="s">
        <v>769</v>
      </c>
      <c r="G66" s="76" t="str">
        <f t="shared" si="1"/>
        <v>PL56-PL57</v>
      </c>
    </row>
    <row r="67" spans="2:7" ht="14.25" customHeight="1">
      <c r="B67" s="76" t="s">
        <v>139</v>
      </c>
      <c r="C67" s="76" t="s">
        <v>706</v>
      </c>
      <c r="D67" s="76" t="s">
        <v>707</v>
      </c>
      <c r="E67" s="77">
        <v>13667.012000000001</v>
      </c>
      <c r="F67" s="76" t="s">
        <v>770</v>
      </c>
      <c r="G67" s="76" t="str">
        <f t="shared" si="1"/>
        <v>PL57-PL58</v>
      </c>
    </row>
    <row r="68" spans="2:7" ht="14.25" customHeight="1">
      <c r="B68" s="76" t="s">
        <v>139</v>
      </c>
      <c r="C68" s="76" t="s">
        <v>706</v>
      </c>
      <c r="D68" s="76" t="s">
        <v>707</v>
      </c>
      <c r="E68" s="77">
        <v>13707.591</v>
      </c>
      <c r="F68" s="76" t="s">
        <v>771</v>
      </c>
      <c r="G68" s="76" t="str">
        <f t="shared" si="1"/>
        <v>PL58-PL59</v>
      </c>
    </row>
    <row r="69" spans="2:7" ht="14.25" customHeight="1">
      <c r="B69" s="76" t="s">
        <v>139</v>
      </c>
      <c r="C69" s="76" t="s">
        <v>706</v>
      </c>
      <c r="D69" s="76" t="s">
        <v>707</v>
      </c>
      <c r="E69" s="77">
        <v>13747.459000000001</v>
      </c>
      <c r="F69" s="76" t="s">
        <v>772</v>
      </c>
      <c r="G69" s="76" t="str">
        <f t="shared" si="1"/>
        <v>PL59-PL60</v>
      </c>
    </row>
    <row r="70" spans="2:7" ht="14.25" customHeight="1">
      <c r="B70" s="76" t="s">
        <v>139</v>
      </c>
      <c r="C70" s="76" t="s">
        <v>706</v>
      </c>
      <c r="D70" s="76" t="s">
        <v>707</v>
      </c>
      <c r="E70" s="77">
        <v>13788.038</v>
      </c>
      <c r="F70" s="76" t="s">
        <v>773</v>
      </c>
      <c r="G70" s="76" t="str">
        <f t="shared" si="1"/>
        <v>PL60-PL61</v>
      </c>
    </row>
    <row r="71" spans="2:7" ht="14.25" customHeight="1">
      <c r="B71" s="76" t="s">
        <v>746</v>
      </c>
      <c r="C71" s="76" t="s">
        <v>706</v>
      </c>
      <c r="D71" s="76" t="s">
        <v>707</v>
      </c>
      <c r="E71" s="77">
        <v>13828.928</v>
      </c>
      <c r="F71" s="76" t="s">
        <v>774</v>
      </c>
      <c r="G71" s="76" t="str">
        <f t="shared" si="1"/>
        <v>PL61-PL62</v>
      </c>
    </row>
    <row r="72" spans="2:7" ht="14.25" customHeight="1">
      <c r="B72" s="78" t="s">
        <v>746</v>
      </c>
      <c r="C72" s="78" t="s">
        <v>698</v>
      </c>
      <c r="D72" s="78" t="s">
        <v>707</v>
      </c>
      <c r="E72" s="79">
        <v>13828.928</v>
      </c>
      <c r="F72" s="78" t="s">
        <v>774</v>
      </c>
      <c r="G72" s="78"/>
    </row>
    <row r="73" spans="2:7" ht="14.25" customHeight="1">
      <c r="B73" s="78" t="s">
        <v>746</v>
      </c>
      <c r="C73" s="78" t="s">
        <v>698</v>
      </c>
      <c r="D73" s="78" t="s">
        <v>707</v>
      </c>
      <c r="E73" s="79">
        <v>13903.928</v>
      </c>
      <c r="F73" s="78" t="s">
        <v>775</v>
      </c>
      <c r="G73" s="78" t="str">
        <f>CONCATENATE(F71,"-",F73)</f>
        <v>PL62-PL63</v>
      </c>
    </row>
    <row r="74" spans="2:7" ht="14.25" customHeight="1">
      <c r="B74" s="78" t="s">
        <v>746</v>
      </c>
      <c r="C74" s="78" t="s">
        <v>698</v>
      </c>
      <c r="D74" s="78" t="s">
        <v>707</v>
      </c>
      <c r="E74" s="79">
        <v>14053.928</v>
      </c>
      <c r="F74" s="78" t="s">
        <v>776</v>
      </c>
      <c r="G74" s="78" t="str">
        <f t="shared" ref="G74:G75" si="2">CONCATENATE(F73,"-",F74)</f>
        <v>PL63-PL64</v>
      </c>
    </row>
    <row r="75" spans="2:7" ht="14.25" customHeight="1">
      <c r="B75" s="78" t="s">
        <v>746</v>
      </c>
      <c r="C75" s="78" t="s">
        <v>698</v>
      </c>
      <c r="D75" s="78" t="s">
        <v>707</v>
      </c>
      <c r="E75" s="79">
        <v>14128.928</v>
      </c>
      <c r="F75" s="78" t="s">
        <v>777</v>
      </c>
      <c r="G75" s="78" t="str">
        <f t="shared" si="2"/>
        <v>PL64-PL65</v>
      </c>
    </row>
    <row r="76" spans="2:7" ht="14.25" customHeight="1">
      <c r="B76" s="76" t="s">
        <v>746</v>
      </c>
      <c r="C76" s="76" t="s">
        <v>706</v>
      </c>
      <c r="D76" s="76" t="s">
        <v>707</v>
      </c>
      <c r="E76" s="77">
        <v>14128.928</v>
      </c>
      <c r="F76" s="76" t="s">
        <v>777</v>
      </c>
      <c r="G76" s="76"/>
    </row>
    <row r="77" spans="2:7" ht="14.25" customHeight="1">
      <c r="B77" s="76" t="s">
        <v>139</v>
      </c>
      <c r="C77" s="76" t="s">
        <v>706</v>
      </c>
      <c r="D77" s="76" t="s">
        <v>707</v>
      </c>
      <c r="E77" s="77">
        <v>14163.878000000001</v>
      </c>
      <c r="F77" s="76" t="s">
        <v>778</v>
      </c>
      <c r="G77" s="76" t="str">
        <f>CONCATENATE(F75,"-",F77)</f>
        <v>PL65-PL66</v>
      </c>
    </row>
    <row r="78" spans="2:7" ht="14.25" customHeight="1">
      <c r="B78" s="76" t="s">
        <v>139</v>
      </c>
      <c r="C78" s="76" t="s">
        <v>706</v>
      </c>
      <c r="D78" s="76" t="s">
        <v>707</v>
      </c>
      <c r="E78" s="77">
        <v>14198.828</v>
      </c>
      <c r="F78" s="76" t="s">
        <v>779</v>
      </c>
      <c r="G78" s="76" t="str">
        <f t="shared" ref="G78:G92" si="3">CONCATENATE(F77,"-",F78)</f>
        <v>PL66-PL67</v>
      </c>
    </row>
    <row r="79" spans="2:7" ht="14.25" customHeight="1">
      <c r="B79" s="76" t="s">
        <v>139</v>
      </c>
      <c r="C79" s="76" t="s">
        <v>706</v>
      </c>
      <c r="D79" s="76" t="s">
        <v>707</v>
      </c>
      <c r="E79" s="77">
        <v>14235.35</v>
      </c>
      <c r="F79" s="76" t="s">
        <v>780</v>
      </c>
      <c r="G79" s="76" t="str">
        <f t="shared" si="3"/>
        <v>PL67-PL68</v>
      </c>
    </row>
    <row r="80" spans="2:7" ht="14.25" customHeight="1">
      <c r="B80" s="76" t="s">
        <v>139</v>
      </c>
      <c r="C80" s="76" t="s">
        <v>706</v>
      </c>
      <c r="D80" s="76" t="s">
        <v>707</v>
      </c>
      <c r="E80" s="77">
        <v>14273.31</v>
      </c>
      <c r="F80" s="76" t="s">
        <v>781</v>
      </c>
      <c r="G80" s="76" t="str">
        <f t="shared" si="3"/>
        <v>PL68-PL69</v>
      </c>
    </row>
    <row r="81" spans="2:7" ht="14.25" customHeight="1">
      <c r="B81" s="76" t="s">
        <v>139</v>
      </c>
      <c r="C81" s="76" t="s">
        <v>710</v>
      </c>
      <c r="D81" s="76" t="s">
        <v>707</v>
      </c>
      <c r="E81" s="77">
        <v>14311.27</v>
      </c>
      <c r="F81" s="76" t="s">
        <v>782</v>
      </c>
      <c r="G81" s="76" t="str">
        <f t="shared" si="3"/>
        <v>PL69-PL70</v>
      </c>
    </row>
    <row r="82" spans="2:7" ht="14.25" customHeight="1">
      <c r="B82" s="76" t="s">
        <v>139</v>
      </c>
      <c r="C82" s="76" t="s">
        <v>710</v>
      </c>
      <c r="D82" s="76" t="s">
        <v>707</v>
      </c>
      <c r="E82" s="77">
        <v>14349.23</v>
      </c>
      <c r="F82" s="76" t="s">
        <v>783</v>
      </c>
      <c r="G82" s="76" t="str">
        <f t="shared" si="3"/>
        <v>PL70-PL71</v>
      </c>
    </row>
    <row r="83" spans="2:7" ht="14.25" customHeight="1">
      <c r="B83" s="76" t="s">
        <v>139</v>
      </c>
      <c r="C83" s="76" t="s">
        <v>710</v>
      </c>
      <c r="D83" s="76" t="s">
        <v>707</v>
      </c>
      <c r="E83" s="77">
        <v>14387.19</v>
      </c>
      <c r="F83" s="76" t="s">
        <v>784</v>
      </c>
      <c r="G83" s="76" t="str">
        <f t="shared" si="3"/>
        <v>PL71-PL72</v>
      </c>
    </row>
    <row r="84" spans="2:7" ht="14.25" customHeight="1">
      <c r="B84" s="76" t="s">
        <v>139</v>
      </c>
      <c r="C84" s="76" t="s">
        <v>710</v>
      </c>
      <c r="D84" s="76" t="s">
        <v>707</v>
      </c>
      <c r="E84" s="77">
        <v>14425.15</v>
      </c>
      <c r="F84" s="76" t="s">
        <v>785</v>
      </c>
      <c r="G84" s="76" t="str">
        <f t="shared" si="3"/>
        <v>PL72-PL73</v>
      </c>
    </row>
    <row r="85" spans="2:7" ht="14.25" customHeight="1">
      <c r="B85" s="76" t="s">
        <v>139</v>
      </c>
      <c r="C85" s="76" t="s">
        <v>706</v>
      </c>
      <c r="D85" s="76" t="s">
        <v>707</v>
      </c>
      <c r="E85" s="77">
        <v>14475.15</v>
      </c>
      <c r="F85" s="76" t="s">
        <v>786</v>
      </c>
      <c r="G85" s="76" t="str">
        <f t="shared" si="3"/>
        <v>PL73-PL74</v>
      </c>
    </row>
    <row r="86" spans="2:7" ht="14.25" customHeight="1">
      <c r="B86" s="76" t="s">
        <v>139</v>
      </c>
      <c r="C86" s="76" t="s">
        <v>706</v>
      </c>
      <c r="D86" s="76" t="s">
        <v>707</v>
      </c>
      <c r="E86" s="77">
        <v>14525.15</v>
      </c>
      <c r="F86" s="76" t="s">
        <v>787</v>
      </c>
      <c r="G86" s="76" t="str">
        <f t="shared" si="3"/>
        <v>PL74-PL75</v>
      </c>
    </row>
    <row r="87" spans="2:7" ht="14.25" customHeight="1">
      <c r="B87" s="76" t="s">
        <v>139</v>
      </c>
      <c r="C87" s="76" t="s">
        <v>710</v>
      </c>
      <c r="D87" s="76" t="s">
        <v>707</v>
      </c>
      <c r="E87" s="77">
        <v>14575.15</v>
      </c>
      <c r="F87" s="76" t="s">
        <v>788</v>
      </c>
      <c r="G87" s="76" t="str">
        <f t="shared" si="3"/>
        <v>PL75-PL76</v>
      </c>
    </row>
    <row r="88" spans="2:7" ht="14.25" customHeight="1">
      <c r="B88" s="76" t="s">
        <v>139</v>
      </c>
      <c r="C88" s="76" t="s">
        <v>710</v>
      </c>
      <c r="D88" s="76" t="s">
        <v>707</v>
      </c>
      <c r="E88" s="77">
        <v>14616.12</v>
      </c>
      <c r="F88" s="76" t="s">
        <v>789</v>
      </c>
      <c r="G88" s="76" t="str">
        <f t="shared" si="3"/>
        <v>PL76-PL77</v>
      </c>
    </row>
    <row r="89" spans="2:7" ht="14.25" customHeight="1">
      <c r="B89" s="76" t="s">
        <v>139</v>
      </c>
      <c r="C89" s="76" t="s">
        <v>710</v>
      </c>
      <c r="D89" s="76" t="s">
        <v>707</v>
      </c>
      <c r="E89" s="77">
        <v>14657.09</v>
      </c>
      <c r="F89" s="76" t="s">
        <v>790</v>
      </c>
      <c r="G89" s="76" t="str">
        <f t="shared" si="3"/>
        <v>PL77-PL78</v>
      </c>
    </row>
    <row r="90" spans="2:7" ht="14.25" customHeight="1">
      <c r="B90" s="76" t="s">
        <v>139</v>
      </c>
      <c r="C90" s="76" t="s">
        <v>710</v>
      </c>
      <c r="D90" s="76" t="s">
        <v>707</v>
      </c>
      <c r="E90" s="77">
        <v>14698.06</v>
      </c>
      <c r="F90" s="76" t="s">
        <v>791</v>
      </c>
      <c r="G90" s="76" t="str">
        <f t="shared" si="3"/>
        <v>PL78-PL79</v>
      </c>
    </row>
    <row r="91" spans="2:7" ht="14.25" customHeight="1">
      <c r="B91" s="76" t="s">
        <v>139</v>
      </c>
      <c r="C91" s="76" t="s">
        <v>710</v>
      </c>
      <c r="D91" s="76" t="s">
        <v>707</v>
      </c>
      <c r="E91" s="77">
        <v>14739.03</v>
      </c>
      <c r="F91" s="76" t="s">
        <v>792</v>
      </c>
      <c r="G91" s="76" t="str">
        <f t="shared" si="3"/>
        <v>PL79-PL80</v>
      </c>
    </row>
    <row r="92" spans="2:7" ht="14.25" customHeight="1">
      <c r="B92" s="76" t="s">
        <v>139</v>
      </c>
      <c r="C92" s="76" t="s">
        <v>710</v>
      </c>
      <c r="D92" s="76" t="s">
        <v>707</v>
      </c>
      <c r="E92" s="77">
        <v>14780</v>
      </c>
      <c r="F92" s="76" t="s">
        <v>793</v>
      </c>
      <c r="G92" s="76" t="str">
        <f t="shared" si="3"/>
        <v>PL80-PL81</v>
      </c>
    </row>
    <row r="93" spans="2:7" ht="14.25" customHeight="1">
      <c r="B93" s="76"/>
      <c r="C93" s="80"/>
      <c r="D93" s="80"/>
      <c r="E93" s="81"/>
      <c r="F93" s="80"/>
      <c r="G93" s="80"/>
    </row>
    <row r="94" spans="2:7" ht="14.25" customHeight="1">
      <c r="B94" s="76" t="s">
        <v>139</v>
      </c>
      <c r="C94" s="76" t="s">
        <v>710</v>
      </c>
      <c r="D94" s="76" t="s">
        <v>794</v>
      </c>
      <c r="E94" s="77">
        <v>11000</v>
      </c>
      <c r="F94" s="76" t="s">
        <v>795</v>
      </c>
      <c r="G94" s="76"/>
    </row>
    <row r="95" spans="2:7" ht="14.25" customHeight="1">
      <c r="B95" s="76" t="s">
        <v>139</v>
      </c>
      <c r="C95" s="76" t="s">
        <v>710</v>
      </c>
      <c r="D95" s="76" t="s">
        <v>794</v>
      </c>
      <c r="E95" s="77">
        <v>11026.773999999999</v>
      </c>
      <c r="F95" s="76" t="s">
        <v>796</v>
      </c>
      <c r="G95" s="76" t="str">
        <f t="shared" ref="G95:G130" si="4">CONCATENATE(F94,"-",F95)</f>
        <v>PR1B-PR1A</v>
      </c>
    </row>
    <row r="96" spans="2:7" ht="14.25" customHeight="1">
      <c r="B96" s="76" t="s">
        <v>139</v>
      </c>
      <c r="C96" s="76" t="s">
        <v>710</v>
      </c>
      <c r="D96" s="76" t="s">
        <v>794</v>
      </c>
      <c r="E96" s="77">
        <v>11053.549000000001</v>
      </c>
      <c r="F96" s="76" t="s">
        <v>797</v>
      </c>
      <c r="G96" s="76" t="str">
        <f t="shared" si="4"/>
        <v>PR1A-PR1</v>
      </c>
    </row>
    <row r="97" spans="2:7" ht="14.25" customHeight="1">
      <c r="B97" s="76" t="s">
        <v>139</v>
      </c>
      <c r="C97" s="76" t="s">
        <v>710</v>
      </c>
      <c r="D97" s="76" t="s">
        <v>794</v>
      </c>
      <c r="E97" s="77">
        <v>11094.175999999999</v>
      </c>
      <c r="F97" s="76" t="s">
        <v>798</v>
      </c>
      <c r="G97" s="76" t="str">
        <f t="shared" si="4"/>
        <v>PR1-PR2</v>
      </c>
    </row>
    <row r="98" spans="2:7" ht="14.25" customHeight="1">
      <c r="B98" s="76" t="s">
        <v>139</v>
      </c>
      <c r="C98" s="76" t="s">
        <v>710</v>
      </c>
      <c r="D98" s="76" t="s">
        <v>794</v>
      </c>
      <c r="E98" s="77">
        <v>11134.803</v>
      </c>
      <c r="F98" s="76" t="s">
        <v>799</v>
      </c>
      <c r="G98" s="76" t="str">
        <f t="shared" si="4"/>
        <v>PR2-PR3</v>
      </c>
    </row>
    <row r="99" spans="2:7" ht="14.25" customHeight="1">
      <c r="B99" s="76" t="s">
        <v>139</v>
      </c>
      <c r="C99" s="76" t="s">
        <v>710</v>
      </c>
      <c r="D99" s="76" t="s">
        <v>794</v>
      </c>
      <c r="E99" s="77">
        <v>11175.431</v>
      </c>
      <c r="F99" s="76" t="s">
        <v>800</v>
      </c>
      <c r="G99" s="76" t="str">
        <f t="shared" si="4"/>
        <v>PR3-PR4</v>
      </c>
    </row>
    <row r="100" spans="2:7" ht="14.25" customHeight="1">
      <c r="B100" s="76" t="s">
        <v>139</v>
      </c>
      <c r="C100" s="76" t="s">
        <v>710</v>
      </c>
      <c r="D100" s="76" t="s">
        <v>794</v>
      </c>
      <c r="E100" s="77">
        <v>11216.058000000001</v>
      </c>
      <c r="F100" s="76" t="s">
        <v>801</v>
      </c>
      <c r="G100" s="76" t="str">
        <f t="shared" si="4"/>
        <v>PR4-PR5</v>
      </c>
    </row>
    <row r="101" spans="2:7" ht="14.25" customHeight="1">
      <c r="B101" s="76" t="s">
        <v>139</v>
      </c>
      <c r="C101" s="76" t="s">
        <v>710</v>
      </c>
      <c r="D101" s="76" t="s">
        <v>794</v>
      </c>
      <c r="E101" s="77">
        <v>11256.686</v>
      </c>
      <c r="F101" s="76" t="s">
        <v>802</v>
      </c>
      <c r="G101" s="76" t="str">
        <f t="shared" si="4"/>
        <v>PR5-PR6</v>
      </c>
    </row>
    <row r="102" spans="2:7" ht="14.25" customHeight="1">
      <c r="B102" s="76" t="s">
        <v>139</v>
      </c>
      <c r="C102" s="76" t="s">
        <v>706</v>
      </c>
      <c r="D102" s="76" t="s">
        <v>794</v>
      </c>
      <c r="E102" s="77">
        <v>11306.267</v>
      </c>
      <c r="F102" s="76" t="s">
        <v>803</v>
      </c>
      <c r="G102" s="76" t="str">
        <f t="shared" si="4"/>
        <v>PR6-PR7</v>
      </c>
    </row>
    <row r="103" spans="2:7" ht="14.25" customHeight="1">
      <c r="B103" s="76" t="s">
        <v>139</v>
      </c>
      <c r="C103" s="76" t="s">
        <v>706</v>
      </c>
      <c r="D103" s="76" t="s">
        <v>794</v>
      </c>
      <c r="E103" s="77">
        <v>11355.85</v>
      </c>
      <c r="F103" s="76" t="s">
        <v>804</v>
      </c>
      <c r="G103" s="76" t="str">
        <f t="shared" si="4"/>
        <v>PR7-PR8</v>
      </c>
    </row>
    <row r="104" spans="2:7" ht="14.25" customHeight="1">
      <c r="B104" s="76" t="s">
        <v>139</v>
      </c>
      <c r="C104" s="76" t="s">
        <v>706</v>
      </c>
      <c r="D104" s="76" t="s">
        <v>794</v>
      </c>
      <c r="E104" s="77">
        <v>11402.447</v>
      </c>
      <c r="F104" s="76" t="s">
        <v>805</v>
      </c>
      <c r="G104" s="76" t="str">
        <f t="shared" si="4"/>
        <v>PR8-PR9</v>
      </c>
    </row>
    <row r="105" spans="2:7" ht="14.25" customHeight="1">
      <c r="B105" s="76" t="s">
        <v>139</v>
      </c>
      <c r="C105" s="76" t="s">
        <v>706</v>
      </c>
      <c r="D105" s="76" t="s">
        <v>794</v>
      </c>
      <c r="E105" s="77">
        <v>11446.058999999999</v>
      </c>
      <c r="F105" s="76" t="s">
        <v>806</v>
      </c>
      <c r="G105" s="76" t="str">
        <f t="shared" si="4"/>
        <v>PR9-PR10</v>
      </c>
    </row>
    <row r="106" spans="2:7" ht="14.25" customHeight="1">
      <c r="B106" s="76" t="s">
        <v>139</v>
      </c>
      <c r="C106" s="76" t="s">
        <v>706</v>
      </c>
      <c r="D106" s="76" t="s">
        <v>794</v>
      </c>
      <c r="E106" s="77">
        <v>11489.671</v>
      </c>
      <c r="F106" s="76" t="s">
        <v>807</v>
      </c>
      <c r="G106" s="76" t="str">
        <f t="shared" si="4"/>
        <v>PR10-PR11</v>
      </c>
    </row>
    <row r="107" spans="2:7" ht="14.25" customHeight="1">
      <c r="B107" s="76" t="s">
        <v>139</v>
      </c>
      <c r="C107" s="76" t="s">
        <v>710</v>
      </c>
      <c r="D107" s="76" t="s">
        <v>794</v>
      </c>
      <c r="E107" s="77">
        <v>11536.269</v>
      </c>
      <c r="F107" s="76" t="s">
        <v>808</v>
      </c>
      <c r="G107" s="76" t="str">
        <f t="shared" si="4"/>
        <v>PR11-PR12</v>
      </c>
    </row>
    <row r="108" spans="2:7" ht="14.25" customHeight="1">
      <c r="B108" s="76" t="s">
        <v>139</v>
      </c>
      <c r="C108" s="76" t="s">
        <v>710</v>
      </c>
      <c r="D108" s="76" t="s">
        <v>794</v>
      </c>
      <c r="E108" s="77">
        <v>11576.896000000001</v>
      </c>
      <c r="F108" s="76" t="s">
        <v>809</v>
      </c>
      <c r="G108" s="76" t="str">
        <f t="shared" si="4"/>
        <v>PR12-PR13</v>
      </c>
    </row>
    <row r="109" spans="2:7" ht="14.25" customHeight="1">
      <c r="B109" s="76" t="s">
        <v>139</v>
      </c>
      <c r="C109" s="76" t="s">
        <v>710</v>
      </c>
      <c r="D109" s="76" t="s">
        <v>794</v>
      </c>
      <c r="E109" s="77">
        <v>11617.522999999999</v>
      </c>
      <c r="F109" s="76" t="s">
        <v>810</v>
      </c>
      <c r="G109" s="76" t="str">
        <f t="shared" si="4"/>
        <v>PR13-PR14</v>
      </c>
    </row>
    <row r="110" spans="2:7" ht="14.25" customHeight="1">
      <c r="B110" s="76" t="s">
        <v>139</v>
      </c>
      <c r="C110" s="76" t="s">
        <v>710</v>
      </c>
      <c r="D110" s="76" t="s">
        <v>794</v>
      </c>
      <c r="E110" s="77">
        <v>11658.151</v>
      </c>
      <c r="F110" s="76" t="s">
        <v>811</v>
      </c>
      <c r="G110" s="76" t="str">
        <f t="shared" si="4"/>
        <v>PR14-PR15</v>
      </c>
    </row>
    <row r="111" spans="2:7" ht="14.25" customHeight="1">
      <c r="B111" s="76" t="s">
        <v>139</v>
      </c>
      <c r="C111" s="76" t="s">
        <v>706</v>
      </c>
      <c r="D111" s="76" t="s">
        <v>794</v>
      </c>
      <c r="E111" s="77">
        <v>11698.843000000001</v>
      </c>
      <c r="F111" s="76" t="s">
        <v>812</v>
      </c>
      <c r="G111" s="76" t="str">
        <f t="shared" si="4"/>
        <v>PR15-PR16</v>
      </c>
    </row>
    <row r="112" spans="2:7" ht="14.25" customHeight="1">
      <c r="B112" s="76" t="s">
        <v>139</v>
      </c>
      <c r="C112" s="76" t="s">
        <v>706</v>
      </c>
      <c r="D112" s="76" t="s">
        <v>794</v>
      </c>
      <c r="E112" s="77">
        <v>11739.536</v>
      </c>
      <c r="F112" s="76" t="s">
        <v>813</v>
      </c>
      <c r="G112" s="76" t="str">
        <f t="shared" si="4"/>
        <v>PR16-PR17</v>
      </c>
    </row>
    <row r="113" spans="2:7" ht="14.25" customHeight="1">
      <c r="B113" s="76" t="s">
        <v>139</v>
      </c>
      <c r="C113" s="76" t="s">
        <v>706</v>
      </c>
      <c r="D113" s="76" t="s">
        <v>794</v>
      </c>
      <c r="E113" s="77">
        <v>11780.45</v>
      </c>
      <c r="F113" s="76" t="s">
        <v>814</v>
      </c>
      <c r="G113" s="76" t="str">
        <f t="shared" si="4"/>
        <v>PR17-PR18</v>
      </c>
    </row>
    <row r="114" spans="2:7" ht="14.25" customHeight="1">
      <c r="B114" s="76" t="s">
        <v>139</v>
      </c>
      <c r="C114" s="76" t="s">
        <v>706</v>
      </c>
      <c r="D114" s="76" t="s">
        <v>794</v>
      </c>
      <c r="E114" s="77">
        <v>11821.050999999999</v>
      </c>
      <c r="F114" s="76" t="s">
        <v>815</v>
      </c>
      <c r="G114" s="76" t="str">
        <f t="shared" si="4"/>
        <v>PR18-PR19</v>
      </c>
    </row>
    <row r="115" spans="2:7" ht="14.25" customHeight="1">
      <c r="B115" s="76" t="s">
        <v>139</v>
      </c>
      <c r="C115" s="76" t="s">
        <v>706</v>
      </c>
      <c r="D115" s="76" t="s">
        <v>794</v>
      </c>
      <c r="E115" s="77">
        <v>11860.944</v>
      </c>
      <c r="F115" s="76" t="s">
        <v>816</v>
      </c>
      <c r="G115" s="76" t="str">
        <f t="shared" si="4"/>
        <v>PR19-PR20</v>
      </c>
    </row>
    <row r="116" spans="2:7" ht="14.25" customHeight="1">
      <c r="B116" s="76" t="s">
        <v>139</v>
      </c>
      <c r="C116" s="76" t="s">
        <v>706</v>
      </c>
      <c r="D116" s="76" t="s">
        <v>794</v>
      </c>
      <c r="E116" s="77">
        <v>11901.545</v>
      </c>
      <c r="F116" s="76" t="s">
        <v>817</v>
      </c>
      <c r="G116" s="76" t="str">
        <f t="shared" si="4"/>
        <v>PR20-PR21</v>
      </c>
    </row>
    <row r="117" spans="2:7" ht="14.25" customHeight="1">
      <c r="B117" s="76" t="s">
        <v>139</v>
      </c>
      <c r="C117" s="76" t="s">
        <v>706</v>
      </c>
      <c r="D117" s="76" t="s">
        <v>794</v>
      </c>
      <c r="E117" s="77">
        <v>11942.458000000001</v>
      </c>
      <c r="F117" s="76" t="s">
        <v>818</v>
      </c>
      <c r="G117" s="76" t="str">
        <f t="shared" si="4"/>
        <v>PR21-PR22</v>
      </c>
    </row>
    <row r="118" spans="2:7" ht="14.25" customHeight="1">
      <c r="B118" s="76" t="s">
        <v>139</v>
      </c>
      <c r="C118" s="76" t="s">
        <v>706</v>
      </c>
      <c r="D118" s="76" t="s">
        <v>794</v>
      </c>
      <c r="E118" s="77">
        <v>11992.040999999999</v>
      </c>
      <c r="F118" s="76" t="s">
        <v>819</v>
      </c>
      <c r="G118" s="76" t="str">
        <f t="shared" si="4"/>
        <v>PR22-PR23</v>
      </c>
    </row>
    <row r="119" spans="2:7" ht="14.25" customHeight="1">
      <c r="B119" s="76" t="s">
        <v>139</v>
      </c>
      <c r="C119" s="76" t="s">
        <v>706</v>
      </c>
      <c r="D119" s="76" t="s">
        <v>794</v>
      </c>
      <c r="E119" s="77">
        <v>12041.623</v>
      </c>
      <c r="F119" s="76" t="s">
        <v>820</v>
      </c>
      <c r="G119" s="76" t="str">
        <f t="shared" si="4"/>
        <v>PR23-PR24</v>
      </c>
    </row>
    <row r="120" spans="2:7" ht="14.25" customHeight="1">
      <c r="B120" s="76" t="s">
        <v>139</v>
      </c>
      <c r="C120" s="76" t="s">
        <v>706</v>
      </c>
      <c r="D120" s="76" t="s">
        <v>794</v>
      </c>
      <c r="E120" s="77">
        <v>12091.205</v>
      </c>
      <c r="F120" s="76" t="s">
        <v>821</v>
      </c>
      <c r="G120" s="76" t="str">
        <f t="shared" si="4"/>
        <v>PR24-PR25</v>
      </c>
    </row>
    <row r="121" spans="2:7" ht="14.25" customHeight="1">
      <c r="B121" s="76" t="s">
        <v>139</v>
      </c>
      <c r="C121" s="76" t="s">
        <v>706</v>
      </c>
      <c r="D121" s="76" t="s">
        <v>794</v>
      </c>
      <c r="E121" s="77">
        <v>12140.787</v>
      </c>
      <c r="F121" s="76" t="s">
        <v>822</v>
      </c>
      <c r="G121" s="76" t="str">
        <f t="shared" si="4"/>
        <v>PR25-PR26</v>
      </c>
    </row>
    <row r="122" spans="2:7" ht="14.25" customHeight="1">
      <c r="B122" s="76" t="s">
        <v>139</v>
      </c>
      <c r="C122" s="76" t="s">
        <v>706</v>
      </c>
      <c r="D122" s="76" t="s">
        <v>794</v>
      </c>
      <c r="E122" s="77">
        <v>12190.369000000001</v>
      </c>
      <c r="F122" s="76" t="s">
        <v>823</v>
      </c>
      <c r="G122" s="76" t="str">
        <f t="shared" si="4"/>
        <v>PR26-PR27</v>
      </c>
    </row>
    <row r="123" spans="2:7" ht="14.25" customHeight="1">
      <c r="B123" s="76" t="s">
        <v>139</v>
      </c>
      <c r="C123" s="76" t="s">
        <v>706</v>
      </c>
      <c r="D123" s="76" t="s">
        <v>794</v>
      </c>
      <c r="E123" s="77">
        <v>12239.950999999999</v>
      </c>
      <c r="F123" s="76" t="s">
        <v>824</v>
      </c>
      <c r="G123" s="76" t="str">
        <f t="shared" si="4"/>
        <v>PR27-PR28</v>
      </c>
    </row>
    <row r="124" spans="2:7" ht="14.25" customHeight="1">
      <c r="B124" s="76" t="s">
        <v>139</v>
      </c>
      <c r="C124" s="76" t="s">
        <v>706</v>
      </c>
      <c r="D124" s="76" t="s">
        <v>794</v>
      </c>
      <c r="E124" s="77">
        <v>12289.531999999999</v>
      </c>
      <c r="F124" s="76" t="s">
        <v>825</v>
      </c>
      <c r="G124" s="76" t="str">
        <f t="shared" si="4"/>
        <v>PR28-PR29</v>
      </c>
    </row>
    <row r="125" spans="2:7" ht="14.25" customHeight="1">
      <c r="B125" s="76" t="s">
        <v>139</v>
      </c>
      <c r="C125" s="76" t="s">
        <v>706</v>
      </c>
      <c r="D125" s="76" t="s">
        <v>794</v>
      </c>
      <c r="E125" s="77">
        <v>12339.114</v>
      </c>
      <c r="F125" s="76" t="s">
        <v>826</v>
      </c>
      <c r="G125" s="76" t="str">
        <f t="shared" si="4"/>
        <v>PR29-PR30</v>
      </c>
    </row>
    <row r="126" spans="2:7" ht="14.25" customHeight="1">
      <c r="B126" s="76" t="s">
        <v>139</v>
      </c>
      <c r="C126" s="76" t="s">
        <v>706</v>
      </c>
      <c r="D126" s="76" t="s">
        <v>794</v>
      </c>
      <c r="E126" s="77">
        <v>12388.825000000001</v>
      </c>
      <c r="F126" s="76" t="s">
        <v>827</v>
      </c>
      <c r="G126" s="76" t="str">
        <f t="shared" si="4"/>
        <v>PR30-PR31</v>
      </c>
    </row>
    <row r="127" spans="2:7" ht="14.25" customHeight="1">
      <c r="B127" s="76" t="s">
        <v>139</v>
      </c>
      <c r="C127" s="76" t="s">
        <v>706</v>
      </c>
      <c r="D127" s="76" t="s">
        <v>794</v>
      </c>
      <c r="E127" s="77">
        <v>12438.772999999999</v>
      </c>
      <c r="F127" s="76" t="s">
        <v>828</v>
      </c>
      <c r="G127" s="76" t="str">
        <f t="shared" si="4"/>
        <v>PR31-PR32</v>
      </c>
    </row>
    <row r="128" spans="2:7" ht="14.25" customHeight="1">
      <c r="B128" s="76" t="s">
        <v>139</v>
      </c>
      <c r="C128" s="76" t="s">
        <v>706</v>
      </c>
      <c r="D128" s="76" t="s">
        <v>794</v>
      </c>
      <c r="E128" s="77">
        <v>12473.723</v>
      </c>
      <c r="F128" s="76" t="s">
        <v>829</v>
      </c>
      <c r="G128" s="76" t="str">
        <f t="shared" si="4"/>
        <v>PR32-PR33</v>
      </c>
    </row>
    <row r="129" spans="2:7" ht="14.25" customHeight="1">
      <c r="B129" s="76" t="s">
        <v>139</v>
      </c>
      <c r="C129" s="76" t="s">
        <v>706</v>
      </c>
      <c r="D129" s="76" t="s">
        <v>794</v>
      </c>
      <c r="E129" s="77">
        <v>12508.673000000001</v>
      </c>
      <c r="F129" s="76" t="s">
        <v>830</v>
      </c>
      <c r="G129" s="76" t="str">
        <f t="shared" si="4"/>
        <v>PR33-PR34</v>
      </c>
    </row>
    <row r="130" spans="2:7" ht="14.25" customHeight="1">
      <c r="B130" s="76" t="s">
        <v>139</v>
      </c>
      <c r="C130" s="76" t="s">
        <v>706</v>
      </c>
      <c r="D130" s="76" t="s">
        <v>794</v>
      </c>
      <c r="E130" s="77">
        <v>12552.653</v>
      </c>
      <c r="F130" s="76" t="s">
        <v>831</v>
      </c>
      <c r="G130" s="76" t="str">
        <f t="shared" si="4"/>
        <v>PR34-PR35</v>
      </c>
    </row>
    <row r="131" spans="2:7" ht="14.25" customHeight="1">
      <c r="B131" s="78" t="s">
        <v>746</v>
      </c>
      <c r="C131" s="78" t="s">
        <v>747</v>
      </c>
      <c r="D131" s="78" t="s">
        <v>794</v>
      </c>
      <c r="E131" s="79">
        <v>12552.653</v>
      </c>
      <c r="F131" s="78" t="s">
        <v>831</v>
      </c>
      <c r="G131" s="78"/>
    </row>
    <row r="132" spans="2:7" ht="14.25" customHeight="1">
      <c r="B132" s="78" t="s">
        <v>746</v>
      </c>
      <c r="C132" s="78" t="s">
        <v>747</v>
      </c>
      <c r="D132" s="78" t="s">
        <v>794</v>
      </c>
      <c r="E132" s="79">
        <v>12652.653</v>
      </c>
      <c r="F132" s="78" t="s">
        <v>832</v>
      </c>
      <c r="G132" s="78" t="str">
        <f>CONCATENATE(F130,"-",F132)</f>
        <v>PR35-PR36</v>
      </c>
    </row>
    <row r="133" spans="2:7" ht="14.25" customHeight="1">
      <c r="B133" s="76" t="s">
        <v>139</v>
      </c>
      <c r="C133" s="76" t="s">
        <v>706</v>
      </c>
      <c r="D133" s="76" t="s">
        <v>794</v>
      </c>
      <c r="E133" s="77">
        <v>12652.653</v>
      </c>
      <c r="F133" s="76" t="s">
        <v>832</v>
      </c>
      <c r="G133" s="76"/>
    </row>
    <row r="134" spans="2:7" ht="14.25" customHeight="1">
      <c r="B134" s="76" t="s">
        <v>139</v>
      </c>
      <c r="C134" s="76" t="s">
        <v>706</v>
      </c>
      <c r="D134" s="76" t="s">
        <v>794</v>
      </c>
      <c r="E134" s="77">
        <v>12693.919</v>
      </c>
      <c r="F134" s="76" t="s">
        <v>833</v>
      </c>
      <c r="G134" s="76" t="str">
        <f>CONCATENATE(F132,"-",F134)</f>
        <v>PR36-PR37</v>
      </c>
    </row>
    <row r="135" spans="2:7" ht="14.25" customHeight="1">
      <c r="B135" s="76" t="s">
        <v>139</v>
      </c>
      <c r="C135" s="76" t="s">
        <v>706</v>
      </c>
      <c r="D135" s="76" t="s">
        <v>794</v>
      </c>
      <c r="E135" s="77">
        <v>12734.905000000001</v>
      </c>
      <c r="F135" s="76" t="s">
        <v>834</v>
      </c>
      <c r="G135" s="76" t="str">
        <f t="shared" ref="G135:G159" si="5">CONCATENATE(F134,"-",F135)</f>
        <v>PR37-PR38</v>
      </c>
    </row>
    <row r="136" spans="2:7" ht="14.25" customHeight="1">
      <c r="B136" s="76" t="s">
        <v>139</v>
      </c>
      <c r="C136" s="76" t="s">
        <v>706</v>
      </c>
      <c r="D136" s="76" t="s">
        <v>794</v>
      </c>
      <c r="E136" s="77">
        <v>12775.199000000001</v>
      </c>
      <c r="F136" s="76" t="s">
        <v>835</v>
      </c>
      <c r="G136" s="76" t="str">
        <f t="shared" si="5"/>
        <v>PR38-PR39</v>
      </c>
    </row>
    <row r="137" spans="2:7" ht="14.25" customHeight="1">
      <c r="B137" s="76" t="s">
        <v>139</v>
      </c>
      <c r="C137" s="76" t="s">
        <v>706</v>
      </c>
      <c r="D137" s="76" t="s">
        <v>794</v>
      </c>
      <c r="E137" s="77">
        <v>12816.182000000001</v>
      </c>
      <c r="F137" s="76" t="s">
        <v>836</v>
      </c>
      <c r="G137" s="76" t="str">
        <f t="shared" si="5"/>
        <v>PR39-PR40</v>
      </c>
    </row>
    <row r="138" spans="2:7" ht="14.25" customHeight="1">
      <c r="B138" s="76" t="s">
        <v>139</v>
      </c>
      <c r="C138" s="76" t="s">
        <v>706</v>
      </c>
      <c r="D138" s="76" t="s">
        <v>794</v>
      </c>
      <c r="E138" s="77">
        <v>12857.449000000001</v>
      </c>
      <c r="F138" s="76" t="s">
        <v>837</v>
      </c>
      <c r="G138" s="76" t="str">
        <f t="shared" si="5"/>
        <v>PR40-PR41</v>
      </c>
    </row>
    <row r="139" spans="2:7" ht="14.25" customHeight="1">
      <c r="B139" s="76" t="s">
        <v>139</v>
      </c>
      <c r="C139" s="76" t="s">
        <v>706</v>
      </c>
      <c r="D139" s="76" t="s">
        <v>794</v>
      </c>
      <c r="E139" s="77">
        <v>12907.449000000001</v>
      </c>
      <c r="F139" s="76" t="s">
        <v>838</v>
      </c>
      <c r="G139" s="76" t="str">
        <f t="shared" si="5"/>
        <v>PR41-PR42</v>
      </c>
    </row>
    <row r="140" spans="2:7" ht="14.25" customHeight="1">
      <c r="B140" s="76" t="s">
        <v>139</v>
      </c>
      <c r="C140" s="76" t="s">
        <v>706</v>
      </c>
      <c r="D140" s="76" t="s">
        <v>794</v>
      </c>
      <c r="E140" s="77">
        <v>12957.449000000001</v>
      </c>
      <c r="F140" s="76" t="s">
        <v>839</v>
      </c>
      <c r="G140" s="76" t="str">
        <f t="shared" si="5"/>
        <v>PR42-PR43</v>
      </c>
    </row>
    <row r="141" spans="2:7" ht="14.25" customHeight="1">
      <c r="B141" s="76" t="s">
        <v>139</v>
      </c>
      <c r="C141" s="76" t="s">
        <v>706</v>
      </c>
      <c r="D141" s="76" t="s">
        <v>794</v>
      </c>
      <c r="E141" s="77">
        <v>13007.449000000001</v>
      </c>
      <c r="F141" s="76" t="s">
        <v>840</v>
      </c>
      <c r="G141" s="76" t="str">
        <f t="shared" si="5"/>
        <v>PR43-PR44</v>
      </c>
    </row>
    <row r="142" spans="2:7" ht="14.25" customHeight="1">
      <c r="B142" s="76" t="s">
        <v>139</v>
      </c>
      <c r="C142" s="76" t="s">
        <v>706</v>
      </c>
      <c r="D142" s="76" t="s">
        <v>794</v>
      </c>
      <c r="E142" s="77">
        <v>13057.449000000001</v>
      </c>
      <c r="F142" s="76" t="s">
        <v>841</v>
      </c>
      <c r="G142" s="76" t="str">
        <f t="shared" si="5"/>
        <v>PR44-PR45</v>
      </c>
    </row>
    <row r="143" spans="2:7" ht="14.25" customHeight="1">
      <c r="B143" s="76" t="s">
        <v>139</v>
      </c>
      <c r="C143" s="76" t="s">
        <v>706</v>
      </c>
      <c r="D143" s="76" t="s">
        <v>794</v>
      </c>
      <c r="E143" s="77">
        <v>13107.449000000001</v>
      </c>
      <c r="F143" s="76" t="s">
        <v>842</v>
      </c>
      <c r="G143" s="76" t="str">
        <f t="shared" si="5"/>
        <v>PR45-PR46</v>
      </c>
    </row>
    <row r="144" spans="2:7" ht="14.25" customHeight="1">
      <c r="B144" s="76" t="s">
        <v>139</v>
      </c>
      <c r="C144" s="76" t="s">
        <v>706</v>
      </c>
      <c r="D144" s="76" t="s">
        <v>794</v>
      </c>
      <c r="E144" s="77">
        <v>13157.449000000001</v>
      </c>
      <c r="F144" s="76" t="s">
        <v>843</v>
      </c>
      <c r="G144" s="76" t="str">
        <f t="shared" si="5"/>
        <v>PR46-PR47</v>
      </c>
    </row>
    <row r="145" spans="2:7" ht="14.25" customHeight="1">
      <c r="B145" s="76" t="s">
        <v>139</v>
      </c>
      <c r="C145" s="76" t="s">
        <v>706</v>
      </c>
      <c r="D145" s="76" t="s">
        <v>794</v>
      </c>
      <c r="E145" s="77">
        <v>13207.449000000001</v>
      </c>
      <c r="F145" s="76" t="s">
        <v>844</v>
      </c>
      <c r="G145" s="76" t="str">
        <f t="shared" si="5"/>
        <v>PR47-PR48</v>
      </c>
    </row>
    <row r="146" spans="2:7" ht="14.25" customHeight="1">
      <c r="B146" s="76" t="s">
        <v>139</v>
      </c>
      <c r="C146" s="76" t="s">
        <v>706</v>
      </c>
      <c r="D146" s="76" t="s">
        <v>794</v>
      </c>
      <c r="E146" s="77">
        <v>13257.449000000001</v>
      </c>
      <c r="F146" s="76" t="s">
        <v>845</v>
      </c>
      <c r="G146" s="76" t="str">
        <f t="shared" si="5"/>
        <v>PR48-PR49</v>
      </c>
    </row>
    <row r="147" spans="2:7" ht="14.25" customHeight="1">
      <c r="B147" s="76" t="s">
        <v>139</v>
      </c>
      <c r="C147" s="76" t="s">
        <v>706</v>
      </c>
      <c r="D147" s="76" t="s">
        <v>794</v>
      </c>
      <c r="E147" s="77">
        <v>13307.449000000001</v>
      </c>
      <c r="F147" s="76" t="s">
        <v>846</v>
      </c>
      <c r="G147" s="76" t="str">
        <f t="shared" si="5"/>
        <v>PR49-PR50</v>
      </c>
    </row>
    <row r="148" spans="2:7" ht="14.25" customHeight="1">
      <c r="B148" s="76" t="s">
        <v>139</v>
      </c>
      <c r="C148" s="76" t="s">
        <v>706</v>
      </c>
      <c r="D148" s="76" t="s">
        <v>794</v>
      </c>
      <c r="E148" s="77">
        <v>13357.449000000001</v>
      </c>
      <c r="F148" s="76" t="s">
        <v>847</v>
      </c>
      <c r="G148" s="76" t="str">
        <f t="shared" si="5"/>
        <v>PR50-PR51</v>
      </c>
    </row>
    <row r="149" spans="2:7" ht="14.25" customHeight="1">
      <c r="B149" s="76" t="s">
        <v>139</v>
      </c>
      <c r="C149" s="76" t="s">
        <v>706</v>
      </c>
      <c r="D149" s="76" t="s">
        <v>794</v>
      </c>
      <c r="E149" s="77">
        <v>13407.449000000001</v>
      </c>
      <c r="F149" s="76" t="s">
        <v>848</v>
      </c>
      <c r="G149" s="76" t="str">
        <f t="shared" si="5"/>
        <v>PR51-PR52</v>
      </c>
    </row>
    <row r="150" spans="2:7" ht="14.25" customHeight="1">
      <c r="B150" s="76" t="s">
        <v>139</v>
      </c>
      <c r="C150" s="76" t="s">
        <v>706</v>
      </c>
      <c r="D150" s="76" t="s">
        <v>794</v>
      </c>
      <c r="E150" s="77">
        <v>13457.407999999999</v>
      </c>
      <c r="F150" s="76" t="s">
        <v>849</v>
      </c>
      <c r="G150" s="76" t="str">
        <f t="shared" si="5"/>
        <v>PR52-PR53</v>
      </c>
    </row>
    <row r="151" spans="2:7" ht="14.25" customHeight="1">
      <c r="B151" s="76" t="s">
        <v>139</v>
      </c>
      <c r="C151" s="76" t="s">
        <v>706</v>
      </c>
      <c r="D151" s="76" t="s">
        <v>794</v>
      </c>
      <c r="E151" s="77">
        <v>13507.117</v>
      </c>
      <c r="F151" s="76" t="s">
        <v>850</v>
      </c>
      <c r="G151" s="76" t="str">
        <f t="shared" si="5"/>
        <v>PR53-PR54</v>
      </c>
    </row>
    <row r="152" spans="2:7" ht="14.25" customHeight="1">
      <c r="B152" s="76" t="s">
        <v>139</v>
      </c>
      <c r="C152" s="76" t="s">
        <v>706</v>
      </c>
      <c r="D152" s="76" t="s">
        <v>794</v>
      </c>
      <c r="E152" s="77">
        <v>13546.782999999999</v>
      </c>
      <c r="F152" s="76" t="s">
        <v>851</v>
      </c>
      <c r="G152" s="76" t="str">
        <f t="shared" si="5"/>
        <v>PR54-PR55</v>
      </c>
    </row>
    <row r="153" spans="2:7" ht="14.25" customHeight="1">
      <c r="B153" s="76" t="s">
        <v>139</v>
      </c>
      <c r="C153" s="76" t="s">
        <v>706</v>
      </c>
      <c r="D153" s="76" t="s">
        <v>794</v>
      </c>
      <c r="E153" s="77">
        <v>13586.453</v>
      </c>
      <c r="F153" s="76" t="s">
        <v>852</v>
      </c>
      <c r="G153" s="76" t="str">
        <f t="shared" si="5"/>
        <v>PR55-PR56</v>
      </c>
    </row>
    <row r="154" spans="2:7" ht="14.25" customHeight="1">
      <c r="B154" s="76" t="s">
        <v>139</v>
      </c>
      <c r="C154" s="76" t="s">
        <v>706</v>
      </c>
      <c r="D154" s="76" t="s">
        <v>794</v>
      </c>
      <c r="E154" s="77">
        <v>13626.121999999999</v>
      </c>
      <c r="F154" s="76" t="s">
        <v>853</v>
      </c>
      <c r="G154" s="76" t="str">
        <f t="shared" si="5"/>
        <v>PR56-PR57</v>
      </c>
    </row>
    <row r="155" spans="2:7" ht="14.25" customHeight="1">
      <c r="B155" s="76" t="s">
        <v>139</v>
      </c>
      <c r="C155" s="76" t="s">
        <v>706</v>
      </c>
      <c r="D155" s="76" t="s">
        <v>794</v>
      </c>
      <c r="E155" s="77">
        <v>13667.012000000001</v>
      </c>
      <c r="F155" s="76" t="s">
        <v>854</v>
      </c>
      <c r="G155" s="76" t="str">
        <f t="shared" si="5"/>
        <v>PR57-PR58</v>
      </c>
    </row>
    <row r="156" spans="2:7" ht="14.25" customHeight="1">
      <c r="B156" s="76" t="s">
        <v>139</v>
      </c>
      <c r="C156" s="76" t="s">
        <v>706</v>
      </c>
      <c r="D156" s="76" t="s">
        <v>794</v>
      </c>
      <c r="E156" s="77">
        <v>13707.591</v>
      </c>
      <c r="F156" s="76" t="s">
        <v>855</v>
      </c>
      <c r="G156" s="76" t="str">
        <f t="shared" si="5"/>
        <v>PR58-PR59</v>
      </c>
    </row>
    <row r="157" spans="2:7" ht="14.25" customHeight="1">
      <c r="B157" s="76" t="s">
        <v>139</v>
      </c>
      <c r="C157" s="76" t="s">
        <v>706</v>
      </c>
      <c r="D157" s="76" t="s">
        <v>794</v>
      </c>
      <c r="E157" s="77">
        <v>13747.459000000001</v>
      </c>
      <c r="F157" s="76" t="s">
        <v>856</v>
      </c>
      <c r="G157" s="76" t="str">
        <f t="shared" si="5"/>
        <v>PR59-PR60</v>
      </c>
    </row>
    <row r="158" spans="2:7" ht="14.25" customHeight="1">
      <c r="B158" s="76" t="s">
        <v>139</v>
      </c>
      <c r="C158" s="76" t="s">
        <v>706</v>
      </c>
      <c r="D158" s="76" t="s">
        <v>794</v>
      </c>
      <c r="E158" s="77">
        <v>13788.038</v>
      </c>
      <c r="F158" s="76" t="s">
        <v>857</v>
      </c>
      <c r="G158" s="76" t="str">
        <f t="shared" si="5"/>
        <v>PR60-PR61</v>
      </c>
    </row>
    <row r="159" spans="2:7" ht="14.25" customHeight="1">
      <c r="B159" s="76" t="s">
        <v>746</v>
      </c>
      <c r="C159" s="76" t="s">
        <v>706</v>
      </c>
      <c r="D159" s="76" t="s">
        <v>794</v>
      </c>
      <c r="E159" s="77">
        <v>13828.928</v>
      </c>
      <c r="F159" s="76" t="s">
        <v>858</v>
      </c>
      <c r="G159" s="76" t="str">
        <f t="shared" si="5"/>
        <v>PR61-PR62</v>
      </c>
    </row>
    <row r="160" spans="2:7" ht="14.25" customHeight="1">
      <c r="B160" s="78" t="s">
        <v>746</v>
      </c>
      <c r="C160" s="78" t="s">
        <v>698</v>
      </c>
      <c r="D160" s="78" t="s">
        <v>794</v>
      </c>
      <c r="E160" s="79">
        <v>13828.928</v>
      </c>
      <c r="F160" s="78" t="s">
        <v>858</v>
      </c>
      <c r="G160" s="78"/>
    </row>
    <row r="161" spans="2:7" ht="14.25" customHeight="1">
      <c r="B161" s="78" t="s">
        <v>746</v>
      </c>
      <c r="C161" s="78" t="s">
        <v>698</v>
      </c>
      <c r="D161" s="78" t="s">
        <v>794</v>
      </c>
      <c r="E161" s="79">
        <v>13903.928</v>
      </c>
      <c r="F161" s="78" t="s">
        <v>859</v>
      </c>
      <c r="G161" s="78" t="str">
        <f>CONCATENATE(F159,"-",F161)</f>
        <v>PR62-PR63</v>
      </c>
    </row>
    <row r="162" spans="2:7" ht="14.25" customHeight="1">
      <c r="B162" s="78" t="s">
        <v>746</v>
      </c>
      <c r="C162" s="78" t="s">
        <v>698</v>
      </c>
      <c r="D162" s="78" t="s">
        <v>794</v>
      </c>
      <c r="E162" s="79">
        <v>14053.928</v>
      </c>
      <c r="F162" s="78" t="s">
        <v>860</v>
      </c>
      <c r="G162" s="78" t="str">
        <f t="shared" ref="G162:G163" si="6">CONCATENATE(F161,"-",F162)</f>
        <v>PR63-PR64</v>
      </c>
    </row>
    <row r="163" spans="2:7" ht="14.25" customHeight="1">
      <c r="B163" s="78" t="s">
        <v>746</v>
      </c>
      <c r="C163" s="78" t="s">
        <v>698</v>
      </c>
      <c r="D163" s="78" t="s">
        <v>794</v>
      </c>
      <c r="E163" s="79">
        <v>14128.928</v>
      </c>
      <c r="F163" s="78" t="s">
        <v>861</v>
      </c>
      <c r="G163" s="78" t="str">
        <f t="shared" si="6"/>
        <v>PR64-PR65</v>
      </c>
    </row>
    <row r="164" spans="2:7" ht="14.25" customHeight="1">
      <c r="B164" s="76" t="s">
        <v>746</v>
      </c>
      <c r="C164" s="76" t="s">
        <v>706</v>
      </c>
      <c r="D164" s="76" t="s">
        <v>794</v>
      </c>
      <c r="E164" s="77">
        <v>14128.928</v>
      </c>
      <c r="F164" s="76" t="s">
        <v>861</v>
      </c>
      <c r="G164" s="76"/>
    </row>
    <row r="165" spans="2:7" ht="14.25" customHeight="1">
      <c r="B165" s="76" t="s">
        <v>139</v>
      </c>
      <c r="C165" s="76" t="s">
        <v>706</v>
      </c>
      <c r="D165" s="76" t="s">
        <v>794</v>
      </c>
      <c r="E165" s="77">
        <v>14163.878000000001</v>
      </c>
      <c r="F165" s="76" t="s">
        <v>862</v>
      </c>
      <c r="G165" s="76" t="str">
        <f>CONCATENATE(F163,"-",F165)</f>
        <v>PR65-PR66</v>
      </c>
    </row>
    <row r="166" spans="2:7" ht="14.25" customHeight="1">
      <c r="B166" s="76" t="s">
        <v>139</v>
      </c>
      <c r="C166" s="76" t="s">
        <v>706</v>
      </c>
      <c r="D166" s="76" t="s">
        <v>794</v>
      </c>
      <c r="E166" s="77">
        <v>14198.828</v>
      </c>
      <c r="F166" s="76" t="s">
        <v>863</v>
      </c>
      <c r="G166" s="76" t="str">
        <f t="shared" ref="G166:G180" si="7">CONCATENATE(F165,"-",F166)</f>
        <v>PR66-PR67</v>
      </c>
    </row>
    <row r="167" spans="2:7" ht="14.25" customHeight="1">
      <c r="B167" s="76" t="s">
        <v>139</v>
      </c>
      <c r="C167" s="76" t="s">
        <v>710</v>
      </c>
      <c r="D167" s="76" t="s">
        <v>794</v>
      </c>
      <c r="E167" s="77">
        <v>14235.35</v>
      </c>
      <c r="F167" s="76" t="s">
        <v>864</v>
      </c>
      <c r="G167" s="76" t="str">
        <f t="shared" si="7"/>
        <v>PR67-PR68</v>
      </c>
    </row>
    <row r="168" spans="2:7" ht="14.25" customHeight="1">
      <c r="B168" s="76" t="s">
        <v>139</v>
      </c>
      <c r="C168" s="76" t="s">
        <v>710</v>
      </c>
      <c r="D168" s="76" t="s">
        <v>794</v>
      </c>
      <c r="E168" s="77">
        <v>14273.31</v>
      </c>
      <c r="F168" s="76" t="s">
        <v>865</v>
      </c>
      <c r="G168" s="76" t="str">
        <f t="shared" si="7"/>
        <v>PR68-PR69</v>
      </c>
    </row>
    <row r="169" spans="2:7" ht="14.25" customHeight="1">
      <c r="B169" s="76" t="s">
        <v>139</v>
      </c>
      <c r="C169" s="76" t="s">
        <v>710</v>
      </c>
      <c r="D169" s="76" t="s">
        <v>794</v>
      </c>
      <c r="E169" s="77">
        <v>14311.27</v>
      </c>
      <c r="F169" s="76" t="s">
        <v>866</v>
      </c>
      <c r="G169" s="76" t="str">
        <f t="shared" si="7"/>
        <v>PR69-PR70</v>
      </c>
    </row>
    <row r="170" spans="2:7" ht="14.25" customHeight="1">
      <c r="B170" s="76" t="s">
        <v>139</v>
      </c>
      <c r="C170" s="76" t="s">
        <v>710</v>
      </c>
      <c r="D170" s="76" t="s">
        <v>794</v>
      </c>
      <c r="E170" s="77">
        <v>14349.23</v>
      </c>
      <c r="F170" s="76" t="s">
        <v>867</v>
      </c>
      <c r="G170" s="76" t="str">
        <f t="shared" si="7"/>
        <v>PR70-PR71</v>
      </c>
    </row>
    <row r="171" spans="2:7" ht="14.25" customHeight="1">
      <c r="B171" s="76" t="s">
        <v>139</v>
      </c>
      <c r="C171" s="76" t="s">
        <v>710</v>
      </c>
      <c r="D171" s="76" t="s">
        <v>794</v>
      </c>
      <c r="E171" s="77">
        <v>14387.19</v>
      </c>
      <c r="F171" s="76" t="s">
        <v>868</v>
      </c>
      <c r="G171" s="76" t="str">
        <f t="shared" si="7"/>
        <v>PR71-PR72</v>
      </c>
    </row>
    <row r="172" spans="2:7" ht="14.25" customHeight="1">
      <c r="B172" s="76" t="s">
        <v>139</v>
      </c>
      <c r="C172" s="76" t="s">
        <v>710</v>
      </c>
      <c r="D172" s="76" t="s">
        <v>794</v>
      </c>
      <c r="E172" s="77">
        <v>14425.15</v>
      </c>
      <c r="F172" s="76" t="s">
        <v>869</v>
      </c>
      <c r="G172" s="76" t="str">
        <f t="shared" si="7"/>
        <v>PR72-PR73</v>
      </c>
    </row>
    <row r="173" spans="2:7" ht="14.25" customHeight="1">
      <c r="B173" s="76" t="s">
        <v>139</v>
      </c>
      <c r="C173" s="76" t="s">
        <v>706</v>
      </c>
      <c r="D173" s="76" t="s">
        <v>794</v>
      </c>
      <c r="E173" s="77">
        <v>14475.15</v>
      </c>
      <c r="F173" s="76" t="s">
        <v>870</v>
      </c>
      <c r="G173" s="76" t="str">
        <f t="shared" si="7"/>
        <v>PR73-PR74</v>
      </c>
    </row>
    <row r="174" spans="2:7" ht="14.25" customHeight="1">
      <c r="B174" s="76" t="s">
        <v>139</v>
      </c>
      <c r="C174" s="76" t="s">
        <v>706</v>
      </c>
      <c r="D174" s="76" t="s">
        <v>794</v>
      </c>
      <c r="E174" s="77">
        <v>14525.15</v>
      </c>
      <c r="F174" s="76" t="s">
        <v>871</v>
      </c>
      <c r="G174" s="76" t="str">
        <f t="shared" si="7"/>
        <v>PR74-PR75</v>
      </c>
    </row>
    <row r="175" spans="2:7" ht="14.25" customHeight="1">
      <c r="B175" s="76" t="s">
        <v>139</v>
      </c>
      <c r="C175" s="76" t="s">
        <v>706</v>
      </c>
      <c r="D175" s="76" t="s">
        <v>794</v>
      </c>
      <c r="E175" s="77">
        <v>14575.15</v>
      </c>
      <c r="F175" s="76" t="s">
        <v>872</v>
      </c>
      <c r="G175" s="76" t="str">
        <f t="shared" si="7"/>
        <v>PR75-PR76</v>
      </c>
    </row>
    <row r="176" spans="2:7" ht="14.25" customHeight="1">
      <c r="B176" s="76" t="s">
        <v>139</v>
      </c>
      <c r="C176" s="76" t="s">
        <v>706</v>
      </c>
      <c r="D176" s="76" t="s">
        <v>794</v>
      </c>
      <c r="E176" s="77">
        <v>14616.12</v>
      </c>
      <c r="F176" s="76" t="s">
        <v>873</v>
      </c>
      <c r="G176" s="76" t="str">
        <f t="shared" si="7"/>
        <v>PR76-PR77</v>
      </c>
    </row>
    <row r="177" spans="2:7" ht="14.25" customHeight="1">
      <c r="B177" s="76" t="s">
        <v>139</v>
      </c>
      <c r="C177" s="76" t="s">
        <v>710</v>
      </c>
      <c r="D177" s="76" t="s">
        <v>794</v>
      </c>
      <c r="E177" s="77">
        <v>14657.09</v>
      </c>
      <c r="F177" s="76" t="s">
        <v>874</v>
      </c>
      <c r="G177" s="76" t="str">
        <f t="shared" si="7"/>
        <v>PR77-PR78</v>
      </c>
    </row>
    <row r="178" spans="2:7" ht="14.25" customHeight="1">
      <c r="B178" s="76" t="s">
        <v>139</v>
      </c>
      <c r="C178" s="76" t="s">
        <v>710</v>
      </c>
      <c r="D178" s="76" t="s">
        <v>794</v>
      </c>
      <c r="E178" s="77">
        <v>14698.06</v>
      </c>
      <c r="F178" s="76" t="s">
        <v>875</v>
      </c>
      <c r="G178" s="76" t="str">
        <f t="shared" si="7"/>
        <v>PR78-PR79</v>
      </c>
    </row>
    <row r="179" spans="2:7" ht="14.25" customHeight="1">
      <c r="B179" s="76" t="s">
        <v>139</v>
      </c>
      <c r="C179" s="76" t="s">
        <v>710</v>
      </c>
      <c r="D179" s="76" t="s">
        <v>794</v>
      </c>
      <c r="E179" s="77">
        <v>14739.03</v>
      </c>
      <c r="F179" s="76" t="s">
        <v>876</v>
      </c>
      <c r="G179" s="76" t="str">
        <f t="shared" si="7"/>
        <v>PR79-PR80</v>
      </c>
    </row>
    <row r="180" spans="2:7" ht="14.25" customHeight="1">
      <c r="B180" s="76" t="s">
        <v>139</v>
      </c>
      <c r="C180" s="76" t="s">
        <v>710</v>
      </c>
      <c r="D180" s="76" t="s">
        <v>794</v>
      </c>
      <c r="E180" s="77">
        <v>14780</v>
      </c>
      <c r="F180" s="76" t="s">
        <v>877</v>
      </c>
      <c r="G180" s="76" t="str">
        <f t="shared" si="7"/>
        <v>PR80-PR81</v>
      </c>
    </row>
    <row r="181" spans="2:7" ht="14.25" customHeight="1">
      <c r="B181" s="82" t="s">
        <v>878</v>
      </c>
      <c r="C181" s="82" t="s">
        <v>677</v>
      </c>
      <c r="D181" s="82" t="s">
        <v>879</v>
      </c>
      <c r="E181" s="83">
        <v>19.204000000000001</v>
      </c>
      <c r="F181" s="82" t="s">
        <v>711</v>
      </c>
      <c r="G181" s="82"/>
    </row>
    <row r="182" spans="2:7" ht="14.25" customHeight="1">
      <c r="B182" s="82" t="s">
        <v>878</v>
      </c>
      <c r="C182" s="82" t="s">
        <v>677</v>
      </c>
      <c r="D182" s="82" t="s">
        <v>879</v>
      </c>
      <c r="E182" s="83">
        <v>60.405000000000001</v>
      </c>
      <c r="F182" s="82" t="s">
        <v>712</v>
      </c>
      <c r="G182" s="82" t="str">
        <f t="shared" ref="G182:G236" si="8">CONCATENATE(F181,"-",F182)</f>
        <v>PL1-PL2</v>
      </c>
    </row>
    <row r="183" spans="2:7" ht="14.25" customHeight="1">
      <c r="B183" s="82" t="s">
        <v>878</v>
      </c>
      <c r="C183" s="82" t="s">
        <v>677</v>
      </c>
      <c r="D183" s="82" t="s">
        <v>879</v>
      </c>
      <c r="E183" s="83">
        <v>101.60599999999999</v>
      </c>
      <c r="F183" s="82" t="s">
        <v>713</v>
      </c>
      <c r="G183" s="82" t="str">
        <f t="shared" si="8"/>
        <v>PL2-PL3</v>
      </c>
    </row>
    <row r="184" spans="2:7" ht="14.25" customHeight="1">
      <c r="B184" s="82" t="s">
        <v>878</v>
      </c>
      <c r="C184" s="82" t="s">
        <v>677</v>
      </c>
      <c r="D184" s="82" t="s">
        <v>879</v>
      </c>
      <c r="E184" s="83">
        <v>142.80709999999999</v>
      </c>
      <c r="F184" s="82" t="s">
        <v>714</v>
      </c>
      <c r="G184" s="82" t="str">
        <f t="shared" si="8"/>
        <v>PL3-PL4</v>
      </c>
    </row>
    <row r="185" spans="2:7" ht="14.25" customHeight="1">
      <c r="B185" s="82" t="s">
        <v>878</v>
      </c>
      <c r="C185" s="82" t="s">
        <v>677</v>
      </c>
      <c r="D185" s="82" t="s">
        <v>879</v>
      </c>
      <c r="E185" s="83">
        <v>170.43889999999999</v>
      </c>
      <c r="F185" s="82" t="s">
        <v>880</v>
      </c>
      <c r="G185" s="82" t="str">
        <f t="shared" si="8"/>
        <v>PL4-VCP1</v>
      </c>
    </row>
    <row r="186" spans="2:7" ht="14.25" customHeight="1">
      <c r="B186" s="82" t="s">
        <v>878</v>
      </c>
      <c r="C186" s="82" t="s">
        <v>677</v>
      </c>
      <c r="D186" s="82" t="s">
        <v>879</v>
      </c>
      <c r="E186" s="83">
        <v>199.001</v>
      </c>
      <c r="F186" s="82" t="s">
        <v>881</v>
      </c>
      <c r="G186" s="82" t="str">
        <f t="shared" si="8"/>
        <v>VCP1-VCP2</v>
      </c>
    </row>
    <row r="187" spans="2:7" ht="14.25" customHeight="1">
      <c r="B187" s="82" t="s">
        <v>878</v>
      </c>
      <c r="C187" s="82" t="s">
        <v>677</v>
      </c>
      <c r="D187" s="82" t="s">
        <v>879</v>
      </c>
      <c r="E187" s="83">
        <v>228.239</v>
      </c>
      <c r="F187" s="82" t="s">
        <v>882</v>
      </c>
      <c r="G187" s="82" t="str">
        <f t="shared" si="8"/>
        <v>VCP2-VCP3</v>
      </c>
    </row>
    <row r="188" spans="2:7" ht="14.25" customHeight="1">
      <c r="B188" s="82" t="s">
        <v>878</v>
      </c>
      <c r="C188" s="82" t="s">
        <v>677</v>
      </c>
      <c r="D188" s="82" t="s">
        <v>879</v>
      </c>
      <c r="E188" s="83">
        <v>258.18900000000002</v>
      </c>
      <c r="F188" s="82" t="s">
        <v>883</v>
      </c>
      <c r="G188" s="82" t="str">
        <f t="shared" si="8"/>
        <v>VCP3-VCP4</v>
      </c>
    </row>
    <row r="189" spans="2:7" ht="14.25" customHeight="1">
      <c r="B189" s="82" t="s">
        <v>878</v>
      </c>
      <c r="C189" s="82" t="s">
        <v>677</v>
      </c>
      <c r="D189" s="82" t="s">
        <v>879</v>
      </c>
      <c r="E189" s="83">
        <v>288.27300000000002</v>
      </c>
      <c r="F189" s="82" t="s">
        <v>884</v>
      </c>
      <c r="G189" s="82" t="str">
        <f t="shared" si="8"/>
        <v>VCP4-VCP5</v>
      </c>
    </row>
    <row r="190" spans="2:7" ht="14.25" customHeight="1">
      <c r="B190" s="82" t="s">
        <v>878</v>
      </c>
      <c r="C190" s="82" t="s">
        <v>677</v>
      </c>
      <c r="D190" s="82" t="s">
        <v>879</v>
      </c>
      <c r="E190" s="83">
        <v>318.286</v>
      </c>
      <c r="F190" s="82" t="s">
        <v>885</v>
      </c>
      <c r="G190" s="82" t="str">
        <f t="shared" si="8"/>
        <v>VCP5-VCP6</v>
      </c>
    </row>
    <row r="191" spans="2:7" ht="14.25" customHeight="1">
      <c r="B191" s="82" t="s">
        <v>878</v>
      </c>
      <c r="C191" s="82" t="s">
        <v>677</v>
      </c>
      <c r="D191" s="82" t="s">
        <v>879</v>
      </c>
      <c r="E191" s="83">
        <v>343.18700000000001</v>
      </c>
      <c r="F191" s="82" t="s">
        <v>886</v>
      </c>
      <c r="G191" s="82" t="str">
        <f t="shared" si="8"/>
        <v>VCP6-VCP7</v>
      </c>
    </row>
    <row r="192" spans="2:7" ht="14.25" customHeight="1">
      <c r="B192" s="82" t="s">
        <v>878</v>
      </c>
      <c r="C192" s="82" t="s">
        <v>677</v>
      </c>
      <c r="D192" s="82" t="s">
        <v>879</v>
      </c>
      <c r="E192" s="83">
        <v>363.72699999999998</v>
      </c>
      <c r="F192" s="82" t="s">
        <v>887</v>
      </c>
      <c r="G192" s="82" t="str">
        <f t="shared" si="8"/>
        <v>VCP7-VCP8</v>
      </c>
    </row>
    <row r="193" spans="2:7" ht="14.25" customHeight="1">
      <c r="B193" s="82" t="s">
        <v>878</v>
      </c>
      <c r="C193" s="82" t="s">
        <v>677</v>
      </c>
      <c r="D193" s="82" t="s">
        <v>879</v>
      </c>
      <c r="E193" s="83">
        <v>383.99200000000002</v>
      </c>
      <c r="F193" s="82" t="s">
        <v>888</v>
      </c>
      <c r="G193" s="82" t="str">
        <f t="shared" si="8"/>
        <v>VCP8-VCP9</v>
      </c>
    </row>
    <row r="194" spans="2:7" ht="14.25" customHeight="1">
      <c r="B194" s="82" t="s">
        <v>878</v>
      </c>
      <c r="C194" s="82" t="s">
        <v>677</v>
      </c>
      <c r="D194" s="82" t="s">
        <v>879</v>
      </c>
      <c r="E194" s="83">
        <v>411.74200000000002</v>
      </c>
      <c r="F194" s="82" t="s">
        <v>889</v>
      </c>
      <c r="G194" s="82" t="str">
        <f t="shared" si="8"/>
        <v>VCP9-VCP10</v>
      </c>
    </row>
    <row r="195" spans="2:7" ht="14.25" customHeight="1">
      <c r="B195" s="82" t="s">
        <v>878</v>
      </c>
      <c r="C195" s="82" t="s">
        <v>677</v>
      </c>
      <c r="D195" s="82" t="s">
        <v>879</v>
      </c>
      <c r="E195" s="83">
        <v>439.49200000000002</v>
      </c>
      <c r="F195" s="82" t="s">
        <v>890</v>
      </c>
      <c r="G195" s="82" t="str">
        <f t="shared" si="8"/>
        <v>VCP10-VCP11</v>
      </c>
    </row>
    <row r="196" spans="2:7" ht="14.25" customHeight="1">
      <c r="B196" s="82" t="s">
        <v>878</v>
      </c>
      <c r="C196" s="82" t="s">
        <v>677</v>
      </c>
      <c r="D196" s="82" t="s">
        <v>879</v>
      </c>
      <c r="E196" s="83">
        <v>467.24200000000002</v>
      </c>
      <c r="F196" s="82" t="s">
        <v>891</v>
      </c>
      <c r="G196" s="82" t="str">
        <f t="shared" si="8"/>
        <v>VCP11-VCP12</v>
      </c>
    </row>
    <row r="197" spans="2:7" ht="14.25" customHeight="1">
      <c r="B197" s="82" t="s">
        <v>878</v>
      </c>
      <c r="C197" s="82" t="s">
        <v>677</v>
      </c>
      <c r="D197" s="82" t="s">
        <v>879</v>
      </c>
      <c r="E197" s="83">
        <v>494.99200000000002</v>
      </c>
      <c r="F197" s="82" t="s">
        <v>892</v>
      </c>
      <c r="G197" s="82" t="str">
        <f t="shared" si="8"/>
        <v>VCP12-VCP13</v>
      </c>
    </row>
    <row r="198" spans="2:7" ht="14.25" customHeight="1">
      <c r="B198" s="82" t="s">
        <v>878</v>
      </c>
      <c r="C198" s="82" t="s">
        <v>677</v>
      </c>
      <c r="D198" s="82" t="s">
        <v>879</v>
      </c>
      <c r="E198" s="83">
        <v>522.74199999999996</v>
      </c>
      <c r="F198" s="82" t="s">
        <v>893</v>
      </c>
      <c r="G198" s="82" t="str">
        <f t="shared" si="8"/>
        <v>VCP13-VCP14</v>
      </c>
    </row>
    <row r="199" spans="2:7" ht="14.25" customHeight="1">
      <c r="B199" s="82" t="s">
        <v>878</v>
      </c>
      <c r="C199" s="82" t="s">
        <v>677</v>
      </c>
      <c r="D199" s="82" t="s">
        <v>879</v>
      </c>
      <c r="E199" s="83">
        <v>550.49199999999996</v>
      </c>
      <c r="F199" s="82" t="s">
        <v>894</v>
      </c>
      <c r="G199" s="82" t="str">
        <f t="shared" si="8"/>
        <v>VCP14-VCP15</v>
      </c>
    </row>
    <row r="200" spans="2:7" ht="14.25" customHeight="1">
      <c r="B200" s="82" t="s">
        <v>878</v>
      </c>
      <c r="C200" s="82" t="s">
        <v>677</v>
      </c>
      <c r="D200" s="82" t="s">
        <v>879</v>
      </c>
      <c r="E200" s="83">
        <v>578.24199999999996</v>
      </c>
      <c r="F200" s="82" t="s">
        <v>895</v>
      </c>
      <c r="G200" s="82" t="str">
        <f t="shared" si="8"/>
        <v>VCP15-VCP16</v>
      </c>
    </row>
    <row r="201" spans="2:7" ht="14.25" customHeight="1">
      <c r="B201" s="82" t="s">
        <v>878</v>
      </c>
      <c r="C201" s="82" t="s">
        <v>677</v>
      </c>
      <c r="D201" s="82" t="s">
        <v>879</v>
      </c>
      <c r="E201" s="83">
        <v>605.99199999999996</v>
      </c>
      <c r="F201" s="82" t="s">
        <v>896</v>
      </c>
      <c r="G201" s="82" t="str">
        <f t="shared" si="8"/>
        <v>VCP16-VCP17</v>
      </c>
    </row>
    <row r="202" spans="2:7" ht="14.25" customHeight="1">
      <c r="B202" s="82" t="s">
        <v>878</v>
      </c>
      <c r="C202" s="82" t="s">
        <v>677</v>
      </c>
      <c r="D202" s="82" t="s">
        <v>879</v>
      </c>
      <c r="E202" s="83">
        <v>633.74199999999996</v>
      </c>
      <c r="F202" s="82" t="s">
        <v>897</v>
      </c>
      <c r="G202" s="82" t="str">
        <f t="shared" si="8"/>
        <v>VCP17-VCP18</v>
      </c>
    </row>
    <row r="203" spans="2:7" ht="14.25" customHeight="1">
      <c r="B203" s="82" t="s">
        <v>878</v>
      </c>
      <c r="C203" s="82" t="s">
        <v>677</v>
      </c>
      <c r="D203" s="82" t="s">
        <v>879</v>
      </c>
      <c r="E203" s="83">
        <v>661.49199999999996</v>
      </c>
      <c r="F203" s="82" t="s">
        <v>898</v>
      </c>
      <c r="G203" s="82" t="str">
        <f t="shared" si="8"/>
        <v>VCP18-VCP19</v>
      </c>
    </row>
    <row r="204" spans="2:7" ht="14.25" customHeight="1">
      <c r="B204" s="82" t="s">
        <v>878</v>
      </c>
      <c r="C204" s="82" t="s">
        <v>677</v>
      </c>
      <c r="D204" s="82" t="s">
        <v>879</v>
      </c>
      <c r="E204" s="83">
        <v>689.49699999999996</v>
      </c>
      <c r="F204" s="82" t="s">
        <v>899</v>
      </c>
      <c r="G204" s="82" t="str">
        <f t="shared" si="8"/>
        <v>VCP19-VCP20</v>
      </c>
    </row>
    <row r="205" spans="2:7" ht="14.25" customHeight="1">
      <c r="B205" s="82" t="s">
        <v>878</v>
      </c>
      <c r="C205" s="82" t="s">
        <v>677</v>
      </c>
      <c r="D205" s="82" t="s">
        <v>879</v>
      </c>
      <c r="E205" s="83">
        <v>723.55529999999999</v>
      </c>
      <c r="F205" s="82" t="s">
        <v>900</v>
      </c>
      <c r="G205" s="82" t="str">
        <f t="shared" si="8"/>
        <v>VCP20-VCP21</v>
      </c>
    </row>
    <row r="206" spans="2:7" ht="14.25" customHeight="1">
      <c r="B206" s="82" t="s">
        <v>878</v>
      </c>
      <c r="C206" s="82" t="s">
        <v>677</v>
      </c>
      <c r="D206" s="82" t="s">
        <v>879</v>
      </c>
      <c r="E206" s="83">
        <v>763.55529999999999</v>
      </c>
      <c r="F206" s="82" t="s">
        <v>901</v>
      </c>
      <c r="G206" s="82" t="str">
        <f t="shared" si="8"/>
        <v>VCP21-VCP22</v>
      </c>
    </row>
    <row r="207" spans="2:7" ht="14.25" customHeight="1">
      <c r="B207" s="82" t="s">
        <v>878</v>
      </c>
      <c r="C207" s="82" t="s">
        <v>677</v>
      </c>
      <c r="D207" s="82" t="s">
        <v>879</v>
      </c>
      <c r="E207" s="83">
        <v>803.55529999999999</v>
      </c>
      <c r="F207" s="82" t="s">
        <v>902</v>
      </c>
      <c r="G207" s="82" t="str">
        <f t="shared" si="8"/>
        <v>VCP22-VCP23</v>
      </c>
    </row>
    <row r="208" spans="2:7" ht="14.25" customHeight="1">
      <c r="B208" s="82" t="s">
        <v>878</v>
      </c>
      <c r="C208" s="82" t="s">
        <v>677</v>
      </c>
      <c r="D208" s="82" t="s">
        <v>879</v>
      </c>
      <c r="E208" s="83">
        <v>831.904</v>
      </c>
      <c r="F208" s="82" t="s">
        <v>903</v>
      </c>
      <c r="G208" s="82" t="str">
        <f t="shared" si="8"/>
        <v>VCP23-VCP24</v>
      </c>
    </row>
    <row r="209" spans="2:7" ht="14.25" customHeight="1">
      <c r="B209" s="82" t="s">
        <v>878</v>
      </c>
      <c r="C209" s="82" t="s">
        <v>677</v>
      </c>
      <c r="D209" s="82" t="s">
        <v>879</v>
      </c>
      <c r="E209" s="83">
        <v>861.904</v>
      </c>
      <c r="F209" s="82" t="s">
        <v>904</v>
      </c>
      <c r="G209" s="82" t="str">
        <f t="shared" si="8"/>
        <v>VCP24-VCP25</v>
      </c>
    </row>
    <row r="210" spans="2:7" ht="14.25" customHeight="1">
      <c r="B210" s="82" t="s">
        <v>878</v>
      </c>
      <c r="C210" s="82" t="s">
        <v>677</v>
      </c>
      <c r="D210" s="82" t="s">
        <v>879</v>
      </c>
      <c r="E210" s="83">
        <v>891.904</v>
      </c>
      <c r="F210" s="82" t="s">
        <v>905</v>
      </c>
      <c r="G210" s="82" t="str">
        <f t="shared" si="8"/>
        <v>VCP25-VCP26</v>
      </c>
    </row>
    <row r="211" spans="2:7" ht="14.25" customHeight="1">
      <c r="B211" s="82" t="s">
        <v>878</v>
      </c>
      <c r="C211" s="82" t="s">
        <v>677</v>
      </c>
      <c r="D211" s="82" t="s">
        <v>879</v>
      </c>
      <c r="E211" s="83">
        <v>922.19899999999996</v>
      </c>
      <c r="F211" s="82" t="s">
        <v>906</v>
      </c>
      <c r="G211" s="82" t="str">
        <f t="shared" si="8"/>
        <v>VCP26-VCP27</v>
      </c>
    </row>
    <row r="212" spans="2:7" ht="14.25" customHeight="1">
      <c r="B212" s="82" t="s">
        <v>878</v>
      </c>
      <c r="C212" s="82" t="s">
        <v>677</v>
      </c>
      <c r="D212" s="82" t="s">
        <v>879</v>
      </c>
      <c r="E212" s="83">
        <v>952.71799999999996</v>
      </c>
      <c r="F212" s="82" t="s">
        <v>907</v>
      </c>
      <c r="G212" s="82" t="str">
        <f t="shared" si="8"/>
        <v>VCP27-VCP28</v>
      </c>
    </row>
    <row r="213" spans="2:7" ht="14.25" customHeight="1">
      <c r="B213" s="82" t="s">
        <v>878</v>
      </c>
      <c r="C213" s="82" t="s">
        <v>677</v>
      </c>
      <c r="D213" s="82" t="s">
        <v>879</v>
      </c>
      <c r="E213" s="83">
        <v>982.84500000000003</v>
      </c>
      <c r="F213" s="82" t="s">
        <v>908</v>
      </c>
      <c r="G213" s="82" t="str">
        <f t="shared" si="8"/>
        <v>VCP28-VCP29</v>
      </c>
    </row>
    <row r="214" spans="2:7" ht="14.25" customHeight="1">
      <c r="B214" s="82" t="s">
        <v>878</v>
      </c>
      <c r="C214" s="82" t="s">
        <v>677</v>
      </c>
      <c r="D214" s="82" t="s">
        <v>879</v>
      </c>
      <c r="E214" s="83">
        <v>1010.189</v>
      </c>
      <c r="F214" s="82" t="s">
        <v>909</v>
      </c>
      <c r="G214" s="82" t="str">
        <f t="shared" si="8"/>
        <v>VCP29-VCP30</v>
      </c>
    </row>
    <row r="215" spans="2:7" ht="14.25" customHeight="1">
      <c r="B215" s="82" t="s">
        <v>878</v>
      </c>
      <c r="C215" s="82" t="s">
        <v>677</v>
      </c>
      <c r="D215" s="82" t="s">
        <v>879</v>
      </c>
      <c r="E215" s="83">
        <v>1037.1410000000001</v>
      </c>
      <c r="F215" s="82" t="s">
        <v>910</v>
      </c>
      <c r="G215" s="82" t="str">
        <f t="shared" si="8"/>
        <v>VCP30-VCP31</v>
      </c>
    </row>
    <row r="216" spans="2:7" ht="14.25" customHeight="1">
      <c r="B216" s="82" t="s">
        <v>878</v>
      </c>
      <c r="C216" s="82" t="s">
        <v>677</v>
      </c>
      <c r="D216" s="82" t="s">
        <v>879</v>
      </c>
      <c r="E216" s="83">
        <v>1064.105</v>
      </c>
      <c r="F216" s="82" t="s">
        <v>911</v>
      </c>
      <c r="G216" s="82" t="str">
        <f t="shared" si="8"/>
        <v>VCP31-VCP32</v>
      </c>
    </row>
    <row r="217" spans="2:7" ht="14.25" customHeight="1">
      <c r="B217" s="82" t="s">
        <v>878</v>
      </c>
      <c r="C217" s="82" t="s">
        <v>677</v>
      </c>
      <c r="D217" s="82" t="s">
        <v>879</v>
      </c>
      <c r="E217" s="83">
        <v>1091.8420000000001</v>
      </c>
      <c r="F217" s="82" t="s">
        <v>912</v>
      </c>
      <c r="G217" s="82" t="str">
        <f t="shared" si="8"/>
        <v>VCP32-VCP33</v>
      </c>
    </row>
    <row r="218" spans="2:7" ht="14.25" customHeight="1">
      <c r="B218" s="82" t="s">
        <v>878</v>
      </c>
      <c r="C218" s="82" t="s">
        <v>677</v>
      </c>
      <c r="D218" s="82" t="s">
        <v>879</v>
      </c>
      <c r="E218" s="83">
        <v>1121.8440000000001</v>
      </c>
      <c r="F218" s="82" t="s">
        <v>913</v>
      </c>
      <c r="G218" s="82" t="str">
        <f t="shared" si="8"/>
        <v>VCP33-VCP34</v>
      </c>
    </row>
    <row r="219" spans="2:7" ht="14.25" customHeight="1">
      <c r="B219" s="82" t="s">
        <v>878</v>
      </c>
      <c r="C219" s="82" t="s">
        <v>677</v>
      </c>
      <c r="D219" s="82" t="s">
        <v>879</v>
      </c>
      <c r="E219" s="83">
        <v>1151.8440000000001</v>
      </c>
      <c r="F219" s="82" t="s">
        <v>914</v>
      </c>
      <c r="G219" s="82" t="str">
        <f t="shared" si="8"/>
        <v>VCP34-VCP35</v>
      </c>
    </row>
    <row r="220" spans="2:7" ht="14.25" customHeight="1">
      <c r="B220" s="82" t="s">
        <v>878</v>
      </c>
      <c r="C220" s="82" t="s">
        <v>677</v>
      </c>
      <c r="D220" s="82" t="s">
        <v>879</v>
      </c>
      <c r="E220" s="83">
        <v>1181.845</v>
      </c>
      <c r="F220" s="82" t="s">
        <v>915</v>
      </c>
      <c r="G220" s="82" t="str">
        <f t="shared" si="8"/>
        <v>VCP35-VCP36</v>
      </c>
    </row>
    <row r="221" spans="2:7" ht="14.25" customHeight="1">
      <c r="B221" s="82" t="s">
        <v>878</v>
      </c>
      <c r="C221" s="82" t="s">
        <v>677</v>
      </c>
      <c r="D221" s="82" t="s">
        <v>879</v>
      </c>
      <c r="E221" s="83">
        <v>1211.845</v>
      </c>
      <c r="F221" s="82" t="s">
        <v>916</v>
      </c>
      <c r="G221" s="82" t="str">
        <f t="shared" si="8"/>
        <v>VCP36-VCP37</v>
      </c>
    </row>
    <row r="222" spans="2:7" ht="14.25" customHeight="1">
      <c r="B222" s="82" t="s">
        <v>878</v>
      </c>
      <c r="C222" s="82" t="s">
        <v>677</v>
      </c>
      <c r="D222" s="82" t="s">
        <v>879</v>
      </c>
      <c r="E222" s="83">
        <v>1241.845</v>
      </c>
      <c r="F222" s="82" t="s">
        <v>917</v>
      </c>
      <c r="G222" s="82" t="str">
        <f t="shared" si="8"/>
        <v>VCP37-VCP38</v>
      </c>
    </row>
    <row r="223" spans="2:7" ht="14.25" customHeight="1">
      <c r="B223" s="82" t="s">
        <v>878</v>
      </c>
      <c r="C223" s="82" t="s">
        <v>677</v>
      </c>
      <c r="D223" s="82" t="s">
        <v>879</v>
      </c>
      <c r="E223" s="83">
        <v>1271.845</v>
      </c>
      <c r="F223" s="82" t="s">
        <v>918</v>
      </c>
      <c r="G223" s="82" t="str">
        <f t="shared" si="8"/>
        <v>VCP38-VCP39</v>
      </c>
    </row>
    <row r="224" spans="2:7" ht="14.25" customHeight="1">
      <c r="B224" s="82" t="s">
        <v>878</v>
      </c>
      <c r="C224" s="82" t="s">
        <v>677</v>
      </c>
      <c r="D224" s="82" t="s">
        <v>879</v>
      </c>
      <c r="E224" s="83">
        <v>1301.8440000000001</v>
      </c>
      <c r="F224" s="82" t="s">
        <v>919</v>
      </c>
      <c r="G224" s="82" t="str">
        <f t="shared" si="8"/>
        <v>VCP39-VCP40</v>
      </c>
    </row>
    <row r="225" spans="2:7" ht="14.25" customHeight="1">
      <c r="B225" s="82" t="s">
        <v>878</v>
      </c>
      <c r="C225" s="82" t="s">
        <v>677</v>
      </c>
      <c r="D225" s="82" t="s">
        <v>879</v>
      </c>
      <c r="E225" s="83">
        <v>1331.8440000000001</v>
      </c>
      <c r="F225" s="82" t="s">
        <v>920</v>
      </c>
      <c r="G225" s="82" t="str">
        <f t="shared" si="8"/>
        <v>VCP40-VCP41</v>
      </c>
    </row>
    <row r="226" spans="2:7" ht="14.25" customHeight="1">
      <c r="B226" s="82" t="s">
        <v>878</v>
      </c>
      <c r="C226" s="82" t="s">
        <v>677</v>
      </c>
      <c r="D226" s="82" t="s">
        <v>879</v>
      </c>
      <c r="E226" s="83">
        <v>1361.8440000000001</v>
      </c>
      <c r="F226" s="82" t="s">
        <v>921</v>
      </c>
      <c r="G226" s="82" t="str">
        <f t="shared" si="8"/>
        <v>VCP41-VCP42</v>
      </c>
    </row>
    <row r="227" spans="2:7" ht="14.25" customHeight="1">
      <c r="B227" s="82" t="s">
        <v>878</v>
      </c>
      <c r="C227" s="82" t="s">
        <v>677</v>
      </c>
      <c r="D227" s="82" t="s">
        <v>879</v>
      </c>
      <c r="E227" s="83">
        <v>1391.8440000000001</v>
      </c>
      <c r="F227" s="82" t="s">
        <v>922</v>
      </c>
      <c r="G227" s="82" t="str">
        <f t="shared" si="8"/>
        <v>VCP42-VCP43</v>
      </c>
    </row>
    <row r="228" spans="2:7" ht="14.25" customHeight="1">
      <c r="B228" s="82" t="s">
        <v>878</v>
      </c>
      <c r="C228" s="82" t="s">
        <v>677</v>
      </c>
      <c r="D228" s="82" t="s">
        <v>879</v>
      </c>
      <c r="E228" s="83">
        <v>1421.845</v>
      </c>
      <c r="F228" s="82" t="s">
        <v>923</v>
      </c>
      <c r="G228" s="82" t="str">
        <f t="shared" si="8"/>
        <v>VCP43-VCP44</v>
      </c>
    </row>
    <row r="229" spans="2:7" ht="14.25" customHeight="1">
      <c r="B229" s="82" t="s">
        <v>878</v>
      </c>
      <c r="C229" s="82" t="s">
        <v>677</v>
      </c>
      <c r="D229" s="82" t="s">
        <v>879</v>
      </c>
      <c r="E229" s="83">
        <v>1451.845</v>
      </c>
      <c r="F229" s="82" t="s">
        <v>924</v>
      </c>
      <c r="G229" s="82" t="str">
        <f t="shared" si="8"/>
        <v>VCP44-VCP45</v>
      </c>
    </row>
    <row r="230" spans="2:7" ht="14.25" customHeight="1">
      <c r="B230" s="82" t="s">
        <v>878</v>
      </c>
      <c r="C230" s="82" t="s">
        <v>677</v>
      </c>
      <c r="D230" s="82" t="s">
        <v>879</v>
      </c>
      <c r="E230" s="83">
        <v>1481.845</v>
      </c>
      <c r="F230" s="82" t="s">
        <v>925</v>
      </c>
      <c r="G230" s="82" t="str">
        <f t="shared" si="8"/>
        <v>VCP45-VCP47</v>
      </c>
    </row>
    <row r="231" spans="2:7" ht="14.25" customHeight="1">
      <c r="B231" s="82" t="s">
        <v>878</v>
      </c>
      <c r="C231" s="82" t="s">
        <v>677</v>
      </c>
      <c r="D231" s="82" t="s">
        <v>879</v>
      </c>
      <c r="E231" s="83">
        <v>1511.845</v>
      </c>
      <c r="F231" s="82" t="s">
        <v>926</v>
      </c>
      <c r="G231" s="82" t="str">
        <f t="shared" si="8"/>
        <v>VCP47-VCP48</v>
      </c>
    </row>
    <row r="232" spans="2:7" ht="14.25" customHeight="1">
      <c r="B232" s="82" t="s">
        <v>878</v>
      </c>
      <c r="C232" s="82" t="s">
        <v>677</v>
      </c>
      <c r="D232" s="82" t="s">
        <v>879</v>
      </c>
      <c r="E232" s="83">
        <v>1541.845</v>
      </c>
      <c r="F232" s="82" t="s">
        <v>927</v>
      </c>
      <c r="G232" s="82" t="str">
        <f t="shared" si="8"/>
        <v>VCP48-VCP49</v>
      </c>
    </row>
    <row r="233" spans="2:7" ht="14.25" customHeight="1">
      <c r="B233" s="82" t="s">
        <v>878</v>
      </c>
      <c r="C233" s="82" t="s">
        <v>677</v>
      </c>
      <c r="D233" s="82" t="s">
        <v>879</v>
      </c>
      <c r="E233" s="83">
        <v>1571.846</v>
      </c>
      <c r="F233" s="82" t="s">
        <v>928</v>
      </c>
      <c r="G233" s="82" t="str">
        <f t="shared" si="8"/>
        <v>VCP49-VCP50</v>
      </c>
    </row>
    <row r="234" spans="2:7" ht="14.25" customHeight="1">
      <c r="B234" s="82" t="s">
        <v>878</v>
      </c>
      <c r="C234" s="82" t="s">
        <v>677</v>
      </c>
      <c r="D234" s="82" t="s">
        <v>879</v>
      </c>
      <c r="E234" s="83">
        <v>1586.846</v>
      </c>
      <c r="F234" s="82" t="s">
        <v>929</v>
      </c>
      <c r="G234" s="82" t="str">
        <f t="shared" si="8"/>
        <v>VCP50-VCP51</v>
      </c>
    </row>
    <row r="235" spans="2:7" ht="14.25" customHeight="1">
      <c r="B235" s="82" t="s">
        <v>878</v>
      </c>
      <c r="C235" s="82" t="s">
        <v>677</v>
      </c>
      <c r="D235" s="82" t="s">
        <v>879</v>
      </c>
      <c r="E235" s="83">
        <v>1601.846</v>
      </c>
      <c r="F235" s="82" t="s">
        <v>930</v>
      </c>
      <c r="G235" s="82" t="str">
        <f t="shared" si="8"/>
        <v>VCP51-VCP52</v>
      </c>
    </row>
    <row r="236" spans="2:7" ht="14.25" customHeight="1">
      <c r="B236" s="82" t="s">
        <v>878</v>
      </c>
      <c r="C236" s="82" t="s">
        <v>677</v>
      </c>
      <c r="D236" s="82" t="s">
        <v>879</v>
      </c>
      <c r="E236" s="83">
        <v>1616.846</v>
      </c>
      <c r="F236" s="82" t="s">
        <v>931</v>
      </c>
      <c r="G236" s="82" t="str">
        <f t="shared" si="8"/>
        <v>VCP52-VCP53</v>
      </c>
    </row>
    <row r="237" spans="2:7" ht="14.25" customHeight="1">
      <c r="B237" s="82" t="s">
        <v>878</v>
      </c>
      <c r="C237" s="82" t="s">
        <v>677</v>
      </c>
      <c r="D237" s="82" t="s">
        <v>932</v>
      </c>
      <c r="E237" s="83">
        <v>-85.025999999999996</v>
      </c>
      <c r="F237" s="82" t="s">
        <v>724</v>
      </c>
      <c r="G237" s="82"/>
    </row>
    <row r="238" spans="2:7" ht="14.25" customHeight="1">
      <c r="B238" s="82" t="s">
        <v>878</v>
      </c>
      <c r="C238" s="82" t="s">
        <v>677</v>
      </c>
      <c r="D238" s="82" t="s">
        <v>932</v>
      </c>
      <c r="E238" s="83">
        <v>-43.826000000000001</v>
      </c>
      <c r="F238" s="82" t="s">
        <v>723</v>
      </c>
      <c r="G238" s="82" t="str">
        <f t="shared" ref="G238:G294" si="9">CONCATENATE(F237,"-",F238)</f>
        <v>PL14-PL13</v>
      </c>
    </row>
    <row r="239" spans="2:7" ht="14.25" customHeight="1">
      <c r="B239" s="82" t="s">
        <v>878</v>
      </c>
      <c r="C239" s="82" t="s">
        <v>677</v>
      </c>
      <c r="D239" s="82" t="s">
        <v>932</v>
      </c>
      <c r="E239" s="83">
        <v>0.40200000000000002</v>
      </c>
      <c r="F239" s="82" t="s">
        <v>722</v>
      </c>
      <c r="G239" s="82" t="str">
        <f t="shared" si="9"/>
        <v>PL13-PL12</v>
      </c>
    </row>
    <row r="240" spans="2:7" ht="14.25" customHeight="1">
      <c r="B240" s="82" t="s">
        <v>878</v>
      </c>
      <c r="C240" s="82" t="s">
        <v>677</v>
      </c>
      <c r="D240" s="82" t="s">
        <v>932</v>
      </c>
      <c r="E240" s="83">
        <v>44.63</v>
      </c>
      <c r="F240" s="82" t="s">
        <v>721</v>
      </c>
      <c r="G240" s="82" t="str">
        <f t="shared" si="9"/>
        <v>PL12-PL11</v>
      </c>
    </row>
    <row r="241" spans="2:7" ht="14.25" customHeight="1">
      <c r="B241" s="82" t="s">
        <v>878</v>
      </c>
      <c r="C241" s="82" t="s">
        <v>677</v>
      </c>
      <c r="D241" s="82" t="s">
        <v>932</v>
      </c>
      <c r="E241" s="83">
        <v>88.858000000000004</v>
      </c>
      <c r="F241" s="82" t="s">
        <v>720</v>
      </c>
      <c r="G241" s="82" t="str">
        <f t="shared" si="9"/>
        <v>PL11-PL10</v>
      </c>
    </row>
    <row r="242" spans="2:7" ht="14.25" customHeight="1">
      <c r="B242" s="82" t="s">
        <v>878</v>
      </c>
      <c r="C242" s="82" t="s">
        <v>677</v>
      </c>
      <c r="D242" s="82" t="s">
        <v>932</v>
      </c>
      <c r="E242" s="83">
        <v>133.08600000000001</v>
      </c>
      <c r="F242" s="82" t="s">
        <v>719</v>
      </c>
      <c r="G242" s="82" t="str">
        <f t="shared" si="9"/>
        <v>PL10-PL9</v>
      </c>
    </row>
    <row r="243" spans="2:7" ht="14.25" customHeight="1">
      <c r="B243" s="82" t="s">
        <v>878</v>
      </c>
      <c r="C243" s="82" t="s">
        <v>677</v>
      </c>
      <c r="D243" s="82" t="s">
        <v>932</v>
      </c>
      <c r="E243" s="83">
        <v>163.46299999999999</v>
      </c>
      <c r="F243" s="82" t="s">
        <v>933</v>
      </c>
      <c r="G243" s="82" t="str">
        <f t="shared" si="9"/>
        <v>PL9-CDP1</v>
      </c>
    </row>
    <row r="244" spans="2:7" ht="14.25" customHeight="1">
      <c r="B244" s="82" t="s">
        <v>878</v>
      </c>
      <c r="C244" s="82" t="s">
        <v>677</v>
      </c>
      <c r="D244" s="82" t="s">
        <v>932</v>
      </c>
      <c r="E244" s="83">
        <v>193.59700000000001</v>
      </c>
      <c r="F244" s="82" t="s">
        <v>934</v>
      </c>
      <c r="G244" s="82" t="str">
        <f t="shared" si="9"/>
        <v>CDP1-CDP2</v>
      </c>
    </row>
    <row r="245" spans="2:7" ht="14.25" customHeight="1">
      <c r="B245" s="82" t="s">
        <v>878</v>
      </c>
      <c r="C245" s="82" t="s">
        <v>677</v>
      </c>
      <c r="D245" s="82" t="s">
        <v>932</v>
      </c>
      <c r="E245" s="83">
        <v>223.00700000000001</v>
      </c>
      <c r="F245" s="82" t="s">
        <v>935</v>
      </c>
      <c r="G245" s="82" t="str">
        <f t="shared" si="9"/>
        <v>CDP2-CDP3</v>
      </c>
    </row>
    <row r="246" spans="2:7" ht="14.25" customHeight="1">
      <c r="B246" s="82" t="s">
        <v>878</v>
      </c>
      <c r="C246" s="82" t="s">
        <v>677</v>
      </c>
      <c r="D246" s="82" t="s">
        <v>932</v>
      </c>
      <c r="E246" s="83">
        <v>254.428</v>
      </c>
      <c r="F246" s="82" t="s">
        <v>936</v>
      </c>
      <c r="G246" s="82" t="str">
        <f t="shared" si="9"/>
        <v>CDP3-CDP4</v>
      </c>
    </row>
    <row r="247" spans="2:7" ht="14.25" customHeight="1">
      <c r="B247" s="82" t="s">
        <v>878</v>
      </c>
      <c r="C247" s="82" t="s">
        <v>677</v>
      </c>
      <c r="D247" s="82" t="s">
        <v>932</v>
      </c>
      <c r="E247" s="83">
        <v>284.858</v>
      </c>
      <c r="F247" s="82" t="s">
        <v>937</v>
      </c>
      <c r="G247" s="82" t="str">
        <f t="shared" si="9"/>
        <v>CDP4-CDP5</v>
      </c>
    </row>
    <row r="248" spans="2:7" ht="14.25" customHeight="1">
      <c r="B248" s="82" t="s">
        <v>878</v>
      </c>
      <c r="C248" s="82" t="s">
        <v>677</v>
      </c>
      <c r="D248" s="82" t="s">
        <v>932</v>
      </c>
      <c r="E248" s="83">
        <v>315.28800000000001</v>
      </c>
      <c r="F248" s="82" t="s">
        <v>938</v>
      </c>
      <c r="G248" s="82" t="str">
        <f t="shared" si="9"/>
        <v>CDP5-CDP6</v>
      </c>
    </row>
    <row r="249" spans="2:7" ht="14.25" customHeight="1">
      <c r="B249" s="82" t="s">
        <v>878</v>
      </c>
      <c r="C249" s="82" t="s">
        <v>677</v>
      </c>
      <c r="D249" s="82" t="s">
        <v>932</v>
      </c>
      <c r="E249" s="83">
        <v>346.01400000000001</v>
      </c>
      <c r="F249" s="82" t="s">
        <v>939</v>
      </c>
      <c r="G249" s="82" t="str">
        <f t="shared" si="9"/>
        <v>CDP6-CDP7</v>
      </c>
    </row>
    <row r="250" spans="2:7" ht="14.25" customHeight="1">
      <c r="B250" s="82" t="s">
        <v>878</v>
      </c>
      <c r="C250" s="82" t="s">
        <v>677</v>
      </c>
      <c r="D250" s="82" t="s">
        <v>932</v>
      </c>
      <c r="E250" s="83">
        <v>366.32</v>
      </c>
      <c r="F250" s="82" t="s">
        <v>940</v>
      </c>
      <c r="G250" s="82" t="str">
        <f t="shared" si="9"/>
        <v>CDP7-CDP8</v>
      </c>
    </row>
    <row r="251" spans="2:7" ht="14.25" customHeight="1">
      <c r="B251" s="82" t="s">
        <v>878</v>
      </c>
      <c r="C251" s="82" t="s">
        <v>677</v>
      </c>
      <c r="D251" s="82" t="s">
        <v>932</v>
      </c>
      <c r="E251" s="83">
        <v>386.28100000000001</v>
      </c>
      <c r="F251" s="82" t="s">
        <v>941</v>
      </c>
      <c r="G251" s="82" t="str">
        <f t="shared" si="9"/>
        <v>CDP8-CDP9</v>
      </c>
    </row>
    <row r="252" spans="2:7" ht="14.25" customHeight="1">
      <c r="B252" s="82" t="s">
        <v>878</v>
      </c>
      <c r="C252" s="82" t="s">
        <v>677</v>
      </c>
      <c r="D252" s="82" t="s">
        <v>932</v>
      </c>
      <c r="E252" s="83">
        <v>413.637</v>
      </c>
      <c r="F252" s="82" t="s">
        <v>942</v>
      </c>
      <c r="G252" s="82" t="str">
        <f t="shared" si="9"/>
        <v>CDP9-CDP10</v>
      </c>
    </row>
    <row r="253" spans="2:7" ht="14.25" customHeight="1">
      <c r="B253" s="82" t="s">
        <v>878</v>
      </c>
      <c r="C253" s="82" t="s">
        <v>677</v>
      </c>
      <c r="D253" s="82" t="s">
        <v>932</v>
      </c>
      <c r="E253" s="83">
        <v>441.01900000000001</v>
      </c>
      <c r="F253" s="82" t="s">
        <v>943</v>
      </c>
      <c r="G253" s="82" t="str">
        <f t="shared" si="9"/>
        <v>CDP10-CDP11</v>
      </c>
    </row>
    <row r="254" spans="2:7" ht="14.25" customHeight="1">
      <c r="B254" s="82" t="s">
        <v>878</v>
      </c>
      <c r="C254" s="82" t="s">
        <v>677</v>
      </c>
      <c r="D254" s="82" t="s">
        <v>932</v>
      </c>
      <c r="E254" s="83">
        <v>468.43400000000003</v>
      </c>
      <c r="F254" s="82" t="s">
        <v>944</v>
      </c>
      <c r="G254" s="82" t="str">
        <f t="shared" si="9"/>
        <v>CDP11-CDP12</v>
      </c>
    </row>
    <row r="255" spans="2:7" ht="14.25" customHeight="1">
      <c r="B255" s="82" t="s">
        <v>878</v>
      </c>
      <c r="C255" s="82" t="s">
        <v>677</v>
      </c>
      <c r="D255" s="82" t="s">
        <v>932</v>
      </c>
      <c r="E255" s="83">
        <v>495.88499999999999</v>
      </c>
      <c r="F255" s="82" t="s">
        <v>945</v>
      </c>
      <c r="G255" s="82" t="str">
        <f t="shared" si="9"/>
        <v>CDP12-CDP13</v>
      </c>
    </row>
    <row r="256" spans="2:7" ht="14.25" customHeight="1">
      <c r="B256" s="82" t="s">
        <v>878</v>
      </c>
      <c r="C256" s="82" t="s">
        <v>677</v>
      </c>
      <c r="D256" s="82" t="s">
        <v>932</v>
      </c>
      <c r="E256" s="83">
        <v>523.375</v>
      </c>
      <c r="F256" s="82" t="s">
        <v>946</v>
      </c>
      <c r="G256" s="82" t="str">
        <f t="shared" si="9"/>
        <v>CDP13-CDP14</v>
      </c>
    </row>
    <row r="257" spans="2:7" ht="14.25" customHeight="1">
      <c r="B257" s="82" t="s">
        <v>878</v>
      </c>
      <c r="C257" s="82" t="s">
        <v>677</v>
      </c>
      <c r="D257" s="82" t="s">
        <v>932</v>
      </c>
      <c r="E257" s="83">
        <v>550.90300000000002</v>
      </c>
      <c r="F257" s="82" t="s">
        <v>947</v>
      </c>
      <c r="G257" s="82" t="str">
        <f t="shared" si="9"/>
        <v>CDP14-CDP15</v>
      </c>
    </row>
    <row r="258" spans="2:7" ht="14.25" customHeight="1">
      <c r="B258" s="82" t="s">
        <v>878</v>
      </c>
      <c r="C258" s="82" t="s">
        <v>677</v>
      </c>
      <c r="D258" s="82" t="s">
        <v>932</v>
      </c>
      <c r="E258" s="83">
        <v>578.46299999999997</v>
      </c>
      <c r="F258" s="82" t="s">
        <v>948</v>
      </c>
      <c r="G258" s="82" t="str">
        <f t="shared" si="9"/>
        <v>CDP15-CDP16</v>
      </c>
    </row>
    <row r="259" spans="2:7" ht="14.25" customHeight="1">
      <c r="B259" s="82" t="s">
        <v>878</v>
      </c>
      <c r="C259" s="82" t="s">
        <v>677</v>
      </c>
      <c r="D259" s="82" t="s">
        <v>932</v>
      </c>
      <c r="E259" s="83">
        <v>606.05200000000002</v>
      </c>
      <c r="F259" s="82" t="s">
        <v>949</v>
      </c>
      <c r="G259" s="82" t="str">
        <f t="shared" si="9"/>
        <v>CDP16-CDP17</v>
      </c>
    </row>
    <row r="260" spans="2:7" ht="14.25" customHeight="1">
      <c r="B260" s="82" t="s">
        <v>878</v>
      </c>
      <c r="C260" s="82" t="s">
        <v>677</v>
      </c>
      <c r="D260" s="82" t="s">
        <v>932</v>
      </c>
      <c r="E260" s="83">
        <v>633.65899999999999</v>
      </c>
      <c r="F260" s="82" t="s">
        <v>950</v>
      </c>
      <c r="G260" s="82" t="str">
        <f t="shared" si="9"/>
        <v>CDP17-CDP18</v>
      </c>
    </row>
    <row r="261" spans="2:7" ht="14.25" customHeight="1">
      <c r="B261" s="82" t="s">
        <v>878</v>
      </c>
      <c r="C261" s="82" t="s">
        <v>677</v>
      </c>
      <c r="D261" s="82" t="s">
        <v>932</v>
      </c>
      <c r="E261" s="83">
        <v>661.27499999999998</v>
      </c>
      <c r="F261" s="82" t="s">
        <v>951</v>
      </c>
      <c r="G261" s="82" t="str">
        <f t="shared" si="9"/>
        <v>CDP18-CDP19</v>
      </c>
    </row>
    <row r="262" spans="2:7" ht="14.25" customHeight="1">
      <c r="B262" s="82" t="s">
        <v>878</v>
      </c>
      <c r="C262" s="82" t="s">
        <v>677</v>
      </c>
      <c r="D262" s="82" t="s">
        <v>932</v>
      </c>
      <c r="E262" s="83">
        <v>692.54200000000003</v>
      </c>
      <c r="F262" s="82" t="s">
        <v>952</v>
      </c>
      <c r="G262" s="82" t="str">
        <f t="shared" si="9"/>
        <v>CDP19-CDP20</v>
      </c>
    </row>
    <row r="263" spans="2:7" ht="14.25" customHeight="1">
      <c r="B263" s="82" t="s">
        <v>878</v>
      </c>
      <c r="C263" s="82" t="s">
        <v>677</v>
      </c>
      <c r="D263" s="82" t="s">
        <v>932</v>
      </c>
      <c r="E263" s="83">
        <v>729.00300000000004</v>
      </c>
      <c r="F263" s="82" t="s">
        <v>953</v>
      </c>
      <c r="G263" s="82" t="str">
        <f t="shared" si="9"/>
        <v>CDP20-CDP21</v>
      </c>
    </row>
    <row r="264" spans="2:7" ht="14.25" customHeight="1">
      <c r="B264" s="82" t="s">
        <v>878</v>
      </c>
      <c r="C264" s="82" t="s">
        <v>677</v>
      </c>
      <c r="D264" s="82" t="s">
        <v>932</v>
      </c>
      <c r="E264" s="83">
        <v>769.00300000000004</v>
      </c>
      <c r="F264" s="82" t="s">
        <v>954</v>
      </c>
      <c r="G264" s="82" t="str">
        <f t="shared" si="9"/>
        <v>CDP21-CDP22</v>
      </c>
    </row>
    <row r="265" spans="2:7" ht="14.25" customHeight="1">
      <c r="B265" s="82" t="s">
        <v>878</v>
      </c>
      <c r="C265" s="82" t="s">
        <v>677</v>
      </c>
      <c r="D265" s="82" t="s">
        <v>932</v>
      </c>
      <c r="E265" s="83">
        <v>809.00300000000004</v>
      </c>
      <c r="F265" s="82" t="s">
        <v>955</v>
      </c>
      <c r="G265" s="82" t="str">
        <f t="shared" si="9"/>
        <v>CDP22-CDP23</v>
      </c>
    </row>
    <row r="266" spans="2:7" ht="14.25" customHeight="1">
      <c r="B266" s="82" t="s">
        <v>878</v>
      </c>
      <c r="C266" s="82" t="s">
        <v>677</v>
      </c>
      <c r="D266" s="82" t="s">
        <v>932</v>
      </c>
      <c r="E266" s="83">
        <v>836.726</v>
      </c>
      <c r="F266" s="82" t="s">
        <v>956</v>
      </c>
      <c r="G266" s="82" t="str">
        <f t="shared" si="9"/>
        <v>CDP23-CDP24</v>
      </c>
    </row>
    <row r="267" spans="2:7" ht="14.25" customHeight="1">
      <c r="B267" s="82" t="s">
        <v>878</v>
      </c>
      <c r="C267" s="82" t="s">
        <v>677</v>
      </c>
      <c r="D267" s="82" t="s">
        <v>932</v>
      </c>
      <c r="E267" s="83">
        <v>866.726</v>
      </c>
      <c r="F267" s="82" t="s">
        <v>957</v>
      </c>
      <c r="G267" s="82" t="str">
        <f t="shared" si="9"/>
        <v>CDP24-CDP25</v>
      </c>
    </row>
    <row r="268" spans="2:7" ht="14.25" customHeight="1">
      <c r="B268" s="82" t="s">
        <v>878</v>
      </c>
      <c r="C268" s="82" t="s">
        <v>677</v>
      </c>
      <c r="D268" s="82" t="s">
        <v>932</v>
      </c>
      <c r="E268" s="83">
        <v>896.726</v>
      </c>
      <c r="F268" s="82" t="s">
        <v>958</v>
      </c>
      <c r="G268" s="82" t="str">
        <f t="shared" si="9"/>
        <v>CDP25-CDP26</v>
      </c>
    </row>
    <row r="269" spans="2:7" ht="14.25" customHeight="1">
      <c r="B269" s="82" t="s">
        <v>878</v>
      </c>
      <c r="C269" s="82" t="s">
        <v>677</v>
      </c>
      <c r="D269" s="82" t="s">
        <v>932</v>
      </c>
      <c r="E269" s="83">
        <v>926.35799999999995</v>
      </c>
      <c r="F269" s="82" t="s">
        <v>959</v>
      </c>
      <c r="G269" s="82" t="str">
        <f t="shared" si="9"/>
        <v>CDP26-CDP27</v>
      </c>
    </row>
    <row r="270" spans="2:7" ht="14.25" customHeight="1">
      <c r="B270" s="82" t="s">
        <v>878</v>
      </c>
      <c r="C270" s="82" t="s">
        <v>677</v>
      </c>
      <c r="D270" s="82" t="s">
        <v>932</v>
      </c>
      <c r="E270" s="83">
        <v>954.90200000000004</v>
      </c>
      <c r="F270" s="82" t="s">
        <v>960</v>
      </c>
      <c r="G270" s="82" t="str">
        <f t="shared" si="9"/>
        <v>CDP27-CDP28</v>
      </c>
    </row>
    <row r="271" spans="2:7" ht="14.25" customHeight="1">
      <c r="B271" s="82" t="s">
        <v>878</v>
      </c>
      <c r="C271" s="82" t="s">
        <v>677</v>
      </c>
      <c r="D271" s="82" t="s">
        <v>932</v>
      </c>
      <c r="E271" s="83">
        <v>982.65</v>
      </c>
      <c r="F271" s="82" t="s">
        <v>961</v>
      </c>
      <c r="G271" s="82" t="str">
        <f t="shared" si="9"/>
        <v>CDP28-CDP29</v>
      </c>
    </row>
    <row r="272" spans="2:7" ht="14.25" customHeight="1">
      <c r="B272" s="82" t="s">
        <v>878</v>
      </c>
      <c r="C272" s="82" t="s">
        <v>677</v>
      </c>
      <c r="D272" s="82" t="s">
        <v>932</v>
      </c>
      <c r="E272" s="83">
        <v>1010.052</v>
      </c>
      <c r="F272" s="82" t="s">
        <v>962</v>
      </c>
      <c r="G272" s="82" t="str">
        <f t="shared" si="9"/>
        <v>CDP29-CDP30</v>
      </c>
    </row>
    <row r="273" spans="2:7" ht="14.25" customHeight="1">
      <c r="B273" s="82" t="s">
        <v>878</v>
      </c>
      <c r="C273" s="82" t="s">
        <v>677</v>
      </c>
      <c r="D273" s="82" t="s">
        <v>932</v>
      </c>
      <c r="E273" s="83">
        <v>1037.067</v>
      </c>
      <c r="F273" s="82" t="s">
        <v>963</v>
      </c>
      <c r="G273" s="82" t="str">
        <f t="shared" si="9"/>
        <v>CDP30-CDP31</v>
      </c>
    </row>
    <row r="274" spans="2:7" ht="14.25" customHeight="1">
      <c r="B274" s="82" t="s">
        <v>878</v>
      </c>
      <c r="C274" s="82" t="s">
        <v>677</v>
      </c>
      <c r="D274" s="82" t="s">
        <v>932</v>
      </c>
      <c r="E274" s="83">
        <v>1064.0809999999999</v>
      </c>
      <c r="F274" s="82" t="s">
        <v>964</v>
      </c>
      <c r="G274" s="82" t="str">
        <f t="shared" si="9"/>
        <v>CDP31-CDP32</v>
      </c>
    </row>
    <row r="275" spans="2:7" ht="14.25" customHeight="1">
      <c r="B275" s="82" t="s">
        <v>878</v>
      </c>
      <c r="C275" s="82" t="s">
        <v>677</v>
      </c>
      <c r="D275" s="82" t="s">
        <v>932</v>
      </c>
      <c r="E275" s="83">
        <v>1091.8409999999999</v>
      </c>
      <c r="F275" s="82" t="s">
        <v>965</v>
      </c>
      <c r="G275" s="82" t="str">
        <f t="shared" si="9"/>
        <v>CDP32-CDP33</v>
      </c>
    </row>
    <row r="276" spans="2:7" ht="14.25" customHeight="1">
      <c r="B276" s="82" t="s">
        <v>878</v>
      </c>
      <c r="C276" s="82" t="s">
        <v>677</v>
      </c>
      <c r="D276" s="82" t="s">
        <v>932</v>
      </c>
      <c r="E276" s="83">
        <v>1121.8409999999999</v>
      </c>
      <c r="F276" s="82" t="s">
        <v>966</v>
      </c>
      <c r="G276" s="82" t="str">
        <f t="shared" si="9"/>
        <v>CDP33-CDP34</v>
      </c>
    </row>
    <row r="277" spans="2:7" ht="14.25" customHeight="1">
      <c r="B277" s="82" t="s">
        <v>878</v>
      </c>
      <c r="C277" s="82" t="s">
        <v>677</v>
      </c>
      <c r="D277" s="82" t="s">
        <v>932</v>
      </c>
      <c r="E277" s="83">
        <v>1151.8409999999999</v>
      </c>
      <c r="F277" s="82" t="s">
        <v>967</v>
      </c>
      <c r="G277" s="82" t="str">
        <f t="shared" si="9"/>
        <v>CDP34-CDP35</v>
      </c>
    </row>
    <row r="278" spans="2:7" ht="14.25" customHeight="1">
      <c r="B278" s="82" t="s">
        <v>878</v>
      </c>
      <c r="C278" s="82" t="s">
        <v>677</v>
      </c>
      <c r="D278" s="82" t="s">
        <v>932</v>
      </c>
      <c r="E278" s="83">
        <v>1181.8409999999999</v>
      </c>
      <c r="F278" s="82" t="s">
        <v>968</v>
      </c>
      <c r="G278" s="82" t="str">
        <f t="shared" si="9"/>
        <v>CDP35-CDP36</v>
      </c>
    </row>
    <row r="279" spans="2:7" ht="14.25" customHeight="1">
      <c r="B279" s="82" t="s">
        <v>878</v>
      </c>
      <c r="C279" s="82" t="s">
        <v>677</v>
      </c>
      <c r="D279" s="82" t="s">
        <v>932</v>
      </c>
      <c r="E279" s="83">
        <v>1211.8409999999999</v>
      </c>
      <c r="F279" s="82" t="s">
        <v>969</v>
      </c>
      <c r="G279" s="82" t="str">
        <f t="shared" si="9"/>
        <v>CDP36-CDP37</v>
      </c>
    </row>
    <row r="280" spans="2:7" ht="14.25" customHeight="1">
      <c r="B280" s="82" t="s">
        <v>878</v>
      </c>
      <c r="C280" s="82" t="s">
        <v>677</v>
      </c>
      <c r="D280" s="82" t="s">
        <v>932</v>
      </c>
      <c r="E280" s="83">
        <v>1241.8420000000001</v>
      </c>
      <c r="F280" s="82" t="s">
        <v>970</v>
      </c>
      <c r="G280" s="82" t="str">
        <f t="shared" si="9"/>
        <v>CDP37-CDP38</v>
      </c>
    </row>
    <row r="281" spans="2:7" ht="14.25" customHeight="1">
      <c r="B281" s="82" t="s">
        <v>878</v>
      </c>
      <c r="C281" s="82" t="s">
        <v>677</v>
      </c>
      <c r="D281" s="82" t="s">
        <v>932</v>
      </c>
      <c r="E281" s="83">
        <v>1271.8420000000001</v>
      </c>
      <c r="F281" s="82" t="s">
        <v>971</v>
      </c>
      <c r="G281" s="82" t="str">
        <f t="shared" si="9"/>
        <v>CDP38-CDP39</v>
      </c>
    </row>
    <row r="282" spans="2:7" ht="14.25" customHeight="1">
      <c r="B282" s="82" t="s">
        <v>878</v>
      </c>
      <c r="C282" s="82" t="s">
        <v>677</v>
      </c>
      <c r="D282" s="82" t="s">
        <v>932</v>
      </c>
      <c r="E282" s="83">
        <v>1301.8420000000001</v>
      </c>
      <c r="F282" s="82" t="s">
        <v>972</v>
      </c>
      <c r="G282" s="82" t="str">
        <f t="shared" si="9"/>
        <v>CDP39-CDP40</v>
      </c>
    </row>
    <row r="283" spans="2:7" ht="14.25" customHeight="1">
      <c r="B283" s="82" t="s">
        <v>878</v>
      </c>
      <c r="C283" s="82" t="s">
        <v>677</v>
      </c>
      <c r="D283" s="82" t="s">
        <v>932</v>
      </c>
      <c r="E283" s="83">
        <v>1331.8420000000001</v>
      </c>
      <c r="F283" s="82" t="s">
        <v>973</v>
      </c>
      <c r="G283" s="82" t="str">
        <f t="shared" si="9"/>
        <v>CDP40-CDP41</v>
      </c>
    </row>
    <row r="284" spans="2:7" ht="14.25" customHeight="1">
      <c r="B284" s="82" t="s">
        <v>878</v>
      </c>
      <c r="C284" s="82" t="s">
        <v>677</v>
      </c>
      <c r="D284" s="82" t="s">
        <v>932</v>
      </c>
      <c r="E284" s="83">
        <v>1361.8430000000001</v>
      </c>
      <c r="F284" s="82" t="s">
        <v>974</v>
      </c>
      <c r="G284" s="82" t="str">
        <f t="shared" si="9"/>
        <v>CDP41-CDP42</v>
      </c>
    </row>
    <row r="285" spans="2:7" ht="14.25" customHeight="1">
      <c r="B285" s="82" t="s">
        <v>878</v>
      </c>
      <c r="C285" s="82" t="s">
        <v>677</v>
      </c>
      <c r="D285" s="82" t="s">
        <v>932</v>
      </c>
      <c r="E285" s="83">
        <v>1391.8430000000001</v>
      </c>
      <c r="F285" s="82" t="s">
        <v>975</v>
      </c>
      <c r="G285" s="82" t="str">
        <f t="shared" si="9"/>
        <v>CDP42-CDP43</v>
      </c>
    </row>
    <row r="286" spans="2:7" ht="14.25" customHeight="1">
      <c r="B286" s="82" t="s">
        <v>878</v>
      </c>
      <c r="C286" s="82" t="s">
        <v>677</v>
      </c>
      <c r="D286" s="82" t="s">
        <v>932</v>
      </c>
      <c r="E286" s="83">
        <v>1421.8430000000001</v>
      </c>
      <c r="F286" s="82" t="s">
        <v>976</v>
      </c>
      <c r="G286" s="82" t="str">
        <f t="shared" si="9"/>
        <v>CDP43-CDP44</v>
      </c>
    </row>
    <row r="287" spans="2:7" ht="14.25" customHeight="1">
      <c r="B287" s="82" t="s">
        <v>878</v>
      </c>
      <c r="C287" s="82" t="s">
        <v>677</v>
      </c>
      <c r="D287" s="82" t="s">
        <v>932</v>
      </c>
      <c r="E287" s="83">
        <v>1451.8430000000001</v>
      </c>
      <c r="F287" s="82" t="s">
        <v>977</v>
      </c>
      <c r="G287" s="82" t="str">
        <f t="shared" si="9"/>
        <v>CDP44-CDP45</v>
      </c>
    </row>
    <row r="288" spans="2:7" ht="14.25" customHeight="1">
      <c r="B288" s="82" t="s">
        <v>878</v>
      </c>
      <c r="C288" s="82" t="s">
        <v>677</v>
      </c>
      <c r="D288" s="82" t="s">
        <v>932</v>
      </c>
      <c r="E288" s="83">
        <v>1481.8430000000001</v>
      </c>
      <c r="F288" s="82" t="s">
        <v>978</v>
      </c>
      <c r="G288" s="82" t="str">
        <f t="shared" si="9"/>
        <v>CDP45-CDP47</v>
      </c>
    </row>
    <row r="289" spans="2:7" ht="14.25" customHeight="1">
      <c r="B289" s="82" t="s">
        <v>878</v>
      </c>
      <c r="C289" s="82" t="s">
        <v>677</v>
      </c>
      <c r="D289" s="82" t="s">
        <v>932</v>
      </c>
      <c r="E289" s="83">
        <v>1511.8440000000001</v>
      </c>
      <c r="F289" s="82" t="s">
        <v>979</v>
      </c>
      <c r="G289" s="82" t="str">
        <f t="shared" si="9"/>
        <v>CDP47-CDP48</v>
      </c>
    </row>
    <row r="290" spans="2:7" ht="14.25" customHeight="1">
      <c r="B290" s="82" t="s">
        <v>878</v>
      </c>
      <c r="C290" s="82" t="s">
        <v>677</v>
      </c>
      <c r="D290" s="82" t="s">
        <v>932</v>
      </c>
      <c r="E290" s="83">
        <v>1541.8440000000001</v>
      </c>
      <c r="F290" s="82" t="s">
        <v>980</v>
      </c>
      <c r="G290" s="82" t="str">
        <f t="shared" si="9"/>
        <v>CDP48-CDP49</v>
      </c>
    </row>
    <row r="291" spans="2:7" ht="14.25" customHeight="1">
      <c r="B291" s="82" t="s">
        <v>878</v>
      </c>
      <c r="C291" s="82" t="s">
        <v>677</v>
      </c>
      <c r="D291" s="82" t="s">
        <v>932</v>
      </c>
      <c r="E291" s="83">
        <v>1571.8440000000001</v>
      </c>
      <c r="F291" s="82" t="s">
        <v>981</v>
      </c>
      <c r="G291" s="82" t="str">
        <f t="shared" si="9"/>
        <v>CDP49-CDP50</v>
      </c>
    </row>
    <row r="292" spans="2:7" ht="14.25" customHeight="1">
      <c r="B292" s="82" t="s">
        <v>878</v>
      </c>
      <c r="C292" s="82" t="s">
        <v>677</v>
      </c>
      <c r="D292" s="82" t="s">
        <v>932</v>
      </c>
      <c r="E292" s="83">
        <v>1586.8430000000001</v>
      </c>
      <c r="F292" s="82" t="s">
        <v>982</v>
      </c>
      <c r="G292" s="82" t="str">
        <f t="shared" si="9"/>
        <v>CDP50-CDP51</v>
      </c>
    </row>
    <row r="293" spans="2:7" ht="14.25" customHeight="1">
      <c r="B293" s="82" t="s">
        <v>878</v>
      </c>
      <c r="C293" s="82" t="s">
        <v>677</v>
      </c>
      <c r="D293" s="82" t="s">
        <v>932</v>
      </c>
      <c r="E293" s="83">
        <v>1601.8440000000001</v>
      </c>
      <c r="F293" s="82" t="s">
        <v>983</v>
      </c>
      <c r="G293" s="82" t="str">
        <f t="shared" si="9"/>
        <v>CDP51-CDP52</v>
      </c>
    </row>
    <row r="294" spans="2:7" ht="14.25" customHeight="1">
      <c r="B294" s="82" t="s">
        <v>878</v>
      </c>
      <c r="C294" s="82" t="s">
        <v>677</v>
      </c>
      <c r="D294" s="82" t="s">
        <v>932</v>
      </c>
      <c r="E294" s="83">
        <v>1616.8440000000001</v>
      </c>
      <c r="F294" s="82" t="s">
        <v>984</v>
      </c>
      <c r="G294" s="82" t="str">
        <f t="shared" si="9"/>
        <v>CDP52-CDP53</v>
      </c>
    </row>
    <row r="295" spans="2:7" ht="14.25" customHeight="1">
      <c r="B295" s="82" t="s">
        <v>878</v>
      </c>
      <c r="C295" s="82" t="s">
        <v>677</v>
      </c>
      <c r="D295" s="82" t="s">
        <v>985</v>
      </c>
      <c r="E295" s="83">
        <v>0</v>
      </c>
      <c r="F295" s="82" t="s">
        <v>811</v>
      </c>
      <c r="G295" s="82"/>
    </row>
    <row r="296" spans="2:7" ht="14.25" customHeight="1">
      <c r="B296" s="82" t="s">
        <v>878</v>
      </c>
      <c r="C296" s="82" t="s">
        <v>677</v>
      </c>
      <c r="D296" s="82" t="s">
        <v>985</v>
      </c>
      <c r="E296" s="83">
        <v>40.054000000000002</v>
      </c>
      <c r="F296" s="82" t="s">
        <v>810</v>
      </c>
      <c r="G296" s="82" t="str">
        <f t="shared" ref="G296:G312" si="10">CONCATENATE(F295,"-",F296)</f>
        <v>PR15-PR14</v>
      </c>
    </row>
    <row r="297" spans="2:7" ht="14.25" customHeight="1">
      <c r="B297" s="82" t="s">
        <v>878</v>
      </c>
      <c r="C297" s="82" t="s">
        <v>677</v>
      </c>
      <c r="D297" s="82" t="s">
        <v>985</v>
      </c>
      <c r="E297" s="83">
        <v>80.108000000000004</v>
      </c>
      <c r="F297" s="82" t="s">
        <v>809</v>
      </c>
      <c r="G297" s="82" t="str">
        <f t="shared" si="10"/>
        <v>PR14-PR13</v>
      </c>
    </row>
    <row r="298" spans="2:7" ht="14.25" customHeight="1">
      <c r="B298" s="82" t="s">
        <v>878</v>
      </c>
      <c r="C298" s="82" t="s">
        <v>677</v>
      </c>
      <c r="D298" s="82" t="s">
        <v>985</v>
      </c>
      <c r="E298" s="83">
        <v>120.161</v>
      </c>
      <c r="F298" s="82" t="s">
        <v>808</v>
      </c>
      <c r="G298" s="82" t="str">
        <f t="shared" si="10"/>
        <v>PR13-PR12</v>
      </c>
    </row>
    <row r="299" spans="2:7" ht="14.25" customHeight="1">
      <c r="B299" s="82" t="s">
        <v>878</v>
      </c>
      <c r="C299" s="82" t="s">
        <v>677</v>
      </c>
      <c r="D299" s="82" t="s">
        <v>985</v>
      </c>
      <c r="E299" s="83">
        <v>148.28200000000001</v>
      </c>
      <c r="F299" s="82" t="s">
        <v>986</v>
      </c>
      <c r="G299" s="82" t="str">
        <f t="shared" si="10"/>
        <v>PR12-DCP1</v>
      </c>
    </row>
    <row r="300" spans="2:7" ht="14.25" customHeight="1">
      <c r="B300" s="82" t="s">
        <v>878</v>
      </c>
      <c r="C300" s="82" t="s">
        <v>677</v>
      </c>
      <c r="D300" s="82" t="s">
        <v>985</v>
      </c>
      <c r="E300" s="83">
        <v>176.74</v>
      </c>
      <c r="F300" s="82" t="s">
        <v>987</v>
      </c>
      <c r="G300" s="82" t="str">
        <f t="shared" si="10"/>
        <v>DCP1-DCP2</v>
      </c>
    </row>
    <row r="301" spans="2:7" ht="14.25" customHeight="1">
      <c r="B301" s="82" t="s">
        <v>878</v>
      </c>
      <c r="C301" s="82" t="s">
        <v>677</v>
      </c>
      <c r="D301" s="82" t="s">
        <v>985</v>
      </c>
      <c r="E301" s="83">
        <v>206.73699999999999</v>
      </c>
      <c r="F301" s="82" t="s">
        <v>988</v>
      </c>
      <c r="G301" s="82" t="str">
        <f t="shared" si="10"/>
        <v>DCP2-DCP3</v>
      </c>
    </row>
    <row r="302" spans="2:7" ht="14.25" customHeight="1">
      <c r="B302" s="82" t="s">
        <v>878</v>
      </c>
      <c r="C302" s="82" t="s">
        <v>677</v>
      </c>
      <c r="D302" s="82" t="s">
        <v>985</v>
      </c>
      <c r="E302" s="83">
        <v>237.001</v>
      </c>
      <c r="F302" s="82" t="s">
        <v>989</v>
      </c>
      <c r="G302" s="82" t="str">
        <f t="shared" si="10"/>
        <v>DCP3-DCP4</v>
      </c>
    </row>
    <row r="303" spans="2:7" ht="14.25" customHeight="1">
      <c r="B303" s="82" t="s">
        <v>878</v>
      </c>
      <c r="C303" s="82" t="s">
        <v>677</v>
      </c>
      <c r="D303" s="82" t="s">
        <v>985</v>
      </c>
      <c r="E303" s="83">
        <v>267.166</v>
      </c>
      <c r="F303" s="82" t="s">
        <v>990</v>
      </c>
      <c r="G303" s="82" t="str">
        <f t="shared" si="10"/>
        <v>DCP4-DCP5</v>
      </c>
    </row>
    <row r="304" spans="2:7" ht="14.25" customHeight="1">
      <c r="B304" s="82" t="s">
        <v>878</v>
      </c>
      <c r="C304" s="82" t="s">
        <v>677</v>
      </c>
      <c r="D304" s="82" t="s">
        <v>985</v>
      </c>
      <c r="E304" s="83">
        <v>290.041</v>
      </c>
      <c r="F304" s="82" t="s">
        <v>991</v>
      </c>
      <c r="G304" s="82" t="str">
        <f t="shared" si="10"/>
        <v>DCP5-DCP6</v>
      </c>
    </row>
    <row r="305" spans="2:7" ht="14.25" customHeight="1">
      <c r="B305" s="82" t="s">
        <v>878</v>
      </c>
      <c r="C305" s="82" t="s">
        <v>677</v>
      </c>
      <c r="D305" s="82" t="s">
        <v>985</v>
      </c>
      <c r="E305" s="83">
        <v>312.60399999999998</v>
      </c>
      <c r="F305" s="82" t="s">
        <v>992</v>
      </c>
      <c r="G305" s="82" t="str">
        <f t="shared" si="10"/>
        <v>DCP6-DCP7</v>
      </c>
    </row>
    <row r="306" spans="2:7" ht="14.25" customHeight="1">
      <c r="B306" s="82" t="s">
        <v>878</v>
      </c>
      <c r="C306" s="82" t="s">
        <v>677</v>
      </c>
      <c r="D306" s="82" t="s">
        <v>985</v>
      </c>
      <c r="E306" s="83">
        <v>335.13200000000001</v>
      </c>
      <c r="F306" s="82" t="s">
        <v>993</v>
      </c>
      <c r="G306" s="82" t="str">
        <f t="shared" si="10"/>
        <v>DCP7-DCP8</v>
      </c>
    </row>
    <row r="307" spans="2:7" ht="14.25" customHeight="1">
      <c r="B307" s="82" t="s">
        <v>878</v>
      </c>
      <c r="C307" s="82" t="s">
        <v>677</v>
      </c>
      <c r="D307" s="82" t="s">
        <v>985</v>
      </c>
      <c r="E307" s="83">
        <v>364.83699999999999</v>
      </c>
      <c r="F307" s="82" t="s">
        <v>994</v>
      </c>
      <c r="G307" s="82" t="str">
        <f t="shared" si="10"/>
        <v>DCP8-DCP9</v>
      </c>
    </row>
    <row r="308" spans="2:7" ht="14.25" customHeight="1">
      <c r="B308" s="82" t="s">
        <v>878</v>
      </c>
      <c r="C308" s="82" t="s">
        <v>677</v>
      </c>
      <c r="D308" s="82" t="s">
        <v>985</v>
      </c>
      <c r="E308" s="83">
        <v>394.31799999999998</v>
      </c>
      <c r="F308" s="82" t="s">
        <v>995</v>
      </c>
      <c r="G308" s="82" t="str">
        <f t="shared" si="10"/>
        <v>DCP9-DCP10</v>
      </c>
    </row>
    <row r="309" spans="2:7" ht="14.25" customHeight="1">
      <c r="B309" s="82" t="s">
        <v>878</v>
      </c>
      <c r="C309" s="82" t="s">
        <v>677</v>
      </c>
      <c r="D309" s="82" t="s">
        <v>985</v>
      </c>
      <c r="E309" s="83">
        <v>423.428</v>
      </c>
      <c r="F309" s="82" t="s">
        <v>996</v>
      </c>
      <c r="G309" s="82" t="str">
        <f t="shared" si="10"/>
        <v>DCP10-DCP11</v>
      </c>
    </row>
    <row r="310" spans="2:7" ht="14.25" customHeight="1">
      <c r="B310" s="82" t="s">
        <v>878</v>
      </c>
      <c r="C310" s="82" t="s">
        <v>677</v>
      </c>
      <c r="D310" s="82" t="s">
        <v>985</v>
      </c>
      <c r="E310" s="83">
        <v>449.84699999999998</v>
      </c>
      <c r="F310" s="82" t="s">
        <v>997</v>
      </c>
      <c r="G310" s="82" t="str">
        <f t="shared" si="10"/>
        <v>DCP11-DCP12</v>
      </c>
    </row>
    <row r="311" spans="2:7" ht="14.25" customHeight="1">
      <c r="B311" s="82" t="s">
        <v>878</v>
      </c>
      <c r="C311" s="82" t="s">
        <v>677</v>
      </c>
      <c r="D311" s="82" t="s">
        <v>985</v>
      </c>
      <c r="E311" s="83">
        <v>475.88900000000001</v>
      </c>
      <c r="F311" s="82" t="s">
        <v>998</v>
      </c>
      <c r="G311" s="82" t="str">
        <f t="shared" si="10"/>
        <v>DCP12-DCP13</v>
      </c>
    </row>
    <row r="312" spans="2:7" ht="14.25" customHeight="1">
      <c r="B312" s="82" t="s">
        <v>878</v>
      </c>
      <c r="C312" s="82" t="s">
        <v>677</v>
      </c>
      <c r="D312" s="82" t="s">
        <v>985</v>
      </c>
      <c r="E312" s="83">
        <v>501.93099999999998</v>
      </c>
      <c r="F312" s="82" t="s">
        <v>999</v>
      </c>
      <c r="G312" s="82" t="str">
        <f t="shared" si="10"/>
        <v>DCP13-DCP14</v>
      </c>
    </row>
    <row r="313" spans="2:7" ht="14.25" customHeight="1">
      <c r="B313" s="82" t="s">
        <v>878</v>
      </c>
      <c r="C313" s="82" t="s">
        <v>677</v>
      </c>
      <c r="D313" s="82" t="s">
        <v>1000</v>
      </c>
      <c r="E313" s="83">
        <v>0</v>
      </c>
      <c r="F313" s="82" t="s">
        <v>1001</v>
      </c>
      <c r="G313" s="82"/>
    </row>
    <row r="314" spans="2:7" ht="14.25" customHeight="1">
      <c r="B314" s="82" t="s">
        <v>878</v>
      </c>
      <c r="C314" s="82" t="s">
        <v>677</v>
      </c>
      <c r="D314" s="82" t="s">
        <v>1000</v>
      </c>
      <c r="E314" s="83">
        <v>22.981000000000002</v>
      </c>
      <c r="F314" s="82" t="s">
        <v>1002</v>
      </c>
      <c r="G314" s="82" t="str">
        <f t="shared" ref="G314:G330" si="11">CONCATENATE(F313,"-",F314)</f>
        <v>CVP10-CVP9</v>
      </c>
    </row>
    <row r="315" spans="2:7" ht="14.25" customHeight="1">
      <c r="B315" s="82" t="s">
        <v>878</v>
      </c>
      <c r="C315" s="82" t="s">
        <v>677</v>
      </c>
      <c r="D315" s="82" t="s">
        <v>1000</v>
      </c>
      <c r="E315" s="83">
        <v>51.307000000000002</v>
      </c>
      <c r="F315" s="82" t="s">
        <v>1003</v>
      </c>
      <c r="G315" s="82" t="str">
        <f t="shared" si="11"/>
        <v>CVP9-CVP8</v>
      </c>
    </row>
    <row r="316" spans="2:7" ht="14.25" customHeight="1">
      <c r="B316" s="82" t="s">
        <v>878</v>
      </c>
      <c r="C316" s="82" t="s">
        <v>677</v>
      </c>
      <c r="D316" s="82" t="s">
        <v>1000</v>
      </c>
      <c r="E316" s="83">
        <v>80</v>
      </c>
      <c r="F316" s="82" t="s">
        <v>1004</v>
      </c>
      <c r="G316" s="82" t="str">
        <f t="shared" si="11"/>
        <v>CVP8-CVP7</v>
      </c>
    </row>
    <row r="317" spans="2:7" ht="14.25" customHeight="1">
      <c r="B317" s="82" t="s">
        <v>878</v>
      </c>
      <c r="C317" s="82" t="s">
        <v>677</v>
      </c>
      <c r="D317" s="82" t="s">
        <v>1000</v>
      </c>
      <c r="E317" s="83">
        <v>109.515</v>
      </c>
      <c r="F317" s="82" t="s">
        <v>1005</v>
      </c>
      <c r="G317" s="82" t="str">
        <f t="shared" si="11"/>
        <v>CVP7-CVP6</v>
      </c>
    </row>
    <row r="318" spans="2:7" ht="14.25" customHeight="1">
      <c r="B318" s="82" t="s">
        <v>878</v>
      </c>
      <c r="C318" s="82" t="s">
        <v>677</v>
      </c>
      <c r="D318" s="82" t="s">
        <v>1000</v>
      </c>
      <c r="E318" s="83">
        <v>139.489</v>
      </c>
      <c r="F318" s="82" t="s">
        <v>1006</v>
      </c>
      <c r="G318" s="82" t="str">
        <f t="shared" si="11"/>
        <v>CVP6-CVP5</v>
      </c>
    </row>
    <row r="319" spans="2:7" ht="14.25" customHeight="1">
      <c r="B319" s="82" t="s">
        <v>878</v>
      </c>
      <c r="C319" s="82" t="s">
        <v>677</v>
      </c>
      <c r="D319" s="82" t="s">
        <v>1000</v>
      </c>
      <c r="E319" s="83">
        <v>169.86600000000001</v>
      </c>
      <c r="F319" s="82" t="s">
        <v>1007</v>
      </c>
      <c r="G319" s="82" t="str">
        <f t="shared" si="11"/>
        <v>CVP5-CVP4</v>
      </c>
    </row>
    <row r="320" spans="2:7" ht="14.25" customHeight="1">
      <c r="B320" s="82" t="s">
        <v>878</v>
      </c>
      <c r="C320" s="82" t="s">
        <v>677</v>
      </c>
      <c r="D320" s="82" t="s">
        <v>1000</v>
      </c>
      <c r="E320" s="83">
        <v>201.90899999999999</v>
      </c>
      <c r="F320" s="82" t="s">
        <v>1008</v>
      </c>
      <c r="G320" s="82" t="str">
        <f t="shared" si="11"/>
        <v>CVP4-CVP3</v>
      </c>
    </row>
    <row r="321" spans="2:7" ht="14.25" customHeight="1">
      <c r="B321" s="82" t="s">
        <v>878</v>
      </c>
      <c r="C321" s="82" t="s">
        <v>677</v>
      </c>
      <c r="D321" s="82" t="s">
        <v>1000</v>
      </c>
      <c r="E321" s="83">
        <v>234.149</v>
      </c>
      <c r="F321" s="82" t="s">
        <v>1009</v>
      </c>
      <c r="G321" s="82" t="str">
        <f t="shared" si="11"/>
        <v>CVP3-CVP2</v>
      </c>
    </row>
    <row r="322" spans="2:7" ht="14.25" customHeight="1">
      <c r="B322" s="82" t="s">
        <v>878</v>
      </c>
      <c r="C322" s="82" t="s">
        <v>677</v>
      </c>
      <c r="D322" s="82" t="s">
        <v>1000</v>
      </c>
      <c r="E322" s="83">
        <v>265.94900000000001</v>
      </c>
      <c r="F322" s="82" t="s">
        <v>1010</v>
      </c>
      <c r="G322" s="82" t="str">
        <f t="shared" si="11"/>
        <v>CVP2-CVP1</v>
      </c>
    </row>
    <row r="323" spans="2:7" ht="14.25" customHeight="1">
      <c r="B323" s="82" t="s">
        <v>878</v>
      </c>
      <c r="C323" s="82" t="s">
        <v>677</v>
      </c>
      <c r="D323" s="82" t="s">
        <v>1000</v>
      </c>
      <c r="E323" s="83">
        <v>296.22800000000001</v>
      </c>
      <c r="F323" s="82" t="s">
        <v>802</v>
      </c>
      <c r="G323" s="82" t="str">
        <f t="shared" si="11"/>
        <v>CVP1-PR6</v>
      </c>
    </row>
    <row r="324" spans="2:7" ht="14.25" customHeight="1">
      <c r="B324" s="82" t="s">
        <v>878</v>
      </c>
      <c r="C324" s="82" t="s">
        <v>677</v>
      </c>
      <c r="D324" s="82" t="s">
        <v>1000</v>
      </c>
      <c r="E324" s="83">
        <v>336.28399999999999</v>
      </c>
      <c r="F324" s="82" t="s">
        <v>801</v>
      </c>
      <c r="G324" s="82" t="str">
        <f t="shared" si="11"/>
        <v>PR6-PR5</v>
      </c>
    </row>
    <row r="325" spans="2:7" ht="14.25" customHeight="1">
      <c r="B325" s="82" t="s">
        <v>878</v>
      </c>
      <c r="C325" s="82" t="s">
        <v>677</v>
      </c>
      <c r="D325" s="82" t="s">
        <v>1000</v>
      </c>
      <c r="E325" s="83">
        <v>376.33800000000002</v>
      </c>
      <c r="F325" s="82" t="s">
        <v>800</v>
      </c>
      <c r="G325" s="82" t="str">
        <f t="shared" si="11"/>
        <v>PR5-PR4</v>
      </c>
    </row>
    <row r="326" spans="2:7" ht="14.25" customHeight="1">
      <c r="B326" s="82" t="s">
        <v>878</v>
      </c>
      <c r="C326" s="82" t="s">
        <v>677</v>
      </c>
      <c r="D326" s="82" t="s">
        <v>1000</v>
      </c>
      <c r="E326" s="83">
        <v>416.392</v>
      </c>
      <c r="F326" s="82" t="s">
        <v>799</v>
      </c>
      <c r="G326" s="82" t="str">
        <f t="shared" si="11"/>
        <v>PR4-PR3</v>
      </c>
    </row>
    <row r="327" spans="2:7" ht="14.25" customHeight="1">
      <c r="B327" s="82" t="s">
        <v>878</v>
      </c>
      <c r="C327" s="82" t="s">
        <v>677</v>
      </c>
      <c r="D327" s="82" t="s">
        <v>1000</v>
      </c>
      <c r="E327" s="83">
        <v>456.44600000000003</v>
      </c>
      <c r="F327" s="82" t="s">
        <v>798</v>
      </c>
      <c r="G327" s="82" t="str">
        <f t="shared" si="11"/>
        <v>PR3-PR2</v>
      </c>
    </row>
    <row r="328" spans="2:7" ht="14.25" customHeight="1">
      <c r="B328" s="82" t="s">
        <v>878</v>
      </c>
      <c r="C328" s="82" t="s">
        <v>677</v>
      </c>
      <c r="D328" s="82" t="s">
        <v>1000</v>
      </c>
      <c r="E328" s="83">
        <v>496.5</v>
      </c>
      <c r="F328" s="82" t="s">
        <v>797</v>
      </c>
      <c r="G328" s="82" t="str">
        <f t="shared" si="11"/>
        <v>PR2-PR1</v>
      </c>
    </row>
    <row r="329" spans="2:7" ht="14.25" customHeight="1">
      <c r="B329" s="82" t="s">
        <v>878</v>
      </c>
      <c r="C329" s="82" t="s">
        <v>677</v>
      </c>
      <c r="D329" s="82" t="s">
        <v>1000</v>
      </c>
      <c r="E329" s="83">
        <v>522.89599999999996</v>
      </c>
      <c r="F329" s="82" t="s">
        <v>796</v>
      </c>
      <c r="G329" s="82" t="str">
        <f t="shared" si="11"/>
        <v>PR1-PR1A</v>
      </c>
    </row>
    <row r="330" spans="2:7" ht="14.25" customHeight="1">
      <c r="B330" s="82" t="s">
        <v>878</v>
      </c>
      <c r="C330" s="82" t="s">
        <v>677</v>
      </c>
      <c r="D330" s="82" t="s">
        <v>1000</v>
      </c>
      <c r="E330" s="83">
        <v>549.29</v>
      </c>
      <c r="F330" s="82" t="s">
        <v>795</v>
      </c>
      <c r="G330" s="82" t="str">
        <f t="shared" si="11"/>
        <v>PR1A-PR1B</v>
      </c>
    </row>
    <row r="331" spans="2:7" ht="14.25" customHeight="1">
      <c r="B331" s="84">
        <v>0</v>
      </c>
      <c r="C331" s="84">
        <v>0</v>
      </c>
      <c r="D331" s="84">
        <v>0</v>
      </c>
      <c r="E331" s="84">
        <v>0</v>
      </c>
      <c r="F331" s="84">
        <v>0</v>
      </c>
      <c r="G331" s="84">
        <v>0</v>
      </c>
    </row>
    <row r="332" spans="2:7" ht="14.25" customHeight="1">
      <c r="B332" s="82" t="s">
        <v>878</v>
      </c>
      <c r="C332" s="82" t="s">
        <v>61</v>
      </c>
      <c r="D332" s="82" t="s">
        <v>879</v>
      </c>
      <c r="E332" s="83">
        <v>13.493</v>
      </c>
      <c r="F332" s="82" t="s">
        <v>782</v>
      </c>
      <c r="G332" s="82"/>
    </row>
    <row r="333" spans="2:7" ht="14.25" customHeight="1">
      <c r="B333" s="82" t="s">
        <v>878</v>
      </c>
      <c r="C333" s="82" t="s">
        <v>61</v>
      </c>
      <c r="D333" s="82" t="s">
        <v>879</v>
      </c>
      <c r="E333" s="83">
        <v>51.453000000000003</v>
      </c>
      <c r="F333" s="82" t="s">
        <v>783</v>
      </c>
      <c r="G333" s="82" t="str">
        <f t="shared" ref="G333:G371" si="12">CONCATENATE(F332,"-",F333)</f>
        <v>PL70-PL71</v>
      </c>
    </row>
    <row r="334" spans="2:7" ht="14.25" customHeight="1">
      <c r="B334" s="82" t="s">
        <v>878</v>
      </c>
      <c r="C334" s="82" t="s">
        <v>61</v>
      </c>
      <c r="D334" s="82" t="s">
        <v>879</v>
      </c>
      <c r="E334" s="83">
        <v>89.412999999999997</v>
      </c>
      <c r="F334" s="82" t="s">
        <v>784</v>
      </c>
      <c r="G334" s="82" t="str">
        <f t="shared" si="12"/>
        <v>PL71-PL72</v>
      </c>
    </row>
    <row r="335" spans="2:7" ht="14.25" customHeight="1">
      <c r="B335" s="82" t="s">
        <v>878</v>
      </c>
      <c r="C335" s="82" t="s">
        <v>61</v>
      </c>
      <c r="D335" s="82" t="s">
        <v>879</v>
      </c>
      <c r="E335" s="83">
        <v>127.373</v>
      </c>
      <c r="F335" s="82" t="s">
        <v>785</v>
      </c>
      <c r="G335" s="82" t="str">
        <f t="shared" si="12"/>
        <v>PL72-PL73</v>
      </c>
    </row>
    <row r="336" spans="2:7" ht="14.25" customHeight="1">
      <c r="B336" s="82" t="s">
        <v>878</v>
      </c>
      <c r="C336" s="82" t="s">
        <v>61</v>
      </c>
      <c r="D336" s="82" t="s">
        <v>879</v>
      </c>
      <c r="E336" s="83">
        <v>156.31800000000001</v>
      </c>
      <c r="F336" s="82" t="s">
        <v>1011</v>
      </c>
      <c r="G336" s="82" t="str">
        <f t="shared" si="12"/>
        <v>PL73-VGP1</v>
      </c>
    </row>
    <row r="337" spans="2:7" ht="14.25" customHeight="1">
      <c r="B337" s="82" t="s">
        <v>878</v>
      </c>
      <c r="C337" s="82" t="s">
        <v>61</v>
      </c>
      <c r="D337" s="82" t="s">
        <v>879</v>
      </c>
      <c r="E337" s="83">
        <v>186.65899999999999</v>
      </c>
      <c r="F337" s="82" t="s">
        <v>1012</v>
      </c>
      <c r="G337" s="82" t="str">
        <f t="shared" si="12"/>
        <v>VGP1-VGP2</v>
      </c>
    </row>
    <row r="338" spans="2:7" ht="14.25" customHeight="1">
      <c r="B338" s="82" t="s">
        <v>878</v>
      </c>
      <c r="C338" s="82" t="s">
        <v>61</v>
      </c>
      <c r="D338" s="82" t="s">
        <v>879</v>
      </c>
      <c r="E338" s="83">
        <v>217</v>
      </c>
      <c r="F338" s="82" t="s">
        <v>1013</v>
      </c>
      <c r="G338" s="82" t="str">
        <f t="shared" si="12"/>
        <v>VGP2-VGP3</v>
      </c>
    </row>
    <row r="339" spans="2:7" ht="14.25" customHeight="1">
      <c r="B339" s="82" t="s">
        <v>878</v>
      </c>
      <c r="C339" s="82" t="s">
        <v>61</v>
      </c>
      <c r="D339" s="82" t="s">
        <v>879</v>
      </c>
      <c r="E339" s="83">
        <v>243</v>
      </c>
      <c r="F339" s="82" t="s">
        <v>1014</v>
      </c>
      <c r="G339" s="82" t="str">
        <f t="shared" si="12"/>
        <v>VGP3-VGP4</v>
      </c>
    </row>
    <row r="340" spans="2:7" ht="14.25" customHeight="1">
      <c r="B340" s="82" t="s">
        <v>878</v>
      </c>
      <c r="C340" s="82" t="s">
        <v>61</v>
      </c>
      <c r="D340" s="82" t="s">
        <v>879</v>
      </c>
      <c r="E340" s="83">
        <v>269.48099999999999</v>
      </c>
      <c r="F340" s="82" t="s">
        <v>1015</v>
      </c>
      <c r="G340" s="82" t="str">
        <f t="shared" si="12"/>
        <v>VGP4-VGP5</v>
      </c>
    </row>
    <row r="341" spans="2:7" ht="14.25" customHeight="1">
      <c r="B341" s="82" t="s">
        <v>878</v>
      </c>
      <c r="C341" s="82" t="s">
        <v>61</v>
      </c>
      <c r="D341" s="82" t="s">
        <v>879</v>
      </c>
      <c r="E341" s="83">
        <v>295.95100000000002</v>
      </c>
      <c r="F341" s="82" t="s">
        <v>1016</v>
      </c>
      <c r="G341" s="82" t="str">
        <f t="shared" si="12"/>
        <v>VGP5-VGP6</v>
      </c>
    </row>
    <row r="342" spans="2:7" ht="14.25" customHeight="1">
      <c r="B342" s="82" t="s">
        <v>878</v>
      </c>
      <c r="C342" s="82" t="s">
        <v>61</v>
      </c>
      <c r="D342" s="82" t="s">
        <v>879</v>
      </c>
      <c r="E342" s="83">
        <v>322.42200000000003</v>
      </c>
      <c r="F342" s="82" t="s">
        <v>1017</v>
      </c>
      <c r="G342" s="82" t="str">
        <f t="shared" si="12"/>
        <v>VGP6-VGP7</v>
      </c>
    </row>
    <row r="343" spans="2:7" ht="14.25" customHeight="1">
      <c r="B343" s="82" t="s">
        <v>878</v>
      </c>
      <c r="C343" s="82" t="s">
        <v>61</v>
      </c>
      <c r="D343" s="82" t="s">
        <v>879</v>
      </c>
      <c r="E343" s="83">
        <v>351.36200000000002</v>
      </c>
      <c r="F343" s="82" t="s">
        <v>1018</v>
      </c>
      <c r="G343" s="82" t="str">
        <f t="shared" si="12"/>
        <v>VGP7-VGP8</v>
      </c>
    </row>
    <row r="344" spans="2:7" ht="14.25" customHeight="1">
      <c r="B344" s="85" t="s">
        <v>878</v>
      </c>
      <c r="C344" s="85" t="s">
        <v>61</v>
      </c>
      <c r="D344" s="85" t="s">
        <v>879</v>
      </c>
      <c r="E344" s="86">
        <v>411.36200000000002</v>
      </c>
      <c r="F344" s="85" t="s">
        <v>1019</v>
      </c>
      <c r="G344" s="85" t="str">
        <f t="shared" si="12"/>
        <v>VGP8-VGP9</v>
      </c>
    </row>
    <row r="345" spans="2:7" ht="14.25" customHeight="1">
      <c r="B345" s="82" t="s">
        <v>878</v>
      </c>
      <c r="C345" s="82" t="s">
        <v>61</v>
      </c>
      <c r="D345" s="82" t="s">
        <v>879</v>
      </c>
      <c r="E345" s="83">
        <v>437.58</v>
      </c>
      <c r="F345" s="82" t="s">
        <v>1020</v>
      </c>
      <c r="G345" s="82" t="str">
        <f t="shared" si="12"/>
        <v>VGP9-VGP10</v>
      </c>
    </row>
    <row r="346" spans="2:7" ht="14.25" customHeight="1">
      <c r="B346" s="82" t="s">
        <v>878</v>
      </c>
      <c r="C346" s="82" t="s">
        <v>61</v>
      </c>
      <c r="D346" s="82" t="s">
        <v>879</v>
      </c>
      <c r="E346" s="83">
        <v>464.11099999999999</v>
      </c>
      <c r="F346" s="82" t="s">
        <v>1021</v>
      </c>
      <c r="G346" s="82" t="str">
        <f t="shared" si="12"/>
        <v>VGP10-VGP11</v>
      </c>
    </row>
    <row r="347" spans="2:7" ht="14.25" customHeight="1">
      <c r="B347" s="82" t="s">
        <v>878</v>
      </c>
      <c r="C347" s="82" t="s">
        <v>61</v>
      </c>
      <c r="D347" s="82" t="s">
        <v>879</v>
      </c>
      <c r="E347" s="83">
        <v>494.09899999999999</v>
      </c>
      <c r="F347" s="82" t="s">
        <v>1022</v>
      </c>
      <c r="G347" s="82" t="str">
        <f t="shared" si="12"/>
        <v>VGP11-VGP12</v>
      </c>
    </row>
    <row r="348" spans="2:7" ht="14.25" customHeight="1">
      <c r="B348" s="82" t="s">
        <v>878</v>
      </c>
      <c r="C348" s="82" t="s">
        <v>61</v>
      </c>
      <c r="D348" s="82" t="s">
        <v>879</v>
      </c>
      <c r="E348" s="83">
        <v>524.09900000000005</v>
      </c>
      <c r="F348" s="82" t="s">
        <v>1023</v>
      </c>
      <c r="G348" s="82" t="str">
        <f t="shared" si="12"/>
        <v>VGP12-VGP13</v>
      </c>
    </row>
    <row r="349" spans="2:7" ht="14.25" customHeight="1">
      <c r="B349" s="82" t="s">
        <v>878</v>
      </c>
      <c r="C349" s="82" t="s">
        <v>61</v>
      </c>
      <c r="D349" s="82" t="s">
        <v>879</v>
      </c>
      <c r="E349" s="83">
        <v>554.09900000000005</v>
      </c>
      <c r="F349" s="82" t="s">
        <v>1024</v>
      </c>
      <c r="G349" s="82" t="str">
        <f t="shared" si="12"/>
        <v>VGP13-VGP14</v>
      </c>
    </row>
    <row r="350" spans="2:7" ht="14.25" customHeight="1">
      <c r="B350" s="82" t="s">
        <v>878</v>
      </c>
      <c r="C350" s="82" t="s">
        <v>61</v>
      </c>
      <c r="D350" s="82" t="s">
        <v>879</v>
      </c>
      <c r="E350" s="83">
        <v>584.09900000000005</v>
      </c>
      <c r="F350" s="82" t="s">
        <v>1025</v>
      </c>
      <c r="G350" s="82" t="str">
        <f t="shared" si="12"/>
        <v>VGP14-VGP15</v>
      </c>
    </row>
    <row r="351" spans="2:7" ht="14.25" customHeight="1">
      <c r="B351" s="82" t="s">
        <v>878</v>
      </c>
      <c r="C351" s="82" t="s">
        <v>61</v>
      </c>
      <c r="D351" s="82" t="s">
        <v>879</v>
      </c>
      <c r="E351" s="83">
        <v>614.09900000000005</v>
      </c>
      <c r="F351" s="82" t="s">
        <v>1026</v>
      </c>
      <c r="G351" s="82" t="str">
        <f t="shared" si="12"/>
        <v>VGP15-VGP16</v>
      </c>
    </row>
    <row r="352" spans="2:7" ht="14.25" customHeight="1">
      <c r="B352" s="82" t="s">
        <v>878</v>
      </c>
      <c r="C352" s="82" t="s">
        <v>61</v>
      </c>
      <c r="D352" s="82" t="s">
        <v>879</v>
      </c>
      <c r="E352" s="83">
        <v>644.09900000000005</v>
      </c>
      <c r="F352" s="82" t="s">
        <v>1027</v>
      </c>
      <c r="G352" s="82" t="str">
        <f t="shared" si="12"/>
        <v>VGP16-VGP17</v>
      </c>
    </row>
    <row r="353" spans="2:7" ht="14.25" customHeight="1">
      <c r="B353" s="82" t="s">
        <v>878</v>
      </c>
      <c r="C353" s="82" t="s">
        <v>61</v>
      </c>
      <c r="D353" s="82" t="s">
        <v>879</v>
      </c>
      <c r="E353" s="83">
        <v>674.09900000000005</v>
      </c>
      <c r="F353" s="82" t="s">
        <v>1028</v>
      </c>
      <c r="G353" s="82" t="str">
        <f t="shared" si="12"/>
        <v>VGP17-VGP18</v>
      </c>
    </row>
    <row r="354" spans="2:7" ht="14.25" customHeight="1">
      <c r="B354" s="82" t="s">
        <v>878</v>
      </c>
      <c r="C354" s="82" t="s">
        <v>61</v>
      </c>
      <c r="D354" s="82" t="s">
        <v>879</v>
      </c>
      <c r="E354" s="83">
        <v>704.09900000000005</v>
      </c>
      <c r="F354" s="82" t="s">
        <v>1029</v>
      </c>
      <c r="G354" s="82" t="str">
        <f t="shared" si="12"/>
        <v>VGP18-VGP19</v>
      </c>
    </row>
    <row r="355" spans="2:7" ht="14.25" customHeight="1">
      <c r="B355" s="82" t="s">
        <v>878</v>
      </c>
      <c r="C355" s="82" t="s">
        <v>61</v>
      </c>
      <c r="D355" s="82" t="s">
        <v>879</v>
      </c>
      <c r="E355" s="83">
        <v>733.98900000000003</v>
      </c>
      <c r="F355" s="82" t="s">
        <v>1030</v>
      </c>
      <c r="G355" s="82" t="str">
        <f t="shared" si="12"/>
        <v>VGP19-VGP20</v>
      </c>
    </row>
    <row r="356" spans="2:7" ht="14.25" customHeight="1">
      <c r="B356" s="82" t="s">
        <v>878</v>
      </c>
      <c r="C356" s="82" t="s">
        <v>61</v>
      </c>
      <c r="D356" s="82" t="s">
        <v>879</v>
      </c>
      <c r="E356" s="83">
        <v>763.452</v>
      </c>
      <c r="F356" s="82" t="s">
        <v>1031</v>
      </c>
      <c r="G356" s="82" t="str">
        <f t="shared" si="12"/>
        <v>VGP20-VGP21</v>
      </c>
    </row>
    <row r="357" spans="2:7" ht="14.25" customHeight="1">
      <c r="B357" s="82" t="s">
        <v>878</v>
      </c>
      <c r="C357" s="82" t="s">
        <v>61</v>
      </c>
      <c r="D357" s="82" t="s">
        <v>879</v>
      </c>
      <c r="E357" s="83">
        <v>792.91700000000003</v>
      </c>
      <c r="F357" s="82" t="s">
        <v>1032</v>
      </c>
      <c r="G357" s="82" t="str">
        <f t="shared" si="12"/>
        <v>VGP21-VGP22</v>
      </c>
    </row>
    <row r="358" spans="2:7" ht="14.25" customHeight="1">
      <c r="B358" s="82" t="s">
        <v>878</v>
      </c>
      <c r="C358" s="82" t="s">
        <v>61</v>
      </c>
      <c r="D358" s="82" t="s">
        <v>879</v>
      </c>
      <c r="E358" s="83">
        <v>822.37900000000002</v>
      </c>
      <c r="F358" s="82" t="s">
        <v>1033</v>
      </c>
      <c r="G358" s="82" t="str">
        <f t="shared" si="12"/>
        <v>VGP22-VGP23</v>
      </c>
    </row>
    <row r="359" spans="2:7" ht="14.25" customHeight="1">
      <c r="B359" s="82" t="s">
        <v>878</v>
      </c>
      <c r="C359" s="82" t="s">
        <v>61</v>
      </c>
      <c r="D359" s="82" t="s">
        <v>879</v>
      </c>
      <c r="E359" s="83">
        <v>851.84500000000003</v>
      </c>
      <c r="F359" s="82" t="s">
        <v>68</v>
      </c>
      <c r="G359" s="82" t="str">
        <f t="shared" si="12"/>
        <v>VGP23-VGP24</v>
      </c>
    </row>
    <row r="360" spans="2:7" ht="14.25" customHeight="1">
      <c r="B360" s="82" t="s">
        <v>878</v>
      </c>
      <c r="C360" s="82" t="s">
        <v>61</v>
      </c>
      <c r="D360" s="82" t="s">
        <v>879</v>
      </c>
      <c r="E360" s="83">
        <v>881.30799999999999</v>
      </c>
      <c r="F360" s="82" t="s">
        <v>1034</v>
      </c>
      <c r="G360" s="82" t="str">
        <f t="shared" si="12"/>
        <v>VGP24-VGP25</v>
      </c>
    </row>
    <row r="361" spans="2:7" ht="14.25" customHeight="1">
      <c r="B361" s="82" t="s">
        <v>878</v>
      </c>
      <c r="C361" s="82" t="s">
        <v>61</v>
      </c>
      <c r="D361" s="82" t="s">
        <v>879</v>
      </c>
      <c r="E361" s="83">
        <v>910.774</v>
      </c>
      <c r="F361" s="82" t="s">
        <v>1035</v>
      </c>
      <c r="G361" s="82" t="str">
        <f t="shared" si="12"/>
        <v>VGP25-VGP26</v>
      </c>
    </row>
    <row r="362" spans="2:7" ht="14.25" customHeight="1">
      <c r="B362" s="82" t="s">
        <v>878</v>
      </c>
      <c r="C362" s="82" t="s">
        <v>61</v>
      </c>
      <c r="D362" s="82" t="s">
        <v>879</v>
      </c>
      <c r="E362" s="83">
        <v>940.24099999999999</v>
      </c>
      <c r="F362" s="82" t="s">
        <v>1036</v>
      </c>
      <c r="G362" s="82" t="str">
        <f t="shared" si="12"/>
        <v>VGP26-VGP27</v>
      </c>
    </row>
    <row r="363" spans="2:7" ht="14.25" customHeight="1">
      <c r="B363" s="82" t="s">
        <v>878</v>
      </c>
      <c r="C363" s="82" t="s">
        <v>61</v>
      </c>
      <c r="D363" s="82" t="s">
        <v>879</v>
      </c>
      <c r="E363" s="83">
        <v>969.70399999999995</v>
      </c>
      <c r="F363" s="82" t="s">
        <v>1037</v>
      </c>
      <c r="G363" s="82" t="str">
        <f t="shared" si="12"/>
        <v>VGP27-VGP28</v>
      </c>
    </row>
    <row r="364" spans="2:7" ht="14.25" customHeight="1">
      <c r="B364" s="82" t="s">
        <v>878</v>
      </c>
      <c r="C364" s="82" t="s">
        <v>61</v>
      </c>
      <c r="D364" s="82" t="s">
        <v>879</v>
      </c>
      <c r="E364" s="83">
        <v>999.16700000000003</v>
      </c>
      <c r="F364" s="82" t="s">
        <v>1038</v>
      </c>
      <c r="G364" s="82" t="str">
        <f t="shared" si="12"/>
        <v>VGP28-VGP29</v>
      </c>
    </row>
    <row r="365" spans="2:7" ht="14.25" customHeight="1">
      <c r="B365" s="82" t="s">
        <v>878</v>
      </c>
      <c r="C365" s="82" t="s">
        <v>61</v>
      </c>
      <c r="D365" s="82" t="s">
        <v>879</v>
      </c>
      <c r="E365" s="83">
        <v>1013.319</v>
      </c>
      <c r="F365" s="82" t="s">
        <v>1039</v>
      </c>
      <c r="G365" s="82" t="str">
        <f t="shared" si="12"/>
        <v>VGP29-VGP30</v>
      </c>
    </row>
    <row r="366" spans="2:7" ht="14.25" customHeight="1">
      <c r="B366" s="82" t="s">
        <v>878</v>
      </c>
      <c r="C366" s="82" t="s">
        <v>61</v>
      </c>
      <c r="D366" s="82" t="s">
        <v>879</v>
      </c>
      <c r="E366" s="83">
        <v>1027.2070000000001</v>
      </c>
      <c r="F366" s="82" t="s">
        <v>1040</v>
      </c>
      <c r="G366" s="82" t="str">
        <f t="shared" si="12"/>
        <v>VGP30-VGP31</v>
      </c>
    </row>
    <row r="367" spans="2:7" ht="14.25" customHeight="1">
      <c r="B367" s="82" t="s">
        <v>878</v>
      </c>
      <c r="C367" s="82" t="s">
        <v>61</v>
      </c>
      <c r="D367" s="82" t="s">
        <v>879</v>
      </c>
      <c r="E367" s="83">
        <v>1041.229</v>
      </c>
      <c r="F367" s="82" t="s">
        <v>1041</v>
      </c>
      <c r="G367" s="82" t="str">
        <f t="shared" si="12"/>
        <v>VGP31-VGP32</v>
      </c>
    </row>
    <row r="368" spans="2:7" ht="14.25" customHeight="1">
      <c r="B368" s="82" t="s">
        <v>878</v>
      </c>
      <c r="C368" s="82" t="s">
        <v>61</v>
      </c>
      <c r="D368" s="82" t="s">
        <v>879</v>
      </c>
      <c r="E368" s="83">
        <v>1055.242</v>
      </c>
      <c r="F368" s="82" t="s">
        <v>1042</v>
      </c>
      <c r="G368" s="82" t="str">
        <f t="shared" si="12"/>
        <v>VGP32-VGP33</v>
      </c>
    </row>
    <row r="369" spans="2:7" ht="14.25" customHeight="1">
      <c r="B369" s="82" t="s">
        <v>878</v>
      </c>
      <c r="C369" s="82" t="s">
        <v>61</v>
      </c>
      <c r="D369" s="82" t="s">
        <v>879</v>
      </c>
      <c r="E369" s="83">
        <v>1070.152</v>
      </c>
      <c r="F369" s="82" t="s">
        <v>1043</v>
      </c>
      <c r="G369" s="82" t="str">
        <f t="shared" si="12"/>
        <v>VGP33-VGP34</v>
      </c>
    </row>
    <row r="370" spans="2:7" ht="14.25" customHeight="1">
      <c r="B370" s="82" t="s">
        <v>878</v>
      </c>
      <c r="C370" s="82" t="s">
        <v>61</v>
      </c>
      <c r="D370" s="82" t="s">
        <v>879</v>
      </c>
      <c r="E370" s="83">
        <v>1085</v>
      </c>
      <c r="F370" s="82" t="s">
        <v>1044</v>
      </c>
      <c r="G370" s="82" t="str">
        <f t="shared" si="12"/>
        <v>VGP34-VGP35</v>
      </c>
    </row>
    <row r="371" spans="2:7" ht="14.25" customHeight="1">
      <c r="B371" s="82" t="s">
        <v>878</v>
      </c>
      <c r="C371" s="82" t="s">
        <v>61</v>
      </c>
      <c r="D371" s="82" t="s">
        <v>879</v>
      </c>
      <c r="E371" s="83">
        <v>1100</v>
      </c>
      <c r="F371" s="82" t="s">
        <v>1045</v>
      </c>
      <c r="G371" s="82" t="str">
        <f t="shared" si="12"/>
        <v>VGP35-VGP36</v>
      </c>
    </row>
    <row r="372" spans="2:7" ht="14.25" customHeight="1">
      <c r="B372" s="82" t="s">
        <v>878</v>
      </c>
      <c r="C372" s="82" t="s">
        <v>61</v>
      </c>
      <c r="D372" s="82" t="s">
        <v>932</v>
      </c>
      <c r="E372" s="83">
        <v>-83.391000000000005</v>
      </c>
      <c r="F372" s="82" t="s">
        <v>793</v>
      </c>
      <c r="G372" s="82"/>
    </row>
    <row r="373" spans="2:7" ht="14.25" customHeight="1">
      <c r="B373" s="82" t="s">
        <v>878</v>
      </c>
      <c r="C373" s="82" t="s">
        <v>61</v>
      </c>
      <c r="D373" s="82" t="s">
        <v>932</v>
      </c>
      <c r="E373" s="83">
        <v>-42.420999999999999</v>
      </c>
      <c r="F373" s="82" t="s">
        <v>792</v>
      </c>
      <c r="G373" s="82" t="str">
        <f t="shared" ref="G373:G413" si="13">CONCATENATE(F372,"-",F373)</f>
        <v>PL81-PL80</v>
      </c>
    </row>
    <row r="374" spans="2:7" ht="14.25" customHeight="1">
      <c r="B374" s="82" t="s">
        <v>878</v>
      </c>
      <c r="C374" s="82" t="s">
        <v>61</v>
      </c>
      <c r="D374" s="82" t="s">
        <v>932</v>
      </c>
      <c r="E374" s="83">
        <v>-1.4510000000000001</v>
      </c>
      <c r="F374" s="82" t="s">
        <v>791</v>
      </c>
      <c r="G374" s="82" t="str">
        <f t="shared" si="13"/>
        <v>PL80-PL79</v>
      </c>
    </row>
    <row r="375" spans="2:7" ht="14.25" customHeight="1">
      <c r="B375" s="82" t="s">
        <v>878</v>
      </c>
      <c r="C375" s="82" t="s">
        <v>61</v>
      </c>
      <c r="D375" s="82" t="s">
        <v>932</v>
      </c>
      <c r="E375" s="83">
        <v>39.518999999999998</v>
      </c>
      <c r="F375" s="82" t="s">
        <v>790</v>
      </c>
      <c r="G375" s="82" t="str">
        <f t="shared" si="13"/>
        <v>PL79-PL78</v>
      </c>
    </row>
    <row r="376" spans="2:7" ht="14.25" customHeight="1">
      <c r="B376" s="82" t="s">
        <v>878</v>
      </c>
      <c r="C376" s="82" t="s">
        <v>61</v>
      </c>
      <c r="D376" s="82" t="s">
        <v>932</v>
      </c>
      <c r="E376" s="83">
        <v>80.489000000000004</v>
      </c>
      <c r="F376" s="82" t="s">
        <v>789</v>
      </c>
      <c r="G376" s="82" t="str">
        <f t="shared" si="13"/>
        <v>PL78-PL77</v>
      </c>
    </row>
    <row r="377" spans="2:7" ht="14.25" customHeight="1">
      <c r="B377" s="82" t="s">
        <v>878</v>
      </c>
      <c r="C377" s="82" t="s">
        <v>61</v>
      </c>
      <c r="D377" s="82" t="s">
        <v>932</v>
      </c>
      <c r="E377" s="83">
        <v>121.459</v>
      </c>
      <c r="F377" s="82" t="s">
        <v>788</v>
      </c>
      <c r="G377" s="82" t="str">
        <f t="shared" si="13"/>
        <v>PL77-PL76</v>
      </c>
    </row>
    <row r="378" spans="2:7" ht="14.25" customHeight="1">
      <c r="B378" s="82" t="s">
        <v>878</v>
      </c>
      <c r="C378" s="82" t="s">
        <v>61</v>
      </c>
      <c r="D378" s="82" t="s">
        <v>932</v>
      </c>
      <c r="E378" s="83">
        <v>150.19200000000001</v>
      </c>
      <c r="F378" s="82" t="s">
        <v>1046</v>
      </c>
      <c r="G378" s="82" t="str">
        <f t="shared" si="13"/>
        <v>PL76-GDP1</v>
      </c>
    </row>
    <row r="379" spans="2:7" ht="14.25" customHeight="1">
      <c r="B379" s="82" t="s">
        <v>878</v>
      </c>
      <c r="C379" s="82" t="s">
        <v>61</v>
      </c>
      <c r="D379" s="82" t="s">
        <v>932</v>
      </c>
      <c r="E379" s="83">
        <v>181.40299999999999</v>
      </c>
      <c r="F379" s="82" t="s">
        <v>1047</v>
      </c>
      <c r="G379" s="82" t="str">
        <f t="shared" si="13"/>
        <v>GDP1-GDP2</v>
      </c>
    </row>
    <row r="380" spans="2:7" ht="14.25" customHeight="1">
      <c r="B380" s="82" t="s">
        <v>878</v>
      </c>
      <c r="C380" s="82" t="s">
        <v>61</v>
      </c>
      <c r="D380" s="82" t="s">
        <v>932</v>
      </c>
      <c r="E380" s="83">
        <v>213.46799999999999</v>
      </c>
      <c r="F380" s="82" t="s">
        <v>1048</v>
      </c>
      <c r="G380" s="82" t="str">
        <f t="shared" si="13"/>
        <v>GDP2-GDP3</v>
      </c>
    </row>
    <row r="381" spans="2:7" ht="14.25" customHeight="1">
      <c r="B381" s="82" t="s">
        <v>878</v>
      </c>
      <c r="C381" s="82" t="s">
        <v>61</v>
      </c>
      <c r="D381" s="82" t="s">
        <v>932</v>
      </c>
      <c r="E381" s="83">
        <v>244.89400000000001</v>
      </c>
      <c r="F381" s="82" t="s">
        <v>1049</v>
      </c>
      <c r="G381" s="82" t="str">
        <f t="shared" si="13"/>
        <v>GDP3-GDP4</v>
      </c>
    </row>
    <row r="382" spans="2:7" ht="14.25" customHeight="1">
      <c r="B382" s="82" t="s">
        <v>878</v>
      </c>
      <c r="C382" s="82" t="s">
        <v>61</v>
      </c>
      <c r="D382" s="82" t="s">
        <v>932</v>
      </c>
      <c r="E382" s="83">
        <v>270.99900000000002</v>
      </c>
      <c r="F382" s="82" t="s">
        <v>1050</v>
      </c>
      <c r="G382" s="82" t="str">
        <f t="shared" si="13"/>
        <v>GDP4-GDP5</v>
      </c>
    </row>
    <row r="383" spans="2:7" ht="14.25" customHeight="1">
      <c r="B383" s="82" t="s">
        <v>878</v>
      </c>
      <c r="C383" s="82" t="s">
        <v>61</v>
      </c>
      <c r="D383" s="82" t="s">
        <v>932</v>
      </c>
      <c r="E383" s="83">
        <v>297.10000000000002</v>
      </c>
      <c r="F383" s="82" t="s">
        <v>1051</v>
      </c>
      <c r="G383" s="82" t="str">
        <f t="shared" si="13"/>
        <v>GDP5-GDP6</v>
      </c>
    </row>
    <row r="384" spans="2:7" ht="14.25" customHeight="1">
      <c r="B384" s="82" t="s">
        <v>878</v>
      </c>
      <c r="C384" s="82" t="s">
        <v>61</v>
      </c>
      <c r="D384" s="82" t="s">
        <v>932</v>
      </c>
      <c r="E384" s="83">
        <v>323.20699999999999</v>
      </c>
      <c r="F384" s="82" t="s">
        <v>1052</v>
      </c>
      <c r="G384" s="82" t="str">
        <f t="shared" si="13"/>
        <v>GDP6-GDP7</v>
      </c>
    </row>
    <row r="385" spans="2:7" ht="14.25" customHeight="1">
      <c r="B385" s="82" t="s">
        <v>878</v>
      </c>
      <c r="C385" s="82" t="s">
        <v>61</v>
      </c>
      <c r="D385" s="82" t="s">
        <v>932</v>
      </c>
      <c r="E385" s="83">
        <v>352.04199999999997</v>
      </c>
      <c r="F385" s="82" t="s">
        <v>1053</v>
      </c>
      <c r="G385" s="82" t="str">
        <f t="shared" si="13"/>
        <v>GDP7-GDP8</v>
      </c>
    </row>
    <row r="386" spans="2:7" ht="14.25" customHeight="1">
      <c r="B386" s="85" t="s">
        <v>878</v>
      </c>
      <c r="C386" s="85" t="s">
        <v>61</v>
      </c>
      <c r="D386" s="85" t="s">
        <v>932</v>
      </c>
      <c r="E386" s="86">
        <v>412.04199999999997</v>
      </c>
      <c r="F386" s="85" t="s">
        <v>1054</v>
      </c>
      <c r="G386" s="85" t="str">
        <f t="shared" si="13"/>
        <v>GDP8-GDP9</v>
      </c>
    </row>
    <row r="387" spans="2:7" ht="14.25" customHeight="1">
      <c r="B387" s="82" t="s">
        <v>878</v>
      </c>
      <c r="C387" s="82" t="s">
        <v>61</v>
      </c>
      <c r="D387" s="82" t="s">
        <v>932</v>
      </c>
      <c r="E387" s="83">
        <v>438.24400000000003</v>
      </c>
      <c r="F387" s="82" t="s">
        <v>1055</v>
      </c>
      <c r="G387" s="82" t="str">
        <f t="shared" si="13"/>
        <v>GDP9-GDP10</v>
      </c>
    </row>
    <row r="388" spans="2:7" ht="14.25" customHeight="1">
      <c r="B388" s="82" t="s">
        <v>878</v>
      </c>
      <c r="C388" s="82" t="s">
        <v>61</v>
      </c>
      <c r="D388" s="82" t="s">
        <v>932</v>
      </c>
      <c r="E388" s="83">
        <v>464.77800000000002</v>
      </c>
      <c r="F388" s="82" t="s">
        <v>1056</v>
      </c>
      <c r="G388" s="82" t="str">
        <f t="shared" si="13"/>
        <v>GDP10-GDP11</v>
      </c>
    </row>
    <row r="389" spans="2:7" ht="14.25" customHeight="1">
      <c r="B389" s="82" t="s">
        <v>878</v>
      </c>
      <c r="C389" s="82" t="s">
        <v>61</v>
      </c>
      <c r="D389" s="82" t="s">
        <v>932</v>
      </c>
      <c r="E389" s="83">
        <v>494.77800000000002</v>
      </c>
      <c r="F389" s="82" t="s">
        <v>1057</v>
      </c>
      <c r="G389" s="82" t="str">
        <f t="shared" si="13"/>
        <v>GDP11-GDP12</v>
      </c>
    </row>
    <row r="390" spans="2:7" ht="14.25" customHeight="1">
      <c r="B390" s="82" t="s">
        <v>878</v>
      </c>
      <c r="C390" s="82" t="s">
        <v>61</v>
      </c>
      <c r="D390" s="82" t="s">
        <v>932</v>
      </c>
      <c r="E390" s="83">
        <v>524.77800000000002</v>
      </c>
      <c r="F390" s="82" t="s">
        <v>1058</v>
      </c>
      <c r="G390" s="82" t="str">
        <f t="shared" si="13"/>
        <v>GDP12-GDP13</v>
      </c>
    </row>
    <row r="391" spans="2:7" ht="14.25" customHeight="1">
      <c r="B391" s="82" t="s">
        <v>878</v>
      </c>
      <c r="C391" s="82" t="s">
        <v>61</v>
      </c>
      <c r="D391" s="82" t="s">
        <v>932</v>
      </c>
      <c r="E391" s="83">
        <v>554.77800000000002</v>
      </c>
      <c r="F391" s="82" t="s">
        <v>1059</v>
      </c>
      <c r="G391" s="82" t="str">
        <f t="shared" si="13"/>
        <v>GDP13-GDP14</v>
      </c>
    </row>
    <row r="392" spans="2:7" ht="14.25" customHeight="1">
      <c r="B392" s="82" t="s">
        <v>878</v>
      </c>
      <c r="C392" s="82" t="s">
        <v>61</v>
      </c>
      <c r="D392" s="82" t="s">
        <v>932</v>
      </c>
      <c r="E392" s="83">
        <v>584.77800000000002</v>
      </c>
      <c r="F392" s="82" t="s">
        <v>1060</v>
      </c>
      <c r="G392" s="82" t="str">
        <f t="shared" si="13"/>
        <v>GDP14-GDP15</v>
      </c>
    </row>
    <row r="393" spans="2:7" ht="14.25" customHeight="1">
      <c r="B393" s="82" t="s">
        <v>878</v>
      </c>
      <c r="C393" s="82" t="s">
        <v>61</v>
      </c>
      <c r="D393" s="82" t="s">
        <v>932</v>
      </c>
      <c r="E393" s="83">
        <v>614.77800000000002</v>
      </c>
      <c r="F393" s="82" t="s">
        <v>1061</v>
      </c>
      <c r="G393" s="82" t="str">
        <f t="shared" si="13"/>
        <v>GDP15-GDP16</v>
      </c>
    </row>
    <row r="394" spans="2:7" ht="14.25" customHeight="1">
      <c r="B394" s="82" t="s">
        <v>878</v>
      </c>
      <c r="C394" s="82" t="s">
        <v>61</v>
      </c>
      <c r="D394" s="82" t="s">
        <v>932</v>
      </c>
      <c r="E394" s="83">
        <v>644.77800000000002</v>
      </c>
      <c r="F394" s="82" t="s">
        <v>1062</v>
      </c>
      <c r="G394" s="82" t="str">
        <f t="shared" si="13"/>
        <v>GDP16-GDP17</v>
      </c>
    </row>
    <row r="395" spans="2:7" ht="14.25" customHeight="1">
      <c r="B395" s="82" t="s">
        <v>878</v>
      </c>
      <c r="C395" s="82" t="s">
        <v>61</v>
      </c>
      <c r="D395" s="82" t="s">
        <v>932</v>
      </c>
      <c r="E395" s="83">
        <v>674.77800000000002</v>
      </c>
      <c r="F395" s="82" t="s">
        <v>1063</v>
      </c>
      <c r="G395" s="82" t="str">
        <f t="shared" si="13"/>
        <v>GDP17-GDP18</v>
      </c>
    </row>
    <row r="396" spans="2:7" ht="14.25" customHeight="1">
      <c r="B396" s="82" t="s">
        <v>878</v>
      </c>
      <c r="C396" s="82" t="s">
        <v>61</v>
      </c>
      <c r="D396" s="82" t="s">
        <v>932</v>
      </c>
      <c r="E396" s="83">
        <v>704.77800000000002</v>
      </c>
      <c r="F396" s="82" t="s">
        <v>1064</v>
      </c>
      <c r="G396" s="82" t="str">
        <f t="shared" si="13"/>
        <v>GDP18-GDP19</v>
      </c>
    </row>
    <row r="397" spans="2:7" ht="14.25" customHeight="1">
      <c r="B397" s="82" t="s">
        <v>878</v>
      </c>
      <c r="C397" s="82" t="s">
        <v>61</v>
      </c>
      <c r="D397" s="82" t="s">
        <v>932</v>
      </c>
      <c r="E397" s="83">
        <v>734.65700000000004</v>
      </c>
      <c r="F397" s="82" t="s">
        <v>1065</v>
      </c>
      <c r="G397" s="82" t="str">
        <f t="shared" si="13"/>
        <v>GDP19-GDP20</v>
      </c>
    </row>
    <row r="398" spans="2:7" ht="14.25" customHeight="1">
      <c r="B398" s="82" t="s">
        <v>878</v>
      </c>
      <c r="C398" s="82" t="s">
        <v>61</v>
      </c>
      <c r="D398" s="82" t="s">
        <v>932</v>
      </c>
      <c r="E398" s="83">
        <v>764.06</v>
      </c>
      <c r="F398" s="82" t="s">
        <v>1066</v>
      </c>
      <c r="G398" s="82" t="str">
        <f t="shared" si="13"/>
        <v>GDP20-GDP21</v>
      </c>
    </row>
    <row r="399" spans="2:7" ht="14.25" customHeight="1">
      <c r="B399" s="82" t="s">
        <v>878</v>
      </c>
      <c r="C399" s="82" t="s">
        <v>61</v>
      </c>
      <c r="D399" s="82" t="s">
        <v>932</v>
      </c>
      <c r="E399" s="83">
        <v>793.46699999999998</v>
      </c>
      <c r="F399" s="82" t="s">
        <v>1067</v>
      </c>
      <c r="G399" s="82" t="str">
        <f t="shared" si="13"/>
        <v>GDP21-GDP22</v>
      </c>
    </row>
    <row r="400" spans="2:7" ht="14.25" customHeight="1">
      <c r="B400" s="82" t="s">
        <v>878</v>
      </c>
      <c r="C400" s="82" t="s">
        <v>61</v>
      </c>
      <c r="D400" s="82" t="s">
        <v>932</v>
      </c>
      <c r="E400" s="83">
        <v>822.87</v>
      </c>
      <c r="F400" s="82" t="s">
        <v>1068</v>
      </c>
      <c r="G400" s="82" t="str">
        <f t="shared" si="13"/>
        <v>GDP22-GDP23</v>
      </c>
    </row>
    <row r="401" spans="2:7" ht="14.25" customHeight="1">
      <c r="B401" s="82" t="s">
        <v>878</v>
      </c>
      <c r="C401" s="82" t="s">
        <v>61</v>
      </c>
      <c r="D401" s="82" t="s">
        <v>932</v>
      </c>
      <c r="E401" s="83">
        <v>852.27700000000004</v>
      </c>
      <c r="F401" s="82" t="s">
        <v>1069</v>
      </c>
      <c r="G401" s="82" t="str">
        <f t="shared" si="13"/>
        <v>GDP23-GDP24</v>
      </c>
    </row>
    <row r="402" spans="2:7" ht="14.25" customHeight="1">
      <c r="B402" s="82" t="s">
        <v>878</v>
      </c>
      <c r="C402" s="82" t="s">
        <v>61</v>
      </c>
      <c r="D402" s="82" t="s">
        <v>932</v>
      </c>
      <c r="E402" s="83">
        <v>881.68100000000004</v>
      </c>
      <c r="F402" s="82" t="s">
        <v>1070</v>
      </c>
      <c r="G402" s="82" t="str">
        <f t="shared" si="13"/>
        <v>GDP24-GDP25</v>
      </c>
    </row>
    <row r="403" spans="2:7" ht="14.25" customHeight="1">
      <c r="B403" s="82" t="s">
        <v>878</v>
      </c>
      <c r="C403" s="82" t="s">
        <v>61</v>
      </c>
      <c r="D403" s="82" t="s">
        <v>932</v>
      </c>
      <c r="E403" s="83">
        <v>911.08799999999997</v>
      </c>
      <c r="F403" s="82" t="s">
        <v>1071</v>
      </c>
      <c r="G403" s="82" t="str">
        <f t="shared" si="13"/>
        <v>GDP25-GDP26</v>
      </c>
    </row>
    <row r="404" spans="2:7" ht="14.25" customHeight="1">
      <c r="B404" s="82" t="s">
        <v>878</v>
      </c>
      <c r="C404" s="82" t="s">
        <v>61</v>
      </c>
      <c r="D404" s="82" t="s">
        <v>932</v>
      </c>
      <c r="E404" s="83">
        <v>940.49699999999996</v>
      </c>
      <c r="F404" s="82" t="s">
        <v>1072</v>
      </c>
      <c r="G404" s="82" t="str">
        <f t="shared" si="13"/>
        <v>GDP26-GDP27</v>
      </c>
    </row>
    <row r="405" spans="2:7" ht="14.25" customHeight="1">
      <c r="B405" s="82" t="s">
        <v>878</v>
      </c>
      <c r="C405" s="82" t="s">
        <v>61</v>
      </c>
      <c r="D405" s="82" t="s">
        <v>932</v>
      </c>
      <c r="E405" s="83">
        <v>969.90099999999995</v>
      </c>
      <c r="F405" s="82" t="s">
        <v>1073</v>
      </c>
      <c r="G405" s="82" t="str">
        <f t="shared" si="13"/>
        <v>GDP27-GDP28</v>
      </c>
    </row>
    <row r="406" spans="2:7" ht="14.25" customHeight="1">
      <c r="B406" s="82" t="s">
        <v>878</v>
      </c>
      <c r="C406" s="82" t="s">
        <v>61</v>
      </c>
      <c r="D406" s="82" t="s">
        <v>932</v>
      </c>
      <c r="E406" s="83">
        <v>999.30499999999995</v>
      </c>
      <c r="F406" s="82" t="s">
        <v>1074</v>
      </c>
      <c r="G406" s="82" t="str">
        <f t="shared" si="13"/>
        <v>GDP28-GDP29</v>
      </c>
    </row>
    <row r="407" spans="2:7" ht="14.25" customHeight="1">
      <c r="B407" s="82" t="s">
        <v>878</v>
      </c>
      <c r="C407" s="82" t="s">
        <v>61</v>
      </c>
      <c r="D407" s="82" t="s">
        <v>932</v>
      </c>
      <c r="E407" s="83">
        <v>1013.301</v>
      </c>
      <c r="F407" s="82" t="s">
        <v>1075</v>
      </c>
      <c r="G407" s="82" t="str">
        <f t="shared" si="13"/>
        <v>GDP29-GDP30</v>
      </c>
    </row>
    <row r="408" spans="2:7" ht="14.25" customHeight="1">
      <c r="B408" s="82" t="s">
        <v>878</v>
      </c>
      <c r="C408" s="82" t="s">
        <v>61</v>
      </c>
      <c r="D408" s="82" t="s">
        <v>932</v>
      </c>
      <c r="E408" s="83">
        <v>1027.289</v>
      </c>
      <c r="F408" s="82" t="s">
        <v>1076</v>
      </c>
      <c r="G408" s="82" t="str">
        <f t="shared" si="13"/>
        <v>GDP30-GDP31</v>
      </c>
    </row>
    <row r="409" spans="2:7" ht="14.25" customHeight="1">
      <c r="B409" s="82" t="s">
        <v>878</v>
      </c>
      <c r="C409" s="82" t="s">
        <v>61</v>
      </c>
      <c r="D409" s="82" t="s">
        <v>932</v>
      </c>
      <c r="E409" s="83">
        <v>1041.2829999999999</v>
      </c>
      <c r="F409" s="82" t="s">
        <v>1077</v>
      </c>
      <c r="G409" s="82" t="str">
        <f t="shared" si="13"/>
        <v>GDP31-GDP32</v>
      </c>
    </row>
    <row r="410" spans="2:7" ht="14.25" customHeight="1">
      <c r="B410" s="82" t="s">
        <v>878</v>
      </c>
      <c r="C410" s="82" t="s">
        <v>61</v>
      </c>
      <c r="D410" s="82" t="s">
        <v>932</v>
      </c>
      <c r="E410" s="83">
        <v>1055.269</v>
      </c>
      <c r="F410" s="82" t="s">
        <v>1078</v>
      </c>
      <c r="G410" s="82" t="str">
        <f t="shared" si="13"/>
        <v>GDP32-GDP33</v>
      </c>
    </row>
    <row r="411" spans="2:7" ht="14.25" customHeight="1">
      <c r="B411" s="82" t="s">
        <v>878</v>
      </c>
      <c r="C411" s="82" t="s">
        <v>61</v>
      </c>
      <c r="D411" s="82" t="s">
        <v>932</v>
      </c>
      <c r="E411" s="83">
        <v>1070.1690000000001</v>
      </c>
      <c r="F411" s="82" t="s">
        <v>1079</v>
      </c>
      <c r="G411" s="82" t="str">
        <f t="shared" si="13"/>
        <v>GDP33-GDP34</v>
      </c>
    </row>
    <row r="412" spans="2:7" ht="14.25" customHeight="1">
      <c r="B412" s="82" t="s">
        <v>878</v>
      </c>
      <c r="C412" s="82" t="s">
        <v>61</v>
      </c>
      <c r="D412" s="82" t="s">
        <v>932</v>
      </c>
      <c r="E412" s="83">
        <v>1085</v>
      </c>
      <c r="F412" s="82" t="s">
        <v>1080</v>
      </c>
      <c r="G412" s="82" t="str">
        <f t="shared" si="13"/>
        <v>GDP34-GDP35</v>
      </c>
    </row>
    <row r="413" spans="2:7" ht="14.25" customHeight="1">
      <c r="B413" s="82" t="s">
        <v>878</v>
      </c>
      <c r="C413" s="82" t="s">
        <v>61</v>
      </c>
      <c r="D413" s="82" t="s">
        <v>932</v>
      </c>
      <c r="E413" s="83">
        <v>1100</v>
      </c>
      <c r="F413" s="82" t="s">
        <v>1081</v>
      </c>
      <c r="G413" s="82" t="str">
        <f t="shared" si="13"/>
        <v>GDP35-GDP36</v>
      </c>
    </row>
    <row r="414" spans="2:7" ht="14.25" customHeight="1">
      <c r="B414" s="82" t="s">
        <v>878</v>
      </c>
      <c r="C414" s="82" t="s">
        <v>61</v>
      </c>
      <c r="D414" s="82" t="s">
        <v>985</v>
      </c>
      <c r="E414" s="83">
        <v>0</v>
      </c>
      <c r="F414" s="82" t="s">
        <v>877</v>
      </c>
      <c r="G414" s="82"/>
    </row>
    <row r="415" spans="2:7" ht="14.25" customHeight="1">
      <c r="B415" s="82" t="s">
        <v>878</v>
      </c>
      <c r="C415" s="82" t="s">
        <v>61</v>
      </c>
      <c r="D415" s="82" t="s">
        <v>985</v>
      </c>
      <c r="E415" s="83">
        <v>40.97</v>
      </c>
      <c r="F415" s="82" t="s">
        <v>876</v>
      </c>
      <c r="G415" s="82" t="str">
        <f t="shared" ref="G415:G429" si="14">CONCATENATE(F414,"-",F415)</f>
        <v>PR81-PR80</v>
      </c>
    </row>
    <row r="416" spans="2:7" ht="14.25" customHeight="1">
      <c r="B416" s="82" t="s">
        <v>878</v>
      </c>
      <c r="C416" s="82" t="s">
        <v>61</v>
      </c>
      <c r="D416" s="82" t="s">
        <v>985</v>
      </c>
      <c r="E416" s="83">
        <v>81.94</v>
      </c>
      <c r="F416" s="82" t="s">
        <v>875</v>
      </c>
      <c r="G416" s="82" t="str">
        <f t="shared" si="14"/>
        <v>PR80-PR79</v>
      </c>
    </row>
    <row r="417" spans="2:7" ht="14.25" customHeight="1">
      <c r="B417" s="82" t="s">
        <v>878</v>
      </c>
      <c r="C417" s="82" t="s">
        <v>61</v>
      </c>
      <c r="D417" s="82" t="s">
        <v>985</v>
      </c>
      <c r="E417" s="83">
        <v>122.91</v>
      </c>
      <c r="F417" s="82" t="s">
        <v>874</v>
      </c>
      <c r="G417" s="82" t="str">
        <f t="shared" si="14"/>
        <v>PR79-PR78</v>
      </c>
    </row>
    <row r="418" spans="2:7" ht="14.25" customHeight="1">
      <c r="B418" s="82" t="s">
        <v>878</v>
      </c>
      <c r="C418" s="82" t="s">
        <v>61</v>
      </c>
      <c r="D418" s="82" t="s">
        <v>985</v>
      </c>
      <c r="E418" s="83">
        <v>150.43700000000001</v>
      </c>
      <c r="F418" s="82" t="s">
        <v>1082</v>
      </c>
      <c r="G418" s="82" t="str">
        <f t="shared" si="14"/>
        <v>PR78-DGP1</v>
      </c>
    </row>
    <row r="419" spans="2:7" ht="14.25" customHeight="1">
      <c r="B419" s="82" t="s">
        <v>878</v>
      </c>
      <c r="C419" s="82" t="s">
        <v>61</v>
      </c>
      <c r="D419" s="82" t="s">
        <v>985</v>
      </c>
      <c r="E419" s="83">
        <v>178.881</v>
      </c>
      <c r="F419" s="82" t="s">
        <v>1083</v>
      </c>
      <c r="G419" s="82" t="str">
        <f t="shared" si="14"/>
        <v>DGP1-DGP2</v>
      </c>
    </row>
    <row r="420" spans="2:7" ht="14.25" customHeight="1">
      <c r="B420" s="82" t="s">
        <v>878</v>
      </c>
      <c r="C420" s="82" t="s">
        <v>61</v>
      </c>
      <c r="D420" s="82" t="s">
        <v>985</v>
      </c>
      <c r="E420" s="83">
        <v>207.32599999999999</v>
      </c>
      <c r="F420" s="82" t="s">
        <v>1084</v>
      </c>
      <c r="G420" s="82" t="str">
        <f t="shared" si="14"/>
        <v>DGP2-DGP3</v>
      </c>
    </row>
    <row r="421" spans="2:7" ht="14.25" customHeight="1">
      <c r="B421" s="82" t="s">
        <v>878</v>
      </c>
      <c r="C421" s="82" t="s">
        <v>61</v>
      </c>
      <c r="D421" s="82" t="s">
        <v>985</v>
      </c>
      <c r="E421" s="83">
        <v>235.14400000000001</v>
      </c>
      <c r="F421" s="82" t="s">
        <v>1085</v>
      </c>
      <c r="G421" s="82" t="str">
        <f t="shared" si="14"/>
        <v>DGP3-DGP4</v>
      </c>
    </row>
    <row r="422" spans="2:7" ht="14.25" customHeight="1">
      <c r="B422" s="82" t="s">
        <v>878</v>
      </c>
      <c r="C422" s="82" t="s">
        <v>61</v>
      </c>
      <c r="D422" s="82" t="s">
        <v>985</v>
      </c>
      <c r="E422" s="83">
        <v>265.14400000000001</v>
      </c>
      <c r="F422" s="82" t="s">
        <v>1086</v>
      </c>
      <c r="G422" s="82" t="str">
        <f t="shared" si="14"/>
        <v>DGP4-DGP5</v>
      </c>
    </row>
    <row r="423" spans="2:7" ht="14.25" customHeight="1">
      <c r="B423" s="82" t="s">
        <v>878</v>
      </c>
      <c r="C423" s="82" t="s">
        <v>61</v>
      </c>
      <c r="D423" s="82" t="s">
        <v>985</v>
      </c>
      <c r="E423" s="83">
        <v>295.14400000000001</v>
      </c>
      <c r="F423" s="82" t="s">
        <v>1087</v>
      </c>
      <c r="G423" s="82" t="str">
        <f t="shared" si="14"/>
        <v>DGP5-DGP6</v>
      </c>
    </row>
    <row r="424" spans="2:7" ht="14.25" customHeight="1">
      <c r="B424" s="82" t="s">
        <v>878</v>
      </c>
      <c r="C424" s="82" t="s">
        <v>61</v>
      </c>
      <c r="D424" s="82" t="s">
        <v>985</v>
      </c>
      <c r="E424" s="83">
        <v>325.14400000000001</v>
      </c>
      <c r="F424" s="82" t="s">
        <v>1088</v>
      </c>
      <c r="G424" s="82" t="str">
        <f t="shared" si="14"/>
        <v>DGP6-DGP7</v>
      </c>
    </row>
    <row r="425" spans="2:7" ht="14.25" customHeight="1">
      <c r="B425" s="82" t="s">
        <v>878</v>
      </c>
      <c r="C425" s="82" t="s">
        <v>61</v>
      </c>
      <c r="D425" s="82" t="s">
        <v>985</v>
      </c>
      <c r="E425" s="83">
        <v>355.14400000000001</v>
      </c>
      <c r="F425" s="82" t="s">
        <v>1089</v>
      </c>
      <c r="G425" s="82" t="str">
        <f t="shared" si="14"/>
        <v>DGP7-DGP8</v>
      </c>
    </row>
    <row r="426" spans="2:7" ht="14.25" customHeight="1">
      <c r="B426" s="82" t="s">
        <v>878</v>
      </c>
      <c r="C426" s="82" t="s">
        <v>61</v>
      </c>
      <c r="D426" s="82" t="s">
        <v>985</v>
      </c>
      <c r="E426" s="83">
        <v>385.14400000000001</v>
      </c>
      <c r="F426" s="82" t="s">
        <v>1090</v>
      </c>
      <c r="G426" s="82" t="str">
        <f t="shared" si="14"/>
        <v>DGP8-DGP9</v>
      </c>
    </row>
    <row r="427" spans="2:7" ht="14.25" customHeight="1">
      <c r="B427" s="82" t="s">
        <v>878</v>
      </c>
      <c r="C427" s="82" t="s">
        <v>61</v>
      </c>
      <c r="D427" s="82" t="s">
        <v>985</v>
      </c>
      <c r="E427" s="83">
        <v>415.14400000000001</v>
      </c>
      <c r="F427" s="82" t="s">
        <v>1091</v>
      </c>
      <c r="G427" s="82" t="str">
        <f t="shared" si="14"/>
        <v>DGP9-DGP10</v>
      </c>
    </row>
    <row r="428" spans="2:7" ht="14.25" customHeight="1">
      <c r="B428" s="82" t="s">
        <v>878</v>
      </c>
      <c r="C428" s="82" t="s">
        <v>61</v>
      </c>
      <c r="D428" s="82" t="s">
        <v>985</v>
      </c>
      <c r="E428" s="83">
        <v>445.14400000000001</v>
      </c>
      <c r="F428" s="82" t="s">
        <v>1092</v>
      </c>
      <c r="G428" s="82" t="str">
        <f t="shared" si="14"/>
        <v>DGP10-DGP11</v>
      </c>
    </row>
    <row r="429" spans="2:7" ht="14.25" customHeight="1">
      <c r="B429" s="82" t="s">
        <v>878</v>
      </c>
      <c r="C429" s="82" t="s">
        <v>61</v>
      </c>
      <c r="D429" s="82" t="s">
        <v>985</v>
      </c>
      <c r="E429" s="83">
        <v>475.14400000000001</v>
      </c>
      <c r="F429" s="82" t="s">
        <v>1093</v>
      </c>
      <c r="G429" s="82" t="str">
        <f t="shared" si="14"/>
        <v>DGP11-DGP12</v>
      </c>
    </row>
    <row r="430" spans="2:7" ht="14.25" customHeight="1">
      <c r="B430" s="82" t="s">
        <v>878</v>
      </c>
      <c r="C430" s="82" t="s">
        <v>61</v>
      </c>
      <c r="D430" s="82" t="s">
        <v>1000</v>
      </c>
      <c r="E430" s="83">
        <v>0</v>
      </c>
      <c r="F430" s="82" t="s">
        <v>1094</v>
      </c>
      <c r="G430" s="82"/>
    </row>
    <row r="431" spans="2:7" ht="14.25" customHeight="1">
      <c r="B431" s="82" t="s">
        <v>878</v>
      </c>
      <c r="C431" s="82" t="s">
        <v>61</v>
      </c>
      <c r="D431" s="82" t="s">
        <v>1000</v>
      </c>
      <c r="E431" s="83">
        <v>30</v>
      </c>
      <c r="F431" s="82" t="s">
        <v>1095</v>
      </c>
      <c r="G431" s="82" t="str">
        <f t="shared" ref="G431:G449" si="15">CONCATENATE(F430,"-",F431)</f>
        <v>GVP14-GVP13</v>
      </c>
    </row>
    <row r="432" spans="2:7" ht="14.25" customHeight="1">
      <c r="B432" s="82" t="s">
        <v>878</v>
      </c>
      <c r="C432" s="82" t="s">
        <v>61</v>
      </c>
      <c r="D432" s="82" t="s">
        <v>1000</v>
      </c>
      <c r="E432" s="83">
        <v>60</v>
      </c>
      <c r="F432" s="82" t="s">
        <v>1096</v>
      </c>
      <c r="G432" s="82" t="str">
        <f t="shared" si="15"/>
        <v>GVP13-GVP12</v>
      </c>
    </row>
    <row r="433" spans="2:7" ht="14.25" customHeight="1">
      <c r="B433" s="82" t="s">
        <v>878</v>
      </c>
      <c r="C433" s="82" t="s">
        <v>61</v>
      </c>
      <c r="D433" s="82" t="s">
        <v>1000</v>
      </c>
      <c r="E433" s="83">
        <v>90</v>
      </c>
      <c r="F433" s="82" t="s">
        <v>1097</v>
      </c>
      <c r="G433" s="82" t="str">
        <f t="shared" si="15"/>
        <v>GVP12-GVP11</v>
      </c>
    </row>
    <row r="434" spans="2:7" ht="14.25" customHeight="1">
      <c r="B434" s="82" t="s">
        <v>878</v>
      </c>
      <c r="C434" s="82" t="s">
        <v>61</v>
      </c>
      <c r="D434" s="82" t="s">
        <v>1000</v>
      </c>
      <c r="E434" s="83">
        <v>120</v>
      </c>
      <c r="F434" s="82" t="s">
        <v>1098</v>
      </c>
      <c r="G434" s="82" t="str">
        <f t="shared" si="15"/>
        <v>GVP11-GVP10</v>
      </c>
    </row>
    <row r="435" spans="2:7" ht="14.25" customHeight="1">
      <c r="B435" s="82" t="s">
        <v>878</v>
      </c>
      <c r="C435" s="82" t="s">
        <v>61</v>
      </c>
      <c r="D435" s="82" t="s">
        <v>1000</v>
      </c>
      <c r="E435" s="83">
        <v>150</v>
      </c>
      <c r="F435" s="82" t="s">
        <v>1099</v>
      </c>
      <c r="G435" s="82" t="str">
        <f t="shared" si="15"/>
        <v>GVP10-GVP9</v>
      </c>
    </row>
    <row r="436" spans="2:7" ht="14.25" customHeight="1">
      <c r="B436" s="82" t="s">
        <v>878</v>
      </c>
      <c r="C436" s="82" t="s">
        <v>61</v>
      </c>
      <c r="D436" s="82" t="s">
        <v>1000</v>
      </c>
      <c r="E436" s="83">
        <v>180</v>
      </c>
      <c r="F436" s="82" t="s">
        <v>1100</v>
      </c>
      <c r="G436" s="82" t="str">
        <f t="shared" si="15"/>
        <v>GVP9-GVP8</v>
      </c>
    </row>
    <row r="437" spans="2:7" ht="14.25" customHeight="1">
      <c r="B437" s="82" t="s">
        <v>878</v>
      </c>
      <c r="C437" s="82" t="s">
        <v>61</v>
      </c>
      <c r="D437" s="82" t="s">
        <v>1000</v>
      </c>
      <c r="E437" s="83">
        <v>210</v>
      </c>
      <c r="F437" s="82" t="s">
        <v>1101</v>
      </c>
      <c r="G437" s="82" t="str">
        <f t="shared" si="15"/>
        <v>GVP8-GVP7</v>
      </c>
    </row>
    <row r="438" spans="2:7" ht="14.25" customHeight="1">
      <c r="B438" s="82" t="s">
        <v>878</v>
      </c>
      <c r="C438" s="82" t="s">
        <v>61</v>
      </c>
      <c r="D438" s="82" t="s">
        <v>1000</v>
      </c>
      <c r="E438" s="83">
        <v>239.97</v>
      </c>
      <c r="F438" s="82" t="s">
        <v>1102</v>
      </c>
      <c r="G438" s="82" t="str">
        <f t="shared" si="15"/>
        <v>GVP7-GVP6</v>
      </c>
    </row>
    <row r="439" spans="2:7" ht="14.25" customHeight="1">
      <c r="B439" s="82" t="s">
        <v>878</v>
      </c>
      <c r="C439" s="82" t="s">
        <v>61</v>
      </c>
      <c r="D439" s="82" t="s">
        <v>1000</v>
      </c>
      <c r="E439" s="83">
        <v>267.22300000000001</v>
      </c>
      <c r="F439" s="82" t="s">
        <v>1103</v>
      </c>
      <c r="G439" s="82" t="str">
        <f t="shared" si="15"/>
        <v>GVP6-GVP5</v>
      </c>
    </row>
    <row r="440" spans="2:7" ht="14.25" customHeight="1">
      <c r="B440" s="82" t="s">
        <v>878</v>
      </c>
      <c r="C440" s="82" t="s">
        <v>61</v>
      </c>
      <c r="D440" s="82" t="s">
        <v>1000</v>
      </c>
      <c r="E440" s="83">
        <v>294.476</v>
      </c>
      <c r="F440" s="82" t="s">
        <v>1104</v>
      </c>
      <c r="G440" s="82" t="str">
        <f t="shared" si="15"/>
        <v>GVP5-GVP4</v>
      </c>
    </row>
    <row r="441" spans="2:7" ht="14.25" customHeight="1">
      <c r="B441" s="82" t="s">
        <v>878</v>
      </c>
      <c r="C441" s="82" t="s">
        <v>61</v>
      </c>
      <c r="D441" s="82" t="s">
        <v>1000</v>
      </c>
      <c r="E441" s="83">
        <v>321.73</v>
      </c>
      <c r="F441" s="82" t="s">
        <v>1105</v>
      </c>
      <c r="G441" s="82" t="str">
        <f t="shared" si="15"/>
        <v>GVP4-GVP3</v>
      </c>
    </row>
    <row r="442" spans="2:7" ht="14.25" customHeight="1">
      <c r="B442" s="82" t="s">
        <v>878</v>
      </c>
      <c r="C442" s="82" t="s">
        <v>61</v>
      </c>
      <c r="D442" s="82" t="s">
        <v>1000</v>
      </c>
      <c r="E442" s="83">
        <v>348.983</v>
      </c>
      <c r="F442" s="82" t="s">
        <v>1106</v>
      </c>
      <c r="G442" s="82" t="str">
        <f t="shared" si="15"/>
        <v>GVP3-GVP2</v>
      </c>
    </row>
    <row r="443" spans="2:7" ht="14.25" customHeight="1">
      <c r="B443" s="82" t="s">
        <v>878</v>
      </c>
      <c r="C443" s="82" t="s">
        <v>61</v>
      </c>
      <c r="D443" s="82" t="s">
        <v>1000</v>
      </c>
      <c r="E443" s="83">
        <v>375.53100000000001</v>
      </c>
      <c r="F443" s="82" t="s">
        <v>1107</v>
      </c>
      <c r="G443" s="82" t="str">
        <f t="shared" si="15"/>
        <v>GVP2-GVP1</v>
      </c>
    </row>
    <row r="444" spans="2:7" ht="14.25" customHeight="1">
      <c r="B444" s="82" t="s">
        <v>878</v>
      </c>
      <c r="C444" s="82" t="s">
        <v>61</v>
      </c>
      <c r="D444" s="82" t="s">
        <v>1000</v>
      </c>
      <c r="E444" s="83">
        <v>405.53100000000001</v>
      </c>
      <c r="F444" s="82" t="s">
        <v>869</v>
      </c>
      <c r="G444" s="82" t="str">
        <f t="shared" si="15"/>
        <v>GVP1-PR73</v>
      </c>
    </row>
    <row r="445" spans="2:7" ht="14.25" customHeight="1">
      <c r="B445" s="82" t="s">
        <v>878</v>
      </c>
      <c r="C445" s="82" t="s">
        <v>61</v>
      </c>
      <c r="D445" s="82" t="s">
        <v>1000</v>
      </c>
      <c r="E445" s="83">
        <v>443.49099999999999</v>
      </c>
      <c r="F445" s="82" t="s">
        <v>868</v>
      </c>
      <c r="G445" s="82" t="str">
        <f t="shared" si="15"/>
        <v>PR73-PR72</v>
      </c>
    </row>
    <row r="446" spans="2:7" ht="14.25" customHeight="1">
      <c r="B446" s="82" t="s">
        <v>878</v>
      </c>
      <c r="C446" s="82" t="s">
        <v>61</v>
      </c>
      <c r="D446" s="82" t="s">
        <v>1000</v>
      </c>
      <c r="E446" s="83">
        <v>481.45100000000002</v>
      </c>
      <c r="F446" s="82" t="s">
        <v>867</v>
      </c>
      <c r="G446" s="82" t="str">
        <f t="shared" si="15"/>
        <v>PR72-PR71</v>
      </c>
    </row>
    <row r="447" spans="2:7" ht="14.25" customHeight="1">
      <c r="B447" s="82" t="s">
        <v>878</v>
      </c>
      <c r="C447" s="82" t="s">
        <v>61</v>
      </c>
      <c r="D447" s="82" t="s">
        <v>1000</v>
      </c>
      <c r="E447" s="83">
        <v>519.41099999999994</v>
      </c>
      <c r="F447" s="82" t="s">
        <v>866</v>
      </c>
      <c r="G447" s="82" t="str">
        <f t="shared" si="15"/>
        <v>PR71-PR70</v>
      </c>
    </row>
    <row r="448" spans="2:7" ht="14.25" customHeight="1">
      <c r="B448" s="82" t="s">
        <v>878</v>
      </c>
      <c r="C448" s="82" t="s">
        <v>61</v>
      </c>
      <c r="D448" s="82" t="s">
        <v>1000</v>
      </c>
      <c r="E448" s="83">
        <v>557.37099999999998</v>
      </c>
      <c r="F448" s="82" t="s">
        <v>865</v>
      </c>
      <c r="G448" s="82" t="str">
        <f t="shared" si="15"/>
        <v>PR70-PR69</v>
      </c>
    </row>
    <row r="449" spans="2:7" ht="14.25" customHeight="1">
      <c r="B449" s="82" t="s">
        <v>878</v>
      </c>
      <c r="C449" s="82" t="s">
        <v>61</v>
      </c>
      <c r="D449" s="82" t="s">
        <v>1000</v>
      </c>
      <c r="E449" s="83">
        <v>595.33100000000002</v>
      </c>
      <c r="F449" s="82" t="s">
        <v>864</v>
      </c>
      <c r="G449" s="82" t="str">
        <f t="shared" si="15"/>
        <v>PR69-PR68</v>
      </c>
    </row>
    <row r="450" spans="2:7" ht="14.25" customHeight="1"/>
    <row r="451" spans="2:7" ht="14.25" customHeight="1"/>
    <row r="452" spans="2:7" ht="14.25" customHeight="1"/>
    <row r="453" spans="2:7" ht="14.25" customHeight="1"/>
    <row r="454" spans="2:7" ht="14.25" customHeight="1"/>
    <row r="455" spans="2:7" ht="14.25" customHeight="1"/>
    <row r="456" spans="2:7" ht="14.25" customHeight="1"/>
    <row r="457" spans="2:7" ht="14.25" customHeight="1"/>
    <row r="458" spans="2:7" ht="14.25" customHeight="1"/>
    <row r="459" spans="2:7" ht="14.25" customHeight="1"/>
    <row r="460" spans="2:7" ht="14.25" customHeight="1"/>
    <row r="461" spans="2:7" ht="14.25" customHeight="1"/>
    <row r="462" spans="2:7" ht="14.25" customHeight="1"/>
    <row r="463" spans="2:7" ht="14.25" customHeight="1"/>
    <row r="464" spans="2:7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G3:G4"/>
    <mergeCell ref="B3:B4"/>
    <mergeCell ref="C3:C4"/>
    <mergeCell ref="D3:D4"/>
    <mergeCell ref="E3:E4"/>
    <mergeCell ref="F3:F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G1789"/>
  <sheetViews>
    <sheetView showGridLines="0" workbookViewId="0">
      <selection activeCell="I8" sqref="I8"/>
    </sheetView>
  </sheetViews>
  <sheetFormatPr defaultColWidth="14.44140625" defaultRowHeight="15" customHeight="1"/>
  <cols>
    <col min="1" max="1" width="8.6640625" customWidth="1"/>
    <col min="2" max="3" width="13.109375" customWidth="1"/>
    <col min="4" max="4" width="9.6640625" customWidth="1"/>
    <col min="5" max="5" width="10.5546875" customWidth="1"/>
    <col min="6" max="6" width="11.33203125" customWidth="1"/>
    <col min="7" max="7" width="11.6640625" customWidth="1"/>
    <col min="8" max="26" width="8.6640625" customWidth="1"/>
  </cols>
  <sheetData>
    <row r="1" spans="2:7" ht="14.25" customHeight="1"/>
    <row r="2" spans="2:7" ht="14.25" customHeight="1"/>
    <row r="3" spans="2:7" ht="14.25" customHeight="1">
      <c r="B3" s="87" t="s">
        <v>3</v>
      </c>
      <c r="C3" s="87" t="s">
        <v>1108</v>
      </c>
      <c r="D3" s="87" t="s">
        <v>126</v>
      </c>
      <c r="E3" s="87" t="s">
        <v>1109</v>
      </c>
      <c r="F3" s="87" t="s">
        <v>75</v>
      </c>
      <c r="G3" s="87" t="s">
        <v>81</v>
      </c>
    </row>
    <row r="4" spans="2:7" ht="14.25" customHeight="1">
      <c r="B4" s="88" t="s">
        <v>677</v>
      </c>
      <c r="C4" s="89"/>
      <c r="D4" s="90" t="s">
        <v>880</v>
      </c>
      <c r="E4" s="90" t="s">
        <v>880</v>
      </c>
      <c r="F4" s="90" t="s">
        <v>880</v>
      </c>
      <c r="G4" s="90" t="s">
        <v>880</v>
      </c>
    </row>
    <row r="5" spans="2:7" ht="14.25" customHeight="1">
      <c r="B5" s="88" t="s">
        <v>677</v>
      </c>
      <c r="C5" s="89"/>
      <c r="D5" s="89"/>
      <c r="E5" s="89" t="s">
        <v>1110</v>
      </c>
      <c r="F5" s="89"/>
      <c r="G5" s="5"/>
    </row>
    <row r="6" spans="2:7" ht="14.25" customHeight="1">
      <c r="B6" s="88" t="s">
        <v>677</v>
      </c>
      <c r="C6" s="89"/>
      <c r="D6" s="89"/>
      <c r="E6" s="89" t="s">
        <v>1111</v>
      </c>
      <c r="F6" s="89"/>
      <c r="G6" s="5"/>
    </row>
    <row r="7" spans="2:7" ht="14.25" customHeight="1">
      <c r="B7" s="88" t="s">
        <v>677</v>
      </c>
      <c r="C7" s="89"/>
      <c r="D7" s="89"/>
      <c r="E7" s="89" t="s">
        <v>1112</v>
      </c>
      <c r="F7" s="89"/>
      <c r="G7" s="5"/>
    </row>
    <row r="8" spans="2:7" ht="14.25" customHeight="1">
      <c r="B8" s="88" t="s">
        <v>677</v>
      </c>
      <c r="C8" s="89"/>
      <c r="D8" s="89"/>
      <c r="E8" s="89" t="s">
        <v>1113</v>
      </c>
      <c r="F8" s="89"/>
      <c r="G8" s="5"/>
    </row>
    <row r="9" spans="2:7" ht="14.25" customHeight="1">
      <c r="B9" s="88" t="s">
        <v>677</v>
      </c>
      <c r="C9" s="89"/>
      <c r="D9" s="90" t="s">
        <v>881</v>
      </c>
      <c r="E9" s="90" t="s">
        <v>881</v>
      </c>
      <c r="F9" s="90" t="s">
        <v>881</v>
      </c>
      <c r="G9" s="90" t="s">
        <v>881</v>
      </c>
    </row>
    <row r="10" spans="2:7" ht="14.25" customHeight="1">
      <c r="B10" s="88" t="s">
        <v>677</v>
      </c>
      <c r="C10" s="89"/>
      <c r="D10" s="89"/>
      <c r="E10" s="89" t="s">
        <v>1114</v>
      </c>
      <c r="F10" s="89"/>
      <c r="G10" s="5"/>
    </row>
    <row r="11" spans="2:7" ht="14.25" customHeight="1">
      <c r="B11" s="88" t="s">
        <v>677</v>
      </c>
      <c r="C11" s="89"/>
      <c r="D11" s="89"/>
      <c r="E11" s="89" t="s">
        <v>1115</v>
      </c>
      <c r="F11" s="89"/>
      <c r="G11" s="5"/>
    </row>
    <row r="12" spans="2:7" ht="14.25" customHeight="1">
      <c r="B12" s="88" t="s">
        <v>677</v>
      </c>
      <c r="C12" s="89"/>
      <c r="D12" s="89"/>
      <c r="E12" s="89" t="s">
        <v>1116</v>
      </c>
      <c r="F12" s="89"/>
      <c r="G12" s="5"/>
    </row>
    <row r="13" spans="2:7" ht="14.25" customHeight="1">
      <c r="B13" s="88" t="s">
        <v>677</v>
      </c>
      <c r="C13" s="89"/>
      <c r="D13" s="89"/>
      <c r="E13" s="89" t="s">
        <v>1117</v>
      </c>
      <c r="F13" s="89"/>
      <c r="G13" s="5"/>
    </row>
    <row r="14" spans="2:7" ht="14.25" customHeight="1">
      <c r="B14" s="88" t="s">
        <v>677</v>
      </c>
      <c r="C14" s="89"/>
      <c r="D14" s="90" t="s">
        <v>882</v>
      </c>
      <c r="E14" s="90" t="s">
        <v>882</v>
      </c>
      <c r="F14" s="90" t="s">
        <v>882</v>
      </c>
      <c r="G14" s="90" t="s">
        <v>882</v>
      </c>
    </row>
    <row r="15" spans="2:7" ht="14.25" customHeight="1">
      <c r="B15" s="88" t="s">
        <v>677</v>
      </c>
      <c r="C15" s="89"/>
      <c r="D15" s="89"/>
      <c r="E15" s="89" t="s">
        <v>1118</v>
      </c>
      <c r="F15" s="89"/>
      <c r="G15" s="5"/>
    </row>
    <row r="16" spans="2:7" ht="14.25" customHeight="1">
      <c r="B16" s="88" t="s">
        <v>677</v>
      </c>
      <c r="C16" s="89"/>
      <c r="D16" s="89"/>
      <c r="E16" s="89" t="s">
        <v>1119</v>
      </c>
      <c r="F16" s="89"/>
      <c r="G16" s="5"/>
    </row>
    <row r="17" spans="2:7" ht="14.25" customHeight="1">
      <c r="B17" s="88" t="s">
        <v>677</v>
      </c>
      <c r="C17" s="89"/>
      <c r="D17" s="89"/>
      <c r="E17" s="89" t="s">
        <v>1120</v>
      </c>
      <c r="F17" s="89"/>
      <c r="G17" s="5"/>
    </row>
    <row r="18" spans="2:7" ht="14.25" customHeight="1">
      <c r="B18" s="88" t="s">
        <v>677</v>
      </c>
      <c r="C18" s="89"/>
      <c r="D18" s="89"/>
      <c r="E18" s="89" t="s">
        <v>1121</v>
      </c>
      <c r="F18" s="89"/>
      <c r="G18" s="5"/>
    </row>
    <row r="19" spans="2:7" ht="14.25" customHeight="1">
      <c r="B19" s="88" t="s">
        <v>677</v>
      </c>
      <c r="C19" s="89"/>
      <c r="D19" s="90" t="s">
        <v>883</v>
      </c>
      <c r="E19" s="90" t="s">
        <v>883</v>
      </c>
      <c r="F19" s="90" t="s">
        <v>883</v>
      </c>
      <c r="G19" s="90" t="s">
        <v>883</v>
      </c>
    </row>
    <row r="20" spans="2:7" ht="14.25" customHeight="1">
      <c r="B20" s="88" t="s">
        <v>677</v>
      </c>
      <c r="C20" s="89"/>
      <c r="D20" s="89"/>
      <c r="E20" s="89" t="s">
        <v>1122</v>
      </c>
      <c r="F20" s="89"/>
      <c r="G20" s="5"/>
    </row>
    <row r="21" spans="2:7" ht="14.25" customHeight="1">
      <c r="B21" s="88" t="s">
        <v>677</v>
      </c>
      <c r="C21" s="89"/>
      <c r="D21" s="89"/>
      <c r="E21" s="89" t="s">
        <v>1123</v>
      </c>
      <c r="F21" s="89"/>
      <c r="G21" s="5"/>
    </row>
    <row r="22" spans="2:7" ht="14.25" customHeight="1">
      <c r="B22" s="88" t="s">
        <v>677</v>
      </c>
      <c r="C22" s="89"/>
      <c r="D22" s="89"/>
      <c r="E22" s="89" t="s">
        <v>1124</v>
      </c>
      <c r="F22" s="89"/>
      <c r="G22" s="5"/>
    </row>
    <row r="23" spans="2:7" ht="14.25" customHeight="1">
      <c r="B23" s="88" t="s">
        <v>677</v>
      </c>
      <c r="C23" s="89"/>
      <c r="D23" s="89"/>
      <c r="E23" s="89" t="s">
        <v>1125</v>
      </c>
      <c r="F23" s="89"/>
      <c r="G23" s="5"/>
    </row>
    <row r="24" spans="2:7" ht="14.25" customHeight="1">
      <c r="B24" s="88" t="s">
        <v>677</v>
      </c>
      <c r="C24" s="89"/>
      <c r="D24" s="90" t="s">
        <v>884</v>
      </c>
      <c r="E24" s="90" t="s">
        <v>884</v>
      </c>
      <c r="F24" s="90" t="s">
        <v>884</v>
      </c>
      <c r="G24" s="90" t="s">
        <v>884</v>
      </c>
    </row>
    <row r="25" spans="2:7" ht="14.25" customHeight="1">
      <c r="B25" s="88" t="s">
        <v>677</v>
      </c>
      <c r="C25" s="89"/>
      <c r="D25" s="89"/>
      <c r="E25" s="89" t="s">
        <v>1126</v>
      </c>
      <c r="F25" s="89"/>
      <c r="G25" s="5"/>
    </row>
    <row r="26" spans="2:7" ht="14.25" customHeight="1">
      <c r="B26" s="88" t="s">
        <v>677</v>
      </c>
      <c r="C26" s="89"/>
      <c r="D26" s="89"/>
      <c r="E26" s="89" t="s">
        <v>1127</v>
      </c>
      <c r="F26" s="89"/>
      <c r="G26" s="5"/>
    </row>
    <row r="27" spans="2:7" ht="14.25" customHeight="1">
      <c r="B27" s="88" t="s">
        <v>677</v>
      </c>
      <c r="C27" s="89"/>
      <c r="D27" s="89"/>
      <c r="E27" s="89" t="s">
        <v>1128</v>
      </c>
      <c r="F27" s="89"/>
      <c r="G27" s="5"/>
    </row>
    <row r="28" spans="2:7" ht="14.25" customHeight="1">
      <c r="B28" s="88" t="s">
        <v>677</v>
      </c>
      <c r="C28" s="89"/>
      <c r="D28" s="89"/>
      <c r="E28" s="89" t="s">
        <v>1129</v>
      </c>
      <c r="F28" s="89"/>
      <c r="G28" s="5"/>
    </row>
    <row r="29" spans="2:7" ht="14.25" customHeight="1">
      <c r="B29" s="88" t="s">
        <v>677</v>
      </c>
      <c r="C29" s="89"/>
      <c r="D29" s="90" t="s">
        <v>885</v>
      </c>
      <c r="E29" s="90" t="s">
        <v>885</v>
      </c>
      <c r="F29" s="90" t="s">
        <v>885</v>
      </c>
      <c r="G29" s="90" t="s">
        <v>885</v>
      </c>
    </row>
    <row r="30" spans="2:7" ht="14.25" customHeight="1">
      <c r="B30" s="88" t="s">
        <v>677</v>
      </c>
      <c r="C30" s="89"/>
      <c r="D30" s="89"/>
      <c r="E30" s="89" t="s">
        <v>1130</v>
      </c>
      <c r="F30" s="89"/>
      <c r="G30" s="5"/>
    </row>
    <row r="31" spans="2:7" ht="14.25" customHeight="1">
      <c r="B31" s="88" t="s">
        <v>677</v>
      </c>
      <c r="C31" s="89"/>
      <c r="D31" s="89"/>
      <c r="E31" s="89" t="s">
        <v>1131</v>
      </c>
      <c r="F31" s="89"/>
      <c r="G31" s="5"/>
    </row>
    <row r="32" spans="2:7" ht="14.25" customHeight="1">
      <c r="B32" s="88" t="s">
        <v>677</v>
      </c>
      <c r="C32" s="89"/>
      <c r="D32" s="89"/>
      <c r="E32" s="89" t="s">
        <v>1132</v>
      </c>
      <c r="F32" s="89"/>
      <c r="G32" s="5"/>
    </row>
    <row r="33" spans="2:7" ht="14.25" customHeight="1">
      <c r="B33" s="88" t="s">
        <v>677</v>
      </c>
      <c r="C33" s="89"/>
      <c r="D33" s="89"/>
      <c r="E33" s="89" t="s">
        <v>1133</v>
      </c>
      <c r="F33" s="89"/>
      <c r="G33" s="5"/>
    </row>
    <row r="34" spans="2:7" ht="14.25" customHeight="1">
      <c r="B34" s="88" t="s">
        <v>677</v>
      </c>
      <c r="C34" s="89"/>
      <c r="D34" s="90" t="s">
        <v>886</v>
      </c>
      <c r="E34" s="90" t="s">
        <v>886</v>
      </c>
      <c r="F34" s="90" t="s">
        <v>886</v>
      </c>
      <c r="G34" s="90" t="s">
        <v>886</v>
      </c>
    </row>
    <row r="35" spans="2:7" ht="14.25" customHeight="1">
      <c r="B35" s="88" t="s">
        <v>677</v>
      </c>
      <c r="C35" s="89"/>
      <c r="D35" s="89"/>
      <c r="E35" s="89" t="s">
        <v>1134</v>
      </c>
      <c r="F35" s="89"/>
      <c r="G35" s="5"/>
    </row>
    <row r="36" spans="2:7" ht="14.25" customHeight="1">
      <c r="B36" s="88" t="s">
        <v>677</v>
      </c>
      <c r="C36" s="89"/>
      <c r="D36" s="89"/>
      <c r="E36" s="89" t="s">
        <v>1135</v>
      </c>
      <c r="F36" s="89"/>
      <c r="G36" s="5"/>
    </row>
    <row r="37" spans="2:7" ht="14.25" customHeight="1">
      <c r="B37" s="88" t="s">
        <v>677</v>
      </c>
      <c r="C37" s="89"/>
      <c r="D37" s="89"/>
      <c r="E37" s="89" t="s">
        <v>1136</v>
      </c>
      <c r="F37" s="89"/>
      <c r="G37" s="5"/>
    </row>
    <row r="38" spans="2:7" ht="14.25" customHeight="1">
      <c r="B38" s="88" t="s">
        <v>677</v>
      </c>
      <c r="C38" s="89"/>
      <c r="D38" s="89"/>
      <c r="E38" s="89" t="s">
        <v>1137</v>
      </c>
      <c r="F38" s="89"/>
      <c r="G38" s="5"/>
    </row>
    <row r="39" spans="2:7" ht="14.25" customHeight="1">
      <c r="B39" s="88" t="s">
        <v>677</v>
      </c>
      <c r="C39" s="89"/>
      <c r="D39" s="90" t="s">
        <v>887</v>
      </c>
      <c r="E39" s="90" t="s">
        <v>887</v>
      </c>
      <c r="F39" s="90" t="s">
        <v>887</v>
      </c>
      <c r="G39" s="90" t="s">
        <v>887</v>
      </c>
    </row>
    <row r="40" spans="2:7" ht="14.25" customHeight="1">
      <c r="B40" s="88" t="s">
        <v>677</v>
      </c>
      <c r="C40" s="89"/>
      <c r="D40" s="89"/>
      <c r="E40" s="89" t="s">
        <v>1138</v>
      </c>
      <c r="F40" s="89"/>
      <c r="G40" s="5"/>
    </row>
    <row r="41" spans="2:7" ht="14.25" customHeight="1">
      <c r="B41" s="88" t="s">
        <v>677</v>
      </c>
      <c r="C41" s="89"/>
      <c r="D41" s="89"/>
      <c r="E41" s="89" t="s">
        <v>1139</v>
      </c>
      <c r="F41" s="89"/>
      <c r="G41" s="5"/>
    </row>
    <row r="42" spans="2:7" ht="14.25" customHeight="1">
      <c r="B42" s="88" t="s">
        <v>677</v>
      </c>
      <c r="C42" s="89"/>
      <c r="D42" s="89"/>
      <c r="E42" s="89" t="s">
        <v>1140</v>
      </c>
      <c r="F42" s="89"/>
      <c r="G42" s="5"/>
    </row>
    <row r="43" spans="2:7" ht="14.25" customHeight="1">
      <c r="B43" s="88" t="s">
        <v>677</v>
      </c>
      <c r="C43" s="89"/>
      <c r="D43" s="89"/>
      <c r="E43" s="89" t="s">
        <v>1141</v>
      </c>
      <c r="F43" s="89"/>
      <c r="G43" s="5"/>
    </row>
    <row r="44" spans="2:7" ht="14.25" customHeight="1">
      <c r="B44" s="88" t="s">
        <v>677</v>
      </c>
      <c r="C44" s="89"/>
      <c r="D44" s="90" t="s">
        <v>888</v>
      </c>
      <c r="E44" s="90" t="s">
        <v>888</v>
      </c>
      <c r="F44" s="90" t="s">
        <v>888</v>
      </c>
      <c r="G44" s="90" t="s">
        <v>888</v>
      </c>
    </row>
    <row r="45" spans="2:7" ht="14.25" customHeight="1">
      <c r="B45" s="88" t="s">
        <v>677</v>
      </c>
      <c r="C45" s="89"/>
      <c r="D45" s="89"/>
      <c r="E45" s="89" t="s">
        <v>1142</v>
      </c>
      <c r="F45" s="89"/>
      <c r="G45" s="5"/>
    </row>
    <row r="46" spans="2:7" ht="14.25" customHeight="1">
      <c r="B46" s="88" t="s">
        <v>677</v>
      </c>
      <c r="C46" s="89"/>
      <c r="D46" s="89"/>
      <c r="E46" s="89" t="s">
        <v>1143</v>
      </c>
      <c r="F46" s="89"/>
      <c r="G46" s="5"/>
    </row>
    <row r="47" spans="2:7" ht="14.25" customHeight="1">
      <c r="B47" s="88" t="s">
        <v>677</v>
      </c>
      <c r="C47" s="89"/>
      <c r="D47" s="89"/>
      <c r="E47" s="89" t="s">
        <v>1144</v>
      </c>
      <c r="F47" s="89"/>
      <c r="G47" s="5"/>
    </row>
    <row r="48" spans="2:7" ht="14.25" customHeight="1">
      <c r="B48" s="88" t="s">
        <v>677</v>
      </c>
      <c r="C48" s="89"/>
      <c r="D48" s="89"/>
      <c r="E48" s="89" t="s">
        <v>1145</v>
      </c>
      <c r="F48" s="89"/>
      <c r="G48" s="5"/>
    </row>
    <row r="49" spans="2:7" ht="14.25" customHeight="1">
      <c r="B49" s="88" t="s">
        <v>677</v>
      </c>
      <c r="C49" s="89"/>
      <c r="D49" s="89"/>
      <c r="E49" s="89" t="s">
        <v>1146</v>
      </c>
      <c r="F49" s="89"/>
      <c r="G49" s="5"/>
    </row>
    <row r="50" spans="2:7" ht="14.25" customHeight="1">
      <c r="B50" s="88" t="s">
        <v>677</v>
      </c>
      <c r="C50" s="89"/>
      <c r="D50" s="89"/>
      <c r="E50" s="89" t="s">
        <v>1147</v>
      </c>
      <c r="F50" s="89"/>
      <c r="G50" s="5"/>
    </row>
    <row r="51" spans="2:7" ht="14.25" customHeight="1">
      <c r="B51" s="88" t="s">
        <v>677</v>
      </c>
      <c r="C51" s="89"/>
      <c r="D51" s="90" t="s">
        <v>889</v>
      </c>
      <c r="E51" s="90" t="s">
        <v>889</v>
      </c>
      <c r="F51" s="90" t="s">
        <v>889</v>
      </c>
      <c r="G51" s="90" t="s">
        <v>889</v>
      </c>
    </row>
    <row r="52" spans="2:7" ht="14.25" customHeight="1">
      <c r="B52" s="88" t="s">
        <v>677</v>
      </c>
      <c r="C52" s="89"/>
      <c r="D52" s="89"/>
      <c r="E52" s="89" t="s">
        <v>1148</v>
      </c>
      <c r="F52" s="89"/>
      <c r="G52" s="5"/>
    </row>
    <row r="53" spans="2:7" ht="14.25" customHeight="1">
      <c r="B53" s="88" t="s">
        <v>677</v>
      </c>
      <c r="C53" s="89"/>
      <c r="D53" s="89"/>
      <c r="E53" s="89" t="s">
        <v>1149</v>
      </c>
      <c r="F53" s="89"/>
      <c r="G53" s="5"/>
    </row>
    <row r="54" spans="2:7" ht="14.25" customHeight="1">
      <c r="B54" s="88" t="s">
        <v>677</v>
      </c>
      <c r="C54" s="89"/>
      <c r="D54" s="89"/>
      <c r="E54" s="89" t="s">
        <v>1150</v>
      </c>
      <c r="F54" s="89"/>
      <c r="G54" s="5"/>
    </row>
    <row r="55" spans="2:7" ht="14.25" customHeight="1">
      <c r="B55" s="88" t="s">
        <v>677</v>
      </c>
      <c r="C55" s="89"/>
      <c r="D55" s="90" t="s">
        <v>890</v>
      </c>
      <c r="E55" s="90" t="s">
        <v>890</v>
      </c>
      <c r="F55" s="90" t="s">
        <v>890</v>
      </c>
      <c r="G55" s="90" t="s">
        <v>890</v>
      </c>
    </row>
    <row r="56" spans="2:7" ht="14.25" customHeight="1">
      <c r="B56" s="88" t="s">
        <v>677</v>
      </c>
      <c r="C56" s="89"/>
      <c r="D56" s="89"/>
      <c r="E56" s="89" t="s">
        <v>1151</v>
      </c>
      <c r="F56" s="89"/>
      <c r="G56" s="5"/>
    </row>
    <row r="57" spans="2:7" ht="14.25" customHeight="1">
      <c r="B57" s="88" t="s">
        <v>677</v>
      </c>
      <c r="C57" s="89"/>
      <c r="D57" s="89"/>
      <c r="E57" s="89" t="s">
        <v>1152</v>
      </c>
      <c r="F57" s="89"/>
      <c r="G57" s="5"/>
    </row>
    <row r="58" spans="2:7" ht="14.25" customHeight="1">
      <c r="B58" s="88" t="s">
        <v>677</v>
      </c>
      <c r="C58" s="89"/>
      <c r="D58" s="89"/>
      <c r="E58" s="89" t="s">
        <v>1153</v>
      </c>
      <c r="F58" s="89"/>
      <c r="G58" s="5"/>
    </row>
    <row r="59" spans="2:7" ht="14.25" customHeight="1">
      <c r="B59" s="88" t="s">
        <v>677</v>
      </c>
      <c r="C59" s="89"/>
      <c r="D59" s="90" t="s">
        <v>891</v>
      </c>
      <c r="E59" s="90" t="s">
        <v>891</v>
      </c>
      <c r="F59" s="90" t="s">
        <v>891</v>
      </c>
      <c r="G59" s="90" t="s">
        <v>891</v>
      </c>
    </row>
    <row r="60" spans="2:7" ht="14.25" customHeight="1">
      <c r="B60" s="88" t="s">
        <v>677</v>
      </c>
      <c r="C60" s="89"/>
      <c r="D60" s="89"/>
      <c r="E60" s="89" t="s">
        <v>1154</v>
      </c>
      <c r="F60" s="89"/>
      <c r="G60" s="5"/>
    </row>
    <row r="61" spans="2:7" ht="14.25" customHeight="1">
      <c r="B61" s="88" t="s">
        <v>677</v>
      </c>
      <c r="C61" s="89"/>
      <c r="D61" s="89"/>
      <c r="E61" s="89" t="s">
        <v>1155</v>
      </c>
      <c r="F61" s="89"/>
      <c r="G61" s="5"/>
    </row>
    <row r="62" spans="2:7" ht="14.25" customHeight="1">
      <c r="B62" s="88" t="s">
        <v>677</v>
      </c>
      <c r="C62" s="89"/>
      <c r="D62" s="89"/>
      <c r="E62" s="89" t="s">
        <v>1156</v>
      </c>
      <c r="F62" s="89"/>
      <c r="G62" s="5"/>
    </row>
    <row r="63" spans="2:7" ht="14.25" customHeight="1">
      <c r="B63" s="88" t="s">
        <v>677</v>
      </c>
      <c r="C63" s="89"/>
      <c r="D63" s="90" t="s">
        <v>892</v>
      </c>
      <c r="E63" s="90" t="s">
        <v>892</v>
      </c>
      <c r="F63" s="90" t="s">
        <v>892</v>
      </c>
      <c r="G63" s="90" t="s">
        <v>892</v>
      </c>
    </row>
    <row r="64" spans="2:7" ht="14.25" customHeight="1">
      <c r="B64" s="88" t="s">
        <v>677</v>
      </c>
      <c r="C64" s="89"/>
      <c r="D64" s="89"/>
      <c r="E64" s="89" t="s">
        <v>1157</v>
      </c>
      <c r="F64" s="89"/>
      <c r="G64" s="5"/>
    </row>
    <row r="65" spans="2:7" ht="14.25" customHeight="1">
      <c r="B65" s="88" t="s">
        <v>677</v>
      </c>
      <c r="C65" s="89"/>
      <c r="D65" s="89"/>
      <c r="E65" s="89" t="s">
        <v>1158</v>
      </c>
      <c r="F65" s="89"/>
      <c r="G65" s="5"/>
    </row>
    <row r="66" spans="2:7" ht="14.25" customHeight="1">
      <c r="B66" s="88" t="s">
        <v>677</v>
      </c>
      <c r="C66" s="89"/>
      <c r="D66" s="89"/>
      <c r="E66" s="89" t="s">
        <v>1159</v>
      </c>
      <c r="F66" s="89"/>
      <c r="G66" s="5"/>
    </row>
    <row r="67" spans="2:7" ht="14.25" customHeight="1">
      <c r="B67" s="88" t="s">
        <v>677</v>
      </c>
      <c r="C67" s="89"/>
      <c r="D67" s="89"/>
      <c r="E67" s="89" t="s">
        <v>1160</v>
      </c>
      <c r="F67" s="89"/>
      <c r="G67" s="5"/>
    </row>
    <row r="68" spans="2:7" ht="14.25" customHeight="1">
      <c r="B68" s="88" t="s">
        <v>677</v>
      </c>
      <c r="C68" s="89"/>
      <c r="D68" s="89"/>
      <c r="E68" s="89" t="s">
        <v>1161</v>
      </c>
      <c r="F68" s="89"/>
      <c r="G68" s="5"/>
    </row>
    <row r="69" spans="2:7" ht="14.25" customHeight="1">
      <c r="B69" s="88" t="s">
        <v>677</v>
      </c>
      <c r="C69" s="89"/>
      <c r="D69" s="89"/>
      <c r="E69" s="89" t="s">
        <v>1162</v>
      </c>
      <c r="F69" s="89"/>
      <c r="G69" s="5"/>
    </row>
    <row r="70" spans="2:7" ht="14.25" customHeight="1">
      <c r="B70" s="88" t="s">
        <v>677</v>
      </c>
      <c r="C70" s="89"/>
      <c r="D70" s="90" t="s">
        <v>893</v>
      </c>
      <c r="E70" s="90" t="s">
        <v>893</v>
      </c>
      <c r="F70" s="90" t="s">
        <v>893</v>
      </c>
      <c r="G70" s="90" t="s">
        <v>893</v>
      </c>
    </row>
    <row r="71" spans="2:7" ht="14.25" customHeight="1">
      <c r="B71" s="88" t="s">
        <v>677</v>
      </c>
      <c r="C71" s="89"/>
      <c r="D71" s="89"/>
      <c r="E71" s="89" t="s">
        <v>1163</v>
      </c>
      <c r="F71" s="89"/>
      <c r="G71" s="5"/>
    </row>
    <row r="72" spans="2:7" ht="14.25" customHeight="1">
      <c r="B72" s="88" t="s">
        <v>677</v>
      </c>
      <c r="C72" s="89"/>
      <c r="D72" s="89"/>
      <c r="E72" s="89" t="s">
        <v>1164</v>
      </c>
      <c r="F72" s="89"/>
      <c r="G72" s="5"/>
    </row>
    <row r="73" spans="2:7" ht="14.25" customHeight="1">
      <c r="B73" s="88" t="s">
        <v>677</v>
      </c>
      <c r="C73" s="89"/>
      <c r="D73" s="89"/>
      <c r="E73" s="89" t="s">
        <v>1165</v>
      </c>
      <c r="F73" s="89"/>
      <c r="G73" s="5"/>
    </row>
    <row r="74" spans="2:7" ht="14.25" customHeight="1">
      <c r="B74" s="88" t="s">
        <v>677</v>
      </c>
      <c r="C74" s="89"/>
      <c r="D74" s="90" t="s">
        <v>894</v>
      </c>
      <c r="E74" s="90" t="s">
        <v>894</v>
      </c>
      <c r="F74" s="90" t="s">
        <v>894</v>
      </c>
      <c r="G74" s="90" t="s">
        <v>894</v>
      </c>
    </row>
    <row r="75" spans="2:7" ht="14.25" customHeight="1">
      <c r="B75" s="88" t="s">
        <v>677</v>
      </c>
      <c r="C75" s="89"/>
      <c r="D75" s="89"/>
      <c r="E75" s="89" t="s">
        <v>1166</v>
      </c>
      <c r="F75" s="89"/>
      <c r="G75" s="5"/>
    </row>
    <row r="76" spans="2:7" ht="14.25" customHeight="1">
      <c r="B76" s="88" t="s">
        <v>677</v>
      </c>
      <c r="C76" s="89"/>
      <c r="D76" s="89"/>
      <c r="E76" s="89" t="s">
        <v>1167</v>
      </c>
      <c r="F76" s="89"/>
      <c r="G76" s="5"/>
    </row>
    <row r="77" spans="2:7" ht="14.25" customHeight="1">
      <c r="B77" s="88" t="s">
        <v>677</v>
      </c>
      <c r="C77" s="89"/>
      <c r="D77" s="89"/>
      <c r="E77" s="89" t="s">
        <v>1168</v>
      </c>
      <c r="F77" s="89"/>
      <c r="G77" s="5"/>
    </row>
    <row r="78" spans="2:7" ht="14.25" customHeight="1">
      <c r="B78" s="88" t="s">
        <v>677</v>
      </c>
      <c r="C78" s="89"/>
      <c r="D78" s="90" t="s">
        <v>895</v>
      </c>
      <c r="E78" s="90" t="s">
        <v>895</v>
      </c>
      <c r="F78" s="90" t="s">
        <v>895</v>
      </c>
      <c r="G78" s="90" t="s">
        <v>895</v>
      </c>
    </row>
    <row r="79" spans="2:7" ht="14.25" customHeight="1">
      <c r="B79" s="88" t="s">
        <v>677</v>
      </c>
      <c r="C79" s="89"/>
      <c r="D79" s="89"/>
      <c r="E79" s="89" t="s">
        <v>1169</v>
      </c>
      <c r="F79" s="89"/>
      <c r="G79" s="5"/>
    </row>
    <row r="80" spans="2:7" ht="14.25" customHeight="1">
      <c r="B80" s="88" t="s">
        <v>677</v>
      </c>
      <c r="C80" s="89"/>
      <c r="D80" s="89"/>
      <c r="E80" s="89" t="s">
        <v>1170</v>
      </c>
      <c r="F80" s="89"/>
      <c r="G80" s="5"/>
    </row>
    <row r="81" spans="2:7" ht="14.25" customHeight="1">
      <c r="B81" s="88" t="s">
        <v>677</v>
      </c>
      <c r="C81" s="89"/>
      <c r="D81" s="89"/>
      <c r="E81" s="89" t="s">
        <v>1171</v>
      </c>
      <c r="F81" s="89"/>
      <c r="G81" s="5"/>
    </row>
    <row r="82" spans="2:7" ht="14.25" customHeight="1">
      <c r="B82" s="88" t="s">
        <v>677</v>
      </c>
      <c r="C82" s="89"/>
      <c r="D82" s="90" t="s">
        <v>896</v>
      </c>
      <c r="E82" s="90" t="s">
        <v>896</v>
      </c>
      <c r="F82" s="90" t="s">
        <v>896</v>
      </c>
      <c r="G82" s="90" t="s">
        <v>896</v>
      </c>
    </row>
    <row r="83" spans="2:7" ht="14.25" customHeight="1">
      <c r="B83" s="88" t="s">
        <v>677</v>
      </c>
      <c r="C83" s="89"/>
      <c r="D83" s="89"/>
      <c r="E83" s="89" t="s">
        <v>1172</v>
      </c>
      <c r="F83" s="89"/>
      <c r="G83" s="5"/>
    </row>
    <row r="84" spans="2:7" ht="14.25" customHeight="1">
      <c r="B84" s="88" t="s">
        <v>677</v>
      </c>
      <c r="C84" s="89"/>
      <c r="D84" s="89"/>
      <c r="E84" s="89" t="s">
        <v>1173</v>
      </c>
      <c r="F84" s="89"/>
      <c r="G84" s="5"/>
    </row>
    <row r="85" spans="2:7" ht="14.25" customHeight="1">
      <c r="B85" s="88" t="s">
        <v>677</v>
      </c>
      <c r="C85" s="89"/>
      <c r="D85" s="89"/>
      <c r="E85" s="89" t="s">
        <v>1172</v>
      </c>
      <c r="F85" s="89"/>
      <c r="G85" s="5"/>
    </row>
    <row r="86" spans="2:7" ht="14.25" customHeight="1">
      <c r="B86" s="88" t="s">
        <v>677</v>
      </c>
      <c r="C86" s="89"/>
      <c r="D86" s="89"/>
      <c r="E86" s="89" t="s">
        <v>1172</v>
      </c>
      <c r="F86" s="89"/>
      <c r="G86" s="5"/>
    </row>
    <row r="87" spans="2:7" ht="14.25" customHeight="1">
      <c r="B87" s="88" t="s">
        <v>677</v>
      </c>
      <c r="C87" s="89"/>
      <c r="D87" s="89"/>
      <c r="E87" s="89" t="s">
        <v>1172</v>
      </c>
      <c r="F87" s="89"/>
      <c r="G87" s="5"/>
    </row>
    <row r="88" spans="2:7" ht="14.25" customHeight="1">
      <c r="B88" s="88" t="s">
        <v>677</v>
      </c>
      <c r="C88" s="89"/>
      <c r="D88" s="89"/>
      <c r="E88" s="89" t="s">
        <v>1172</v>
      </c>
      <c r="F88" s="89"/>
      <c r="G88" s="5"/>
    </row>
    <row r="89" spans="2:7" ht="14.25" customHeight="1">
      <c r="B89" s="88" t="s">
        <v>677</v>
      </c>
      <c r="C89" s="89"/>
      <c r="D89" s="90" t="s">
        <v>897</v>
      </c>
      <c r="E89" s="90" t="s">
        <v>897</v>
      </c>
      <c r="F89" s="90" t="s">
        <v>897</v>
      </c>
      <c r="G89" s="90" t="s">
        <v>897</v>
      </c>
    </row>
    <row r="90" spans="2:7" ht="14.25" customHeight="1">
      <c r="B90" s="88" t="s">
        <v>677</v>
      </c>
      <c r="C90" s="89"/>
      <c r="D90" s="89"/>
      <c r="E90" s="89" t="s">
        <v>1174</v>
      </c>
      <c r="F90" s="89"/>
      <c r="G90" s="5"/>
    </row>
    <row r="91" spans="2:7" ht="14.25" customHeight="1">
      <c r="B91" s="88" t="s">
        <v>677</v>
      </c>
      <c r="C91" s="89"/>
      <c r="D91" s="89"/>
      <c r="E91" s="89" t="s">
        <v>1175</v>
      </c>
      <c r="F91" s="89"/>
      <c r="G91" s="5"/>
    </row>
    <row r="92" spans="2:7" ht="14.25" customHeight="1">
      <c r="B92" s="88" t="s">
        <v>677</v>
      </c>
      <c r="C92" s="89"/>
      <c r="D92" s="89"/>
      <c r="E92" s="89" t="s">
        <v>1176</v>
      </c>
      <c r="F92" s="89"/>
      <c r="G92" s="5"/>
    </row>
    <row r="93" spans="2:7" ht="14.25" customHeight="1">
      <c r="B93" s="88" t="s">
        <v>677</v>
      </c>
      <c r="C93" s="89"/>
      <c r="D93" s="90" t="s">
        <v>898</v>
      </c>
      <c r="E93" s="90" t="s">
        <v>898</v>
      </c>
      <c r="F93" s="90" t="s">
        <v>898</v>
      </c>
      <c r="G93" s="90" t="s">
        <v>898</v>
      </c>
    </row>
    <row r="94" spans="2:7" ht="14.25" customHeight="1">
      <c r="B94" s="88" t="s">
        <v>677</v>
      </c>
      <c r="C94" s="89"/>
      <c r="D94" s="89"/>
      <c r="E94" s="89" t="s">
        <v>1177</v>
      </c>
      <c r="F94" s="89"/>
      <c r="G94" s="5"/>
    </row>
    <row r="95" spans="2:7" ht="14.25" customHeight="1">
      <c r="B95" s="88" t="s">
        <v>677</v>
      </c>
      <c r="C95" s="89"/>
      <c r="D95" s="89"/>
      <c r="E95" s="89" t="s">
        <v>1178</v>
      </c>
      <c r="F95" s="89"/>
      <c r="G95" s="5"/>
    </row>
    <row r="96" spans="2:7" ht="14.25" customHeight="1">
      <c r="B96" s="88" t="s">
        <v>677</v>
      </c>
      <c r="C96" s="89"/>
      <c r="D96" s="89"/>
      <c r="E96" s="89" t="s">
        <v>1179</v>
      </c>
      <c r="F96" s="89"/>
      <c r="G96" s="5"/>
    </row>
    <row r="97" spans="2:7" ht="14.25" customHeight="1">
      <c r="B97" s="88" t="s">
        <v>677</v>
      </c>
      <c r="C97" s="89"/>
      <c r="D97" s="89"/>
      <c r="E97" s="89" t="s">
        <v>1180</v>
      </c>
      <c r="F97" s="89"/>
      <c r="G97" s="5"/>
    </row>
    <row r="98" spans="2:7" ht="14.25" customHeight="1">
      <c r="B98" s="88" t="s">
        <v>677</v>
      </c>
      <c r="C98" s="89"/>
      <c r="D98" s="89"/>
      <c r="E98" s="89" t="s">
        <v>1181</v>
      </c>
      <c r="F98" s="89"/>
      <c r="G98" s="5"/>
    </row>
    <row r="99" spans="2:7" ht="14.25" customHeight="1">
      <c r="B99" s="88" t="s">
        <v>677</v>
      </c>
      <c r="C99" s="89"/>
      <c r="D99" s="89"/>
      <c r="E99" s="89" t="s">
        <v>1182</v>
      </c>
      <c r="F99" s="89"/>
      <c r="G99" s="5"/>
    </row>
    <row r="100" spans="2:7" ht="14.25" customHeight="1">
      <c r="B100" s="88" t="s">
        <v>677</v>
      </c>
      <c r="C100" s="89"/>
      <c r="D100" s="90" t="s">
        <v>899</v>
      </c>
      <c r="E100" s="90" t="s">
        <v>899</v>
      </c>
      <c r="F100" s="90" t="s">
        <v>899</v>
      </c>
      <c r="G100" s="90" t="s">
        <v>899</v>
      </c>
    </row>
    <row r="101" spans="2:7" ht="14.25" customHeight="1">
      <c r="B101" s="88" t="s">
        <v>677</v>
      </c>
      <c r="C101" s="89"/>
      <c r="D101" s="89"/>
      <c r="E101" s="89" t="s">
        <v>1183</v>
      </c>
      <c r="F101" s="89"/>
      <c r="G101" s="5"/>
    </row>
    <row r="102" spans="2:7" ht="14.25" customHeight="1">
      <c r="B102" s="88" t="s">
        <v>677</v>
      </c>
      <c r="C102" s="89"/>
      <c r="D102" s="89"/>
      <c r="E102" s="89" t="s">
        <v>1184</v>
      </c>
      <c r="F102" s="89"/>
      <c r="G102" s="5"/>
    </row>
    <row r="103" spans="2:7" ht="14.25" customHeight="1">
      <c r="B103" s="88" t="s">
        <v>677</v>
      </c>
      <c r="C103" s="89"/>
      <c r="D103" s="89"/>
      <c r="E103" s="89" t="s">
        <v>1185</v>
      </c>
      <c r="F103" s="89"/>
      <c r="G103" s="5"/>
    </row>
    <row r="104" spans="2:7" ht="14.25" customHeight="1">
      <c r="B104" s="88" t="s">
        <v>677</v>
      </c>
      <c r="C104" s="89"/>
      <c r="D104" s="89"/>
      <c r="E104" s="89" t="s">
        <v>1186</v>
      </c>
      <c r="F104" s="89"/>
      <c r="G104" s="5"/>
    </row>
    <row r="105" spans="2:7" ht="14.25" customHeight="1">
      <c r="B105" s="88" t="s">
        <v>677</v>
      </c>
      <c r="C105" s="89"/>
      <c r="D105" s="90" t="s">
        <v>900</v>
      </c>
      <c r="E105" s="90" t="s">
        <v>900</v>
      </c>
      <c r="F105" s="90" t="s">
        <v>900</v>
      </c>
      <c r="G105" s="90" t="s">
        <v>900</v>
      </c>
    </row>
    <row r="106" spans="2:7" ht="14.25" customHeight="1">
      <c r="B106" s="88" t="s">
        <v>677</v>
      </c>
      <c r="C106" s="89"/>
      <c r="D106" s="89"/>
      <c r="E106" s="89" t="s">
        <v>1187</v>
      </c>
      <c r="F106" s="89"/>
      <c r="G106" s="5"/>
    </row>
    <row r="107" spans="2:7" ht="14.25" customHeight="1">
      <c r="B107" s="88" t="s">
        <v>677</v>
      </c>
      <c r="C107" s="89"/>
      <c r="D107" s="89"/>
      <c r="E107" s="89" t="s">
        <v>1188</v>
      </c>
      <c r="F107" s="89"/>
      <c r="G107" s="5"/>
    </row>
    <row r="108" spans="2:7" ht="14.25" customHeight="1">
      <c r="B108" s="88" t="s">
        <v>677</v>
      </c>
      <c r="C108" s="89"/>
      <c r="D108" s="89"/>
      <c r="E108" s="89" t="s">
        <v>1189</v>
      </c>
      <c r="F108" s="89"/>
      <c r="G108" s="5"/>
    </row>
    <row r="109" spans="2:7" ht="14.25" customHeight="1">
      <c r="B109" s="88" t="s">
        <v>677</v>
      </c>
      <c r="C109" s="89"/>
      <c r="D109" s="89"/>
      <c r="E109" s="89" t="s">
        <v>1190</v>
      </c>
      <c r="F109" s="89"/>
      <c r="G109" s="5"/>
    </row>
    <row r="110" spans="2:7" ht="14.25" customHeight="1">
      <c r="B110" s="88" t="s">
        <v>677</v>
      </c>
      <c r="C110" s="89"/>
      <c r="D110" s="90" t="s">
        <v>901</v>
      </c>
      <c r="E110" s="90" t="s">
        <v>901</v>
      </c>
      <c r="F110" s="90" t="s">
        <v>901</v>
      </c>
      <c r="G110" s="90" t="s">
        <v>901</v>
      </c>
    </row>
    <row r="111" spans="2:7" ht="14.25" customHeight="1">
      <c r="B111" s="88" t="s">
        <v>677</v>
      </c>
      <c r="C111" s="89"/>
      <c r="D111" s="89"/>
      <c r="E111" s="89" t="s">
        <v>1191</v>
      </c>
      <c r="F111" s="89"/>
      <c r="G111" s="5"/>
    </row>
    <row r="112" spans="2:7" ht="14.25" customHeight="1">
      <c r="B112" s="88" t="s">
        <v>677</v>
      </c>
      <c r="C112" s="89"/>
      <c r="D112" s="89"/>
      <c r="E112" s="89" t="s">
        <v>1192</v>
      </c>
      <c r="F112" s="89"/>
      <c r="G112" s="5"/>
    </row>
    <row r="113" spans="2:7" ht="14.25" customHeight="1">
      <c r="B113" s="88" t="s">
        <v>677</v>
      </c>
      <c r="C113" s="89"/>
      <c r="D113" s="89"/>
      <c r="E113" s="89" t="s">
        <v>1193</v>
      </c>
      <c r="F113" s="89"/>
      <c r="G113" s="5"/>
    </row>
    <row r="114" spans="2:7" ht="14.25" customHeight="1">
      <c r="B114" s="88" t="s">
        <v>677</v>
      </c>
      <c r="C114" s="89"/>
      <c r="D114" s="89"/>
      <c r="E114" s="89" t="s">
        <v>1194</v>
      </c>
      <c r="F114" s="89"/>
      <c r="G114" s="5"/>
    </row>
    <row r="115" spans="2:7" ht="14.25" customHeight="1">
      <c r="B115" s="88" t="s">
        <v>677</v>
      </c>
      <c r="C115" s="89"/>
      <c r="D115" s="90" t="s">
        <v>902</v>
      </c>
      <c r="E115" s="90" t="s">
        <v>902</v>
      </c>
      <c r="F115" s="90" t="s">
        <v>902</v>
      </c>
      <c r="G115" s="90" t="s">
        <v>902</v>
      </c>
    </row>
    <row r="116" spans="2:7" ht="14.25" customHeight="1">
      <c r="B116" s="88" t="s">
        <v>677</v>
      </c>
      <c r="C116" s="89"/>
      <c r="D116" s="89"/>
      <c r="E116" s="89" t="s">
        <v>1195</v>
      </c>
      <c r="F116" s="89"/>
      <c r="G116" s="5"/>
    </row>
    <row r="117" spans="2:7" ht="14.25" customHeight="1">
      <c r="B117" s="88" t="s">
        <v>677</v>
      </c>
      <c r="C117" s="89"/>
      <c r="D117" s="89"/>
      <c r="E117" s="89" t="s">
        <v>1196</v>
      </c>
      <c r="F117" s="89"/>
      <c r="G117" s="5"/>
    </row>
    <row r="118" spans="2:7" ht="14.25" customHeight="1">
      <c r="B118" s="88" t="s">
        <v>677</v>
      </c>
      <c r="C118" s="89"/>
      <c r="D118" s="89"/>
      <c r="E118" s="89" t="s">
        <v>1197</v>
      </c>
      <c r="F118" s="89"/>
      <c r="G118" s="5"/>
    </row>
    <row r="119" spans="2:7" ht="14.25" customHeight="1">
      <c r="B119" s="88" t="s">
        <v>677</v>
      </c>
      <c r="C119" s="89"/>
      <c r="D119" s="89"/>
      <c r="E119" s="89" t="s">
        <v>1198</v>
      </c>
      <c r="F119" s="89"/>
      <c r="G119" s="5"/>
    </row>
    <row r="120" spans="2:7" ht="14.25" customHeight="1">
      <c r="B120" s="88" t="s">
        <v>677</v>
      </c>
      <c r="C120" s="89"/>
      <c r="D120" s="90" t="s">
        <v>903</v>
      </c>
      <c r="E120" s="90" t="s">
        <v>903</v>
      </c>
      <c r="F120" s="90" t="s">
        <v>903</v>
      </c>
      <c r="G120" s="90" t="s">
        <v>903</v>
      </c>
    </row>
    <row r="121" spans="2:7" ht="14.25" customHeight="1">
      <c r="B121" s="88" t="s">
        <v>677</v>
      </c>
      <c r="C121" s="89"/>
      <c r="D121" s="89"/>
      <c r="E121" s="89" t="s">
        <v>1199</v>
      </c>
      <c r="F121" s="89"/>
      <c r="G121" s="5"/>
    </row>
    <row r="122" spans="2:7" ht="14.25" customHeight="1">
      <c r="B122" s="88" t="s">
        <v>677</v>
      </c>
      <c r="C122" s="89"/>
      <c r="D122" s="89"/>
      <c r="E122" s="89" t="s">
        <v>1200</v>
      </c>
      <c r="F122" s="89"/>
      <c r="G122" s="5"/>
    </row>
    <row r="123" spans="2:7" ht="14.25" customHeight="1">
      <c r="B123" s="88" t="s">
        <v>677</v>
      </c>
      <c r="C123" s="89"/>
      <c r="D123" s="89"/>
      <c r="E123" s="89" t="s">
        <v>1201</v>
      </c>
      <c r="F123" s="89"/>
      <c r="G123" s="5"/>
    </row>
    <row r="124" spans="2:7" ht="14.25" customHeight="1">
      <c r="B124" s="88" t="s">
        <v>677</v>
      </c>
      <c r="C124" s="89"/>
      <c r="D124" s="89"/>
      <c r="E124" s="89" t="s">
        <v>1202</v>
      </c>
      <c r="F124" s="89"/>
      <c r="G124" s="5"/>
    </row>
    <row r="125" spans="2:7" ht="14.25" customHeight="1">
      <c r="B125" s="88" t="s">
        <v>677</v>
      </c>
      <c r="C125" s="89"/>
      <c r="D125" s="90" t="s">
        <v>904</v>
      </c>
      <c r="E125" s="90" t="s">
        <v>904</v>
      </c>
      <c r="F125" s="90" t="s">
        <v>904</v>
      </c>
      <c r="G125" s="90" t="s">
        <v>904</v>
      </c>
    </row>
    <row r="126" spans="2:7" ht="14.25" customHeight="1">
      <c r="B126" s="88" t="s">
        <v>677</v>
      </c>
      <c r="C126" s="89"/>
      <c r="D126" s="89"/>
      <c r="E126" s="89" t="s">
        <v>1203</v>
      </c>
      <c r="F126" s="89"/>
      <c r="G126" s="5"/>
    </row>
    <row r="127" spans="2:7" ht="14.25" customHeight="1">
      <c r="B127" s="88" t="s">
        <v>677</v>
      </c>
      <c r="C127" s="89"/>
      <c r="D127" s="89"/>
      <c r="E127" s="89" t="s">
        <v>1204</v>
      </c>
      <c r="F127" s="89"/>
      <c r="G127" s="5"/>
    </row>
    <row r="128" spans="2:7" ht="14.25" customHeight="1">
      <c r="B128" s="88" t="s">
        <v>677</v>
      </c>
      <c r="C128" s="89"/>
      <c r="D128" s="89"/>
      <c r="E128" s="89" t="s">
        <v>1205</v>
      </c>
      <c r="F128" s="89"/>
      <c r="G128" s="5"/>
    </row>
    <row r="129" spans="2:7" ht="14.25" customHeight="1">
      <c r="B129" s="88" t="s">
        <v>677</v>
      </c>
      <c r="C129" s="89"/>
      <c r="D129" s="89"/>
      <c r="E129" s="89" t="s">
        <v>1206</v>
      </c>
      <c r="F129" s="89"/>
      <c r="G129" s="5"/>
    </row>
    <row r="130" spans="2:7" ht="14.25" customHeight="1">
      <c r="B130" s="88" t="s">
        <v>677</v>
      </c>
      <c r="C130" s="89"/>
      <c r="D130" s="90" t="s">
        <v>905</v>
      </c>
      <c r="E130" s="90" t="s">
        <v>905</v>
      </c>
      <c r="F130" s="90" t="s">
        <v>905</v>
      </c>
      <c r="G130" s="90" t="s">
        <v>905</v>
      </c>
    </row>
    <row r="131" spans="2:7" ht="14.25" customHeight="1">
      <c r="B131" s="88" t="s">
        <v>677</v>
      </c>
      <c r="C131" s="89"/>
      <c r="D131" s="89"/>
      <c r="E131" s="89" t="s">
        <v>1207</v>
      </c>
      <c r="F131" s="89"/>
      <c r="G131" s="5"/>
    </row>
    <row r="132" spans="2:7" ht="14.25" customHeight="1">
      <c r="B132" s="88" t="s">
        <v>677</v>
      </c>
      <c r="C132" s="89"/>
      <c r="D132" s="89"/>
      <c r="E132" s="89" t="s">
        <v>1208</v>
      </c>
      <c r="F132" s="89"/>
      <c r="G132" s="5"/>
    </row>
    <row r="133" spans="2:7" ht="14.25" customHeight="1">
      <c r="B133" s="88" t="s">
        <v>677</v>
      </c>
      <c r="C133" s="89"/>
      <c r="D133" s="89"/>
      <c r="E133" s="89" t="s">
        <v>1209</v>
      </c>
      <c r="F133" s="89"/>
      <c r="G133" s="5"/>
    </row>
    <row r="134" spans="2:7" ht="14.25" customHeight="1">
      <c r="B134" s="88" t="s">
        <v>677</v>
      </c>
      <c r="C134" s="89"/>
      <c r="D134" s="89"/>
      <c r="E134" s="89" t="s">
        <v>1210</v>
      </c>
      <c r="F134" s="89"/>
      <c r="G134" s="5"/>
    </row>
    <row r="135" spans="2:7" ht="14.25" customHeight="1">
      <c r="B135" s="88" t="s">
        <v>677</v>
      </c>
      <c r="C135" s="89"/>
      <c r="D135" s="90" t="s">
        <v>906</v>
      </c>
      <c r="E135" s="90" t="s">
        <v>906</v>
      </c>
      <c r="F135" s="90" t="s">
        <v>906</v>
      </c>
      <c r="G135" s="90" t="s">
        <v>906</v>
      </c>
    </row>
    <row r="136" spans="2:7" ht="14.25" customHeight="1">
      <c r="B136" s="88" t="s">
        <v>677</v>
      </c>
      <c r="C136" s="89"/>
      <c r="D136" s="89"/>
      <c r="E136" s="89" t="s">
        <v>1211</v>
      </c>
      <c r="F136" s="89"/>
      <c r="G136" s="5"/>
    </row>
    <row r="137" spans="2:7" ht="14.25" customHeight="1">
      <c r="B137" s="88" t="s">
        <v>677</v>
      </c>
      <c r="C137" s="89"/>
      <c r="D137" s="89"/>
      <c r="E137" s="89" t="s">
        <v>1212</v>
      </c>
      <c r="F137" s="89"/>
      <c r="G137" s="5"/>
    </row>
    <row r="138" spans="2:7" ht="14.25" customHeight="1">
      <c r="B138" s="88" t="s">
        <v>677</v>
      </c>
      <c r="C138" s="89"/>
      <c r="D138" s="89"/>
      <c r="E138" s="89" t="s">
        <v>1213</v>
      </c>
      <c r="F138" s="89"/>
      <c r="G138" s="5"/>
    </row>
    <row r="139" spans="2:7" ht="14.25" customHeight="1">
      <c r="B139" s="88" t="s">
        <v>677</v>
      </c>
      <c r="C139" s="89"/>
      <c r="D139" s="89"/>
      <c r="E139" s="89" t="s">
        <v>1214</v>
      </c>
      <c r="F139" s="89"/>
      <c r="G139" s="5"/>
    </row>
    <row r="140" spans="2:7" ht="14.25" customHeight="1">
      <c r="B140" s="88" t="s">
        <v>677</v>
      </c>
      <c r="C140" s="89"/>
      <c r="D140" s="90" t="s">
        <v>907</v>
      </c>
      <c r="E140" s="90" t="s">
        <v>907</v>
      </c>
      <c r="F140" s="90" t="s">
        <v>907</v>
      </c>
      <c r="G140" s="90" t="s">
        <v>907</v>
      </c>
    </row>
    <row r="141" spans="2:7" ht="14.25" customHeight="1">
      <c r="B141" s="88" t="s">
        <v>677</v>
      </c>
      <c r="C141" s="89"/>
      <c r="D141" s="89"/>
      <c r="E141" s="89" t="s">
        <v>1215</v>
      </c>
      <c r="F141" s="89"/>
      <c r="G141" s="5"/>
    </row>
    <row r="142" spans="2:7" ht="14.25" customHeight="1">
      <c r="B142" s="88" t="s">
        <v>677</v>
      </c>
      <c r="C142" s="89"/>
      <c r="D142" s="89"/>
      <c r="E142" s="89" t="s">
        <v>1216</v>
      </c>
      <c r="F142" s="89"/>
      <c r="G142" s="5"/>
    </row>
    <row r="143" spans="2:7" ht="14.25" customHeight="1">
      <c r="B143" s="88" t="s">
        <v>677</v>
      </c>
      <c r="C143" s="89"/>
      <c r="D143" s="89"/>
      <c r="E143" s="89" t="s">
        <v>1217</v>
      </c>
      <c r="F143" s="89"/>
      <c r="G143" s="5"/>
    </row>
    <row r="144" spans="2:7" ht="14.25" customHeight="1">
      <c r="B144" s="88" t="s">
        <v>677</v>
      </c>
      <c r="C144" s="89"/>
      <c r="D144" s="89"/>
      <c r="E144" s="89" t="s">
        <v>1218</v>
      </c>
      <c r="F144" s="89"/>
      <c r="G144" s="5"/>
    </row>
    <row r="145" spans="2:7" ht="14.25" customHeight="1">
      <c r="B145" s="88" t="s">
        <v>677</v>
      </c>
      <c r="C145" s="89"/>
      <c r="D145" s="90" t="s">
        <v>908</v>
      </c>
      <c r="E145" s="90" t="s">
        <v>908</v>
      </c>
      <c r="F145" s="90" t="s">
        <v>908</v>
      </c>
      <c r="G145" s="90" t="s">
        <v>908</v>
      </c>
    </row>
    <row r="146" spans="2:7" ht="14.25" customHeight="1">
      <c r="B146" s="88" t="s">
        <v>677</v>
      </c>
      <c r="C146" s="89"/>
      <c r="D146" s="89"/>
      <c r="E146" s="89" t="s">
        <v>1219</v>
      </c>
      <c r="F146" s="89"/>
      <c r="G146" s="5"/>
    </row>
    <row r="147" spans="2:7" ht="14.25" customHeight="1">
      <c r="B147" s="88" t="s">
        <v>677</v>
      </c>
      <c r="C147" s="89"/>
      <c r="D147" s="89"/>
      <c r="E147" s="89" t="s">
        <v>1220</v>
      </c>
      <c r="F147" s="89"/>
      <c r="G147" s="5"/>
    </row>
    <row r="148" spans="2:7" ht="14.25" customHeight="1">
      <c r="B148" s="88" t="s">
        <v>677</v>
      </c>
      <c r="C148" s="89"/>
      <c r="D148" s="89"/>
      <c r="E148" s="89" t="s">
        <v>1221</v>
      </c>
      <c r="F148" s="89"/>
      <c r="G148" s="5"/>
    </row>
    <row r="149" spans="2:7" ht="14.25" customHeight="1">
      <c r="B149" s="88" t="s">
        <v>677</v>
      </c>
      <c r="C149" s="89"/>
      <c r="D149" s="89"/>
      <c r="E149" s="89" t="s">
        <v>1222</v>
      </c>
      <c r="F149" s="89"/>
      <c r="G149" s="5"/>
    </row>
    <row r="150" spans="2:7" ht="14.25" customHeight="1">
      <c r="B150" s="88" t="s">
        <v>677</v>
      </c>
      <c r="C150" s="89"/>
      <c r="D150" s="89"/>
      <c r="E150" s="89" t="s">
        <v>1223</v>
      </c>
      <c r="F150" s="89"/>
      <c r="G150" s="5"/>
    </row>
    <row r="151" spans="2:7" ht="14.25" customHeight="1">
      <c r="B151" s="88" t="s">
        <v>677</v>
      </c>
      <c r="C151" s="89"/>
      <c r="D151" s="89"/>
      <c r="E151" s="89" t="s">
        <v>1224</v>
      </c>
      <c r="F151" s="89"/>
      <c r="G151" s="5"/>
    </row>
    <row r="152" spans="2:7" ht="14.25" customHeight="1">
      <c r="B152" s="88" t="s">
        <v>677</v>
      </c>
      <c r="C152" s="89"/>
      <c r="D152" s="90" t="s">
        <v>909</v>
      </c>
      <c r="E152" s="90" t="s">
        <v>909</v>
      </c>
      <c r="F152" s="90" t="s">
        <v>909</v>
      </c>
      <c r="G152" s="90" t="s">
        <v>909</v>
      </c>
    </row>
    <row r="153" spans="2:7" ht="14.25" customHeight="1">
      <c r="B153" s="88" t="s">
        <v>677</v>
      </c>
      <c r="C153" s="89"/>
      <c r="D153" s="89"/>
      <c r="E153" s="89" t="s">
        <v>1225</v>
      </c>
      <c r="F153" s="89"/>
      <c r="G153" s="5"/>
    </row>
    <row r="154" spans="2:7" ht="14.25" customHeight="1">
      <c r="B154" s="88" t="s">
        <v>677</v>
      </c>
      <c r="C154" s="89"/>
      <c r="D154" s="89"/>
      <c r="E154" s="89" t="s">
        <v>1226</v>
      </c>
      <c r="F154" s="89"/>
      <c r="G154" s="5"/>
    </row>
    <row r="155" spans="2:7" ht="14.25" customHeight="1">
      <c r="B155" s="88" t="s">
        <v>677</v>
      </c>
      <c r="C155" s="89"/>
      <c r="D155" s="89"/>
      <c r="E155" s="89" t="s">
        <v>1227</v>
      </c>
      <c r="F155" s="89"/>
      <c r="G155" s="5"/>
    </row>
    <row r="156" spans="2:7" ht="14.25" customHeight="1">
      <c r="B156" s="88" t="s">
        <v>677</v>
      </c>
      <c r="C156" s="89"/>
      <c r="D156" s="89"/>
      <c r="E156" s="89" t="s">
        <v>1228</v>
      </c>
      <c r="F156" s="89"/>
      <c r="G156" s="5"/>
    </row>
    <row r="157" spans="2:7" ht="14.25" customHeight="1">
      <c r="B157" s="88" t="s">
        <v>677</v>
      </c>
      <c r="C157" s="89"/>
      <c r="D157" s="89"/>
      <c r="E157" s="89" t="s">
        <v>1229</v>
      </c>
      <c r="F157" s="89"/>
      <c r="G157" s="5"/>
    </row>
    <row r="158" spans="2:7" ht="14.25" customHeight="1">
      <c r="B158" s="88" t="s">
        <v>677</v>
      </c>
      <c r="C158" s="89"/>
      <c r="D158" s="89"/>
      <c r="E158" s="89" t="s">
        <v>1230</v>
      </c>
      <c r="F158" s="89"/>
      <c r="G158" s="5"/>
    </row>
    <row r="159" spans="2:7" ht="14.25" customHeight="1">
      <c r="B159" s="88" t="s">
        <v>677</v>
      </c>
      <c r="C159" s="89"/>
      <c r="D159" s="90" t="s">
        <v>910</v>
      </c>
      <c r="E159" s="90" t="s">
        <v>910</v>
      </c>
      <c r="F159" s="90" t="s">
        <v>910</v>
      </c>
      <c r="G159" s="90" t="s">
        <v>910</v>
      </c>
    </row>
    <row r="160" spans="2:7" ht="14.25" customHeight="1">
      <c r="B160" s="88" t="s">
        <v>677</v>
      </c>
      <c r="C160" s="89"/>
      <c r="D160" s="89"/>
      <c r="E160" s="89" t="s">
        <v>1231</v>
      </c>
      <c r="F160" s="89"/>
      <c r="G160" s="5"/>
    </row>
    <row r="161" spans="2:7" ht="14.25" customHeight="1">
      <c r="B161" s="88" t="s">
        <v>677</v>
      </c>
      <c r="C161" s="89"/>
      <c r="D161" s="89"/>
      <c r="E161" s="89" t="s">
        <v>1232</v>
      </c>
      <c r="F161" s="89"/>
      <c r="G161" s="5"/>
    </row>
    <row r="162" spans="2:7" ht="14.25" customHeight="1">
      <c r="B162" s="88" t="s">
        <v>677</v>
      </c>
      <c r="C162" s="89"/>
      <c r="D162" s="89"/>
      <c r="E162" s="89" t="s">
        <v>1233</v>
      </c>
      <c r="F162" s="89"/>
      <c r="G162" s="5"/>
    </row>
    <row r="163" spans="2:7" ht="14.25" customHeight="1">
      <c r="B163" s="88" t="s">
        <v>677</v>
      </c>
      <c r="C163" s="89"/>
      <c r="D163" s="89"/>
      <c r="E163" s="89" t="s">
        <v>1234</v>
      </c>
      <c r="F163" s="89"/>
      <c r="G163" s="5"/>
    </row>
    <row r="164" spans="2:7" ht="14.25" customHeight="1">
      <c r="B164" s="88" t="s">
        <v>677</v>
      </c>
      <c r="C164" s="89"/>
      <c r="D164" s="90" t="s">
        <v>911</v>
      </c>
      <c r="E164" s="90" t="s">
        <v>911</v>
      </c>
      <c r="F164" s="90" t="s">
        <v>911</v>
      </c>
      <c r="G164" s="90" t="s">
        <v>911</v>
      </c>
    </row>
    <row r="165" spans="2:7" ht="14.25" customHeight="1">
      <c r="B165" s="88" t="s">
        <v>677</v>
      </c>
      <c r="C165" s="89"/>
      <c r="D165" s="89"/>
      <c r="E165" s="89" t="s">
        <v>1235</v>
      </c>
      <c r="F165" s="89"/>
      <c r="G165" s="5"/>
    </row>
    <row r="166" spans="2:7" ht="14.25" customHeight="1">
      <c r="B166" s="88" t="s">
        <v>677</v>
      </c>
      <c r="C166" s="89"/>
      <c r="D166" s="89"/>
      <c r="E166" s="89" t="s">
        <v>1236</v>
      </c>
      <c r="F166" s="89"/>
      <c r="G166" s="5"/>
    </row>
    <row r="167" spans="2:7" ht="14.25" customHeight="1">
      <c r="B167" s="88" t="s">
        <v>677</v>
      </c>
      <c r="C167" s="89"/>
      <c r="D167" s="89"/>
      <c r="E167" s="89" t="s">
        <v>1237</v>
      </c>
      <c r="F167" s="89"/>
      <c r="G167" s="5"/>
    </row>
    <row r="168" spans="2:7" ht="14.25" customHeight="1">
      <c r="B168" s="88" t="s">
        <v>677</v>
      </c>
      <c r="C168" s="89"/>
      <c r="D168" s="89"/>
      <c r="E168" s="89" t="s">
        <v>1238</v>
      </c>
      <c r="F168" s="89"/>
      <c r="G168" s="5"/>
    </row>
    <row r="169" spans="2:7" ht="14.25" customHeight="1">
      <c r="B169" s="88" t="s">
        <v>677</v>
      </c>
      <c r="C169" s="89"/>
      <c r="D169" s="90" t="s">
        <v>912</v>
      </c>
      <c r="E169" s="90" t="s">
        <v>912</v>
      </c>
      <c r="F169" s="90" t="s">
        <v>912</v>
      </c>
      <c r="G169" s="90" t="s">
        <v>912</v>
      </c>
    </row>
    <row r="170" spans="2:7" ht="14.25" customHeight="1">
      <c r="B170" s="88" t="s">
        <v>677</v>
      </c>
      <c r="C170" s="89"/>
      <c r="D170" s="89"/>
      <c r="E170" s="89" t="s">
        <v>1239</v>
      </c>
      <c r="F170" s="89"/>
      <c r="G170" s="5"/>
    </row>
    <row r="171" spans="2:7" ht="14.25" customHeight="1">
      <c r="B171" s="88" t="s">
        <v>677</v>
      </c>
      <c r="C171" s="89"/>
      <c r="D171" s="89"/>
      <c r="E171" s="89" t="s">
        <v>1240</v>
      </c>
      <c r="F171" s="89"/>
      <c r="G171" s="5"/>
    </row>
    <row r="172" spans="2:7" ht="14.25" customHeight="1">
      <c r="B172" s="88" t="s">
        <v>677</v>
      </c>
      <c r="C172" s="89"/>
      <c r="D172" s="89"/>
      <c r="E172" s="89" t="s">
        <v>1241</v>
      </c>
      <c r="F172" s="89"/>
      <c r="G172" s="5"/>
    </row>
    <row r="173" spans="2:7" ht="14.25" customHeight="1">
      <c r="B173" s="88" t="s">
        <v>677</v>
      </c>
      <c r="C173" s="89"/>
      <c r="D173" s="89"/>
      <c r="E173" s="89" t="s">
        <v>1242</v>
      </c>
      <c r="F173" s="89"/>
      <c r="G173" s="5"/>
    </row>
    <row r="174" spans="2:7" ht="14.25" customHeight="1">
      <c r="B174" s="88" t="s">
        <v>677</v>
      </c>
      <c r="C174" s="89"/>
      <c r="D174" s="90" t="s">
        <v>933</v>
      </c>
      <c r="E174" s="90" t="s">
        <v>933</v>
      </c>
      <c r="F174" s="90" t="s">
        <v>933</v>
      </c>
      <c r="G174" s="90" t="s">
        <v>933</v>
      </c>
    </row>
    <row r="175" spans="2:7" ht="14.25" customHeight="1">
      <c r="B175" s="88" t="s">
        <v>677</v>
      </c>
      <c r="C175" s="89"/>
      <c r="D175" s="89"/>
      <c r="E175" s="89" t="s">
        <v>1243</v>
      </c>
      <c r="F175" s="89"/>
      <c r="G175" s="5"/>
    </row>
    <row r="176" spans="2:7" ht="14.25" customHeight="1">
      <c r="B176" s="88" t="s">
        <v>677</v>
      </c>
      <c r="C176" s="89"/>
      <c r="D176" s="89"/>
      <c r="E176" s="89" t="s">
        <v>1244</v>
      </c>
      <c r="F176" s="89"/>
      <c r="G176" s="5"/>
    </row>
    <row r="177" spans="2:7" ht="14.25" customHeight="1">
      <c r="B177" s="88" t="s">
        <v>677</v>
      </c>
      <c r="C177" s="89"/>
      <c r="D177" s="89"/>
      <c r="E177" s="89" t="s">
        <v>1245</v>
      </c>
      <c r="F177" s="89"/>
      <c r="G177" s="5"/>
    </row>
    <row r="178" spans="2:7" ht="14.25" customHeight="1">
      <c r="B178" s="88" t="s">
        <v>677</v>
      </c>
      <c r="C178" s="89"/>
      <c r="D178" s="89"/>
      <c r="E178" s="89" t="s">
        <v>1246</v>
      </c>
      <c r="F178" s="89"/>
      <c r="G178" s="5"/>
    </row>
    <row r="179" spans="2:7" ht="14.25" customHeight="1">
      <c r="B179" s="88" t="s">
        <v>677</v>
      </c>
      <c r="C179" s="89"/>
      <c r="D179" s="90" t="s">
        <v>934</v>
      </c>
      <c r="E179" s="90" t="s">
        <v>934</v>
      </c>
      <c r="F179" s="90" t="s">
        <v>934</v>
      </c>
      <c r="G179" s="90" t="s">
        <v>934</v>
      </c>
    </row>
    <row r="180" spans="2:7" ht="14.25" customHeight="1">
      <c r="B180" s="88" t="s">
        <v>677</v>
      </c>
      <c r="C180" s="89"/>
      <c r="D180" s="89"/>
      <c r="E180" s="89" t="s">
        <v>1247</v>
      </c>
      <c r="F180" s="89"/>
      <c r="G180" s="5"/>
    </row>
    <row r="181" spans="2:7" ht="14.25" customHeight="1">
      <c r="B181" s="88" t="s">
        <v>677</v>
      </c>
      <c r="C181" s="89"/>
      <c r="D181" s="89"/>
      <c r="E181" s="89" t="s">
        <v>1248</v>
      </c>
      <c r="F181" s="89"/>
      <c r="G181" s="5"/>
    </row>
    <row r="182" spans="2:7" ht="14.25" customHeight="1">
      <c r="B182" s="88" t="s">
        <v>677</v>
      </c>
      <c r="C182" s="89"/>
      <c r="D182" s="89"/>
      <c r="E182" s="89" t="s">
        <v>1249</v>
      </c>
      <c r="F182" s="89"/>
      <c r="G182" s="5"/>
    </row>
    <row r="183" spans="2:7" ht="14.25" customHeight="1">
      <c r="B183" s="88" t="s">
        <v>677</v>
      </c>
      <c r="C183" s="89"/>
      <c r="D183" s="89"/>
      <c r="E183" s="89" t="s">
        <v>1250</v>
      </c>
      <c r="F183" s="89"/>
      <c r="G183" s="5"/>
    </row>
    <row r="184" spans="2:7" ht="14.25" customHeight="1">
      <c r="B184" s="88" t="s">
        <v>677</v>
      </c>
      <c r="C184" s="89"/>
      <c r="D184" s="90" t="s">
        <v>935</v>
      </c>
      <c r="E184" s="90" t="s">
        <v>935</v>
      </c>
      <c r="F184" s="90" t="s">
        <v>935</v>
      </c>
      <c r="G184" s="90" t="s">
        <v>935</v>
      </c>
    </row>
    <row r="185" spans="2:7" ht="14.25" customHeight="1">
      <c r="B185" s="88" t="s">
        <v>677</v>
      </c>
      <c r="C185" s="89"/>
      <c r="D185" s="89"/>
      <c r="E185" s="89" t="s">
        <v>1251</v>
      </c>
      <c r="F185" s="89"/>
      <c r="G185" s="5"/>
    </row>
    <row r="186" spans="2:7" ht="14.25" customHeight="1">
      <c r="B186" s="88" t="s">
        <v>677</v>
      </c>
      <c r="C186" s="89"/>
      <c r="D186" s="89"/>
      <c r="E186" s="89" t="s">
        <v>1252</v>
      </c>
      <c r="F186" s="89"/>
      <c r="G186" s="5"/>
    </row>
    <row r="187" spans="2:7" ht="14.25" customHeight="1">
      <c r="B187" s="88" t="s">
        <v>677</v>
      </c>
      <c r="C187" s="89"/>
      <c r="D187" s="89"/>
      <c r="E187" s="89" t="s">
        <v>1253</v>
      </c>
      <c r="F187" s="89"/>
      <c r="G187" s="5"/>
    </row>
    <row r="188" spans="2:7" ht="14.25" customHeight="1">
      <c r="B188" s="88" t="s">
        <v>677</v>
      </c>
      <c r="C188" s="89"/>
      <c r="D188" s="89"/>
      <c r="E188" s="89" t="s">
        <v>1254</v>
      </c>
      <c r="F188" s="89"/>
      <c r="G188" s="5"/>
    </row>
    <row r="189" spans="2:7" ht="14.25" customHeight="1">
      <c r="B189" s="88" t="s">
        <v>677</v>
      </c>
      <c r="C189" s="89"/>
      <c r="D189" s="90" t="s">
        <v>936</v>
      </c>
      <c r="E189" s="90" t="s">
        <v>936</v>
      </c>
      <c r="F189" s="90" t="s">
        <v>936</v>
      </c>
      <c r="G189" s="90" t="s">
        <v>936</v>
      </c>
    </row>
    <row r="190" spans="2:7" ht="14.25" customHeight="1">
      <c r="B190" s="88" t="s">
        <v>677</v>
      </c>
      <c r="C190" s="89"/>
      <c r="D190" s="89"/>
      <c r="E190" s="89" t="s">
        <v>1255</v>
      </c>
      <c r="F190" s="89"/>
      <c r="G190" s="5"/>
    </row>
    <row r="191" spans="2:7" ht="14.25" customHeight="1">
      <c r="B191" s="88" t="s">
        <v>677</v>
      </c>
      <c r="C191" s="89"/>
      <c r="D191" s="89"/>
      <c r="E191" s="89" t="s">
        <v>1256</v>
      </c>
      <c r="F191" s="89"/>
      <c r="G191" s="5"/>
    </row>
    <row r="192" spans="2:7" ht="14.25" customHeight="1">
      <c r="B192" s="88" t="s">
        <v>677</v>
      </c>
      <c r="C192" s="89"/>
      <c r="D192" s="89"/>
      <c r="E192" s="89" t="s">
        <v>1257</v>
      </c>
      <c r="F192" s="89"/>
      <c r="G192" s="5"/>
    </row>
    <row r="193" spans="2:7" ht="14.25" customHeight="1">
      <c r="B193" s="88" t="s">
        <v>677</v>
      </c>
      <c r="C193" s="89"/>
      <c r="D193" s="89"/>
      <c r="E193" s="89" t="s">
        <v>1258</v>
      </c>
      <c r="F193" s="89"/>
      <c r="G193" s="5"/>
    </row>
    <row r="194" spans="2:7" ht="14.25" customHeight="1">
      <c r="B194" s="88" t="s">
        <v>677</v>
      </c>
      <c r="C194" s="89"/>
      <c r="D194" s="90" t="s">
        <v>937</v>
      </c>
      <c r="E194" s="90" t="s">
        <v>937</v>
      </c>
      <c r="F194" s="90" t="s">
        <v>937</v>
      </c>
      <c r="G194" s="90" t="s">
        <v>937</v>
      </c>
    </row>
    <row r="195" spans="2:7" ht="14.25" customHeight="1">
      <c r="B195" s="88" t="s">
        <v>677</v>
      </c>
      <c r="C195" s="89"/>
      <c r="D195" s="89"/>
      <c r="E195" s="89" t="s">
        <v>1259</v>
      </c>
      <c r="F195" s="89"/>
      <c r="G195" s="5"/>
    </row>
    <row r="196" spans="2:7" ht="14.25" customHeight="1">
      <c r="B196" s="88" t="s">
        <v>677</v>
      </c>
      <c r="C196" s="89"/>
      <c r="D196" s="89"/>
      <c r="E196" s="89" t="s">
        <v>1260</v>
      </c>
      <c r="F196" s="89"/>
      <c r="G196" s="5"/>
    </row>
    <row r="197" spans="2:7" ht="14.25" customHeight="1">
      <c r="B197" s="88" t="s">
        <v>677</v>
      </c>
      <c r="C197" s="89"/>
      <c r="D197" s="89"/>
      <c r="E197" s="89" t="s">
        <v>1261</v>
      </c>
      <c r="F197" s="89"/>
      <c r="G197" s="5"/>
    </row>
    <row r="198" spans="2:7" ht="14.25" customHeight="1">
      <c r="B198" s="88" t="s">
        <v>677</v>
      </c>
      <c r="C198" s="89"/>
      <c r="D198" s="89"/>
      <c r="E198" s="89" t="s">
        <v>1262</v>
      </c>
      <c r="F198" s="89"/>
      <c r="G198" s="5"/>
    </row>
    <row r="199" spans="2:7" ht="14.25" customHeight="1">
      <c r="B199" s="88" t="s">
        <v>677</v>
      </c>
      <c r="C199" s="89"/>
      <c r="D199" s="90" t="s">
        <v>938</v>
      </c>
      <c r="E199" s="90" t="s">
        <v>938</v>
      </c>
      <c r="F199" s="90" t="s">
        <v>938</v>
      </c>
      <c r="G199" s="90" t="s">
        <v>938</v>
      </c>
    </row>
    <row r="200" spans="2:7" ht="14.25" customHeight="1">
      <c r="B200" s="88" t="s">
        <v>677</v>
      </c>
      <c r="C200" s="89"/>
      <c r="D200" s="89"/>
      <c r="E200" s="89" t="s">
        <v>1263</v>
      </c>
      <c r="F200" s="89"/>
      <c r="G200" s="5"/>
    </row>
    <row r="201" spans="2:7" ht="14.25" customHeight="1">
      <c r="B201" s="88" t="s">
        <v>677</v>
      </c>
      <c r="C201" s="89"/>
      <c r="D201" s="89"/>
      <c r="E201" s="89" t="s">
        <v>1264</v>
      </c>
      <c r="F201" s="89"/>
      <c r="G201" s="5"/>
    </row>
    <row r="202" spans="2:7" ht="14.25" customHeight="1">
      <c r="B202" s="88" t="s">
        <v>677</v>
      </c>
      <c r="C202" s="89"/>
      <c r="D202" s="89"/>
      <c r="E202" s="89" t="s">
        <v>1265</v>
      </c>
      <c r="F202" s="89"/>
      <c r="G202" s="5"/>
    </row>
    <row r="203" spans="2:7" ht="14.25" customHeight="1">
      <c r="B203" s="88" t="s">
        <v>677</v>
      </c>
      <c r="C203" s="89"/>
      <c r="D203" s="89"/>
      <c r="E203" s="89" t="s">
        <v>1266</v>
      </c>
      <c r="F203" s="89"/>
      <c r="G203" s="5"/>
    </row>
    <row r="204" spans="2:7" ht="14.25" customHeight="1">
      <c r="B204" s="88" t="s">
        <v>677</v>
      </c>
      <c r="C204" s="89"/>
      <c r="D204" s="90" t="s">
        <v>939</v>
      </c>
      <c r="E204" s="90" t="s">
        <v>939</v>
      </c>
      <c r="F204" s="90" t="s">
        <v>939</v>
      </c>
      <c r="G204" s="90" t="s">
        <v>939</v>
      </c>
    </row>
    <row r="205" spans="2:7" ht="14.25" customHeight="1">
      <c r="B205" s="88" t="s">
        <v>677</v>
      </c>
      <c r="C205" s="89"/>
      <c r="D205" s="89"/>
      <c r="E205" s="89" t="s">
        <v>1267</v>
      </c>
      <c r="F205" s="89"/>
      <c r="G205" s="5"/>
    </row>
    <row r="206" spans="2:7" ht="14.25" customHeight="1">
      <c r="B206" s="88" t="s">
        <v>677</v>
      </c>
      <c r="C206" s="89"/>
      <c r="D206" s="89"/>
      <c r="E206" s="89" t="s">
        <v>1268</v>
      </c>
      <c r="F206" s="89"/>
      <c r="G206" s="5"/>
    </row>
    <row r="207" spans="2:7" ht="14.25" customHeight="1">
      <c r="B207" s="88" t="s">
        <v>677</v>
      </c>
      <c r="C207" s="89"/>
      <c r="D207" s="89"/>
      <c r="E207" s="89" t="s">
        <v>1269</v>
      </c>
      <c r="F207" s="89"/>
      <c r="G207" s="5"/>
    </row>
    <row r="208" spans="2:7" ht="14.25" customHeight="1">
      <c r="B208" s="88" t="s">
        <v>677</v>
      </c>
      <c r="C208" s="89"/>
      <c r="D208" s="89"/>
      <c r="E208" s="89" t="s">
        <v>1270</v>
      </c>
      <c r="F208" s="89"/>
      <c r="G208" s="5"/>
    </row>
    <row r="209" spans="2:7" ht="14.25" customHeight="1">
      <c r="B209" s="88" t="s">
        <v>677</v>
      </c>
      <c r="C209" s="89"/>
      <c r="D209" s="90" t="s">
        <v>940</v>
      </c>
      <c r="E209" s="90" t="s">
        <v>940</v>
      </c>
      <c r="F209" s="90" t="s">
        <v>940</v>
      </c>
      <c r="G209" s="90" t="s">
        <v>940</v>
      </c>
    </row>
    <row r="210" spans="2:7" ht="14.25" customHeight="1">
      <c r="B210" s="88" t="s">
        <v>677</v>
      </c>
      <c r="C210" s="89"/>
      <c r="D210" s="89"/>
      <c r="E210" s="89" t="s">
        <v>1271</v>
      </c>
      <c r="F210" s="89"/>
      <c r="G210" s="5"/>
    </row>
    <row r="211" spans="2:7" ht="14.25" customHeight="1">
      <c r="B211" s="88" t="s">
        <v>677</v>
      </c>
      <c r="C211" s="89"/>
      <c r="D211" s="89"/>
      <c r="E211" s="89" t="s">
        <v>1272</v>
      </c>
      <c r="F211" s="89"/>
      <c r="G211" s="5"/>
    </row>
    <row r="212" spans="2:7" ht="14.25" customHeight="1">
      <c r="B212" s="88" t="s">
        <v>677</v>
      </c>
      <c r="C212" s="89"/>
      <c r="D212" s="89"/>
      <c r="E212" s="89" t="s">
        <v>1273</v>
      </c>
      <c r="F212" s="89"/>
      <c r="G212" s="5"/>
    </row>
    <row r="213" spans="2:7" ht="14.25" customHeight="1">
      <c r="B213" s="88" t="s">
        <v>677</v>
      </c>
      <c r="C213" s="89"/>
      <c r="D213" s="89"/>
      <c r="E213" s="89" t="s">
        <v>1274</v>
      </c>
      <c r="F213" s="89"/>
      <c r="G213" s="5"/>
    </row>
    <row r="214" spans="2:7" ht="14.25" customHeight="1">
      <c r="B214" s="88" t="s">
        <v>677</v>
      </c>
      <c r="C214" s="89"/>
      <c r="D214" s="90" t="s">
        <v>952</v>
      </c>
      <c r="E214" s="90" t="s">
        <v>952</v>
      </c>
      <c r="F214" s="90" t="s">
        <v>952</v>
      </c>
      <c r="G214" s="90" t="s">
        <v>952</v>
      </c>
    </row>
    <row r="215" spans="2:7" ht="14.25" customHeight="1">
      <c r="B215" s="88" t="s">
        <v>677</v>
      </c>
      <c r="C215" s="89"/>
      <c r="D215" s="89"/>
      <c r="E215" s="89" t="s">
        <v>1275</v>
      </c>
      <c r="F215" s="89"/>
      <c r="G215" s="5"/>
    </row>
    <row r="216" spans="2:7" ht="14.25" customHeight="1">
      <c r="B216" s="88" t="s">
        <v>677</v>
      </c>
      <c r="C216" s="89"/>
      <c r="D216" s="89"/>
      <c r="E216" s="89" t="s">
        <v>1276</v>
      </c>
      <c r="F216" s="89"/>
      <c r="G216" s="5"/>
    </row>
    <row r="217" spans="2:7" ht="14.25" customHeight="1">
      <c r="B217" s="88" t="s">
        <v>677</v>
      </c>
      <c r="C217" s="89"/>
      <c r="D217" s="89"/>
      <c r="E217" s="89" t="s">
        <v>1277</v>
      </c>
      <c r="F217" s="89"/>
      <c r="G217" s="5"/>
    </row>
    <row r="218" spans="2:7" ht="14.25" customHeight="1">
      <c r="B218" s="88" t="s">
        <v>677</v>
      </c>
      <c r="C218" s="89"/>
      <c r="D218" s="89"/>
      <c r="E218" s="89" t="s">
        <v>1278</v>
      </c>
      <c r="F218" s="89"/>
      <c r="G218" s="5"/>
    </row>
    <row r="219" spans="2:7" ht="14.25" customHeight="1">
      <c r="B219" s="88" t="s">
        <v>677</v>
      </c>
      <c r="C219" s="89"/>
      <c r="D219" s="90" t="s">
        <v>953</v>
      </c>
      <c r="E219" s="90" t="s">
        <v>953</v>
      </c>
      <c r="F219" s="90" t="s">
        <v>953</v>
      </c>
      <c r="G219" s="90" t="s">
        <v>953</v>
      </c>
    </row>
    <row r="220" spans="2:7" ht="14.25" customHeight="1">
      <c r="B220" s="88" t="s">
        <v>677</v>
      </c>
      <c r="C220" s="89"/>
      <c r="D220" s="89"/>
      <c r="E220" s="89" t="s">
        <v>1279</v>
      </c>
      <c r="F220" s="89"/>
      <c r="G220" s="5"/>
    </row>
    <row r="221" spans="2:7" ht="14.25" customHeight="1">
      <c r="B221" s="88" t="s">
        <v>677</v>
      </c>
      <c r="C221" s="89"/>
      <c r="D221" s="89"/>
      <c r="E221" s="89" t="s">
        <v>1280</v>
      </c>
      <c r="F221" s="89"/>
      <c r="G221" s="5"/>
    </row>
    <row r="222" spans="2:7" ht="14.25" customHeight="1">
      <c r="B222" s="88" t="s">
        <v>677</v>
      </c>
      <c r="C222" s="89"/>
      <c r="D222" s="89"/>
      <c r="E222" s="89" t="s">
        <v>1281</v>
      </c>
      <c r="F222" s="89"/>
      <c r="G222" s="5"/>
    </row>
    <row r="223" spans="2:7" ht="14.25" customHeight="1">
      <c r="B223" s="88" t="s">
        <v>677</v>
      </c>
      <c r="C223" s="89"/>
      <c r="D223" s="89"/>
      <c r="E223" s="89" t="s">
        <v>1282</v>
      </c>
      <c r="F223" s="89"/>
      <c r="G223" s="5"/>
    </row>
    <row r="224" spans="2:7" ht="14.25" customHeight="1">
      <c r="B224" s="88" t="s">
        <v>677</v>
      </c>
      <c r="C224" s="89"/>
      <c r="D224" s="90" t="s">
        <v>954</v>
      </c>
      <c r="E224" s="90" t="s">
        <v>954</v>
      </c>
      <c r="F224" s="90" t="s">
        <v>954</v>
      </c>
      <c r="G224" s="90" t="s">
        <v>954</v>
      </c>
    </row>
    <row r="225" spans="2:7" ht="14.25" customHeight="1">
      <c r="B225" s="88" t="s">
        <v>677</v>
      </c>
      <c r="C225" s="89"/>
      <c r="D225" s="89"/>
      <c r="E225" s="89" t="s">
        <v>1283</v>
      </c>
      <c r="F225" s="89"/>
      <c r="G225" s="5"/>
    </row>
    <row r="226" spans="2:7" ht="14.25" customHeight="1">
      <c r="B226" s="88" t="s">
        <v>677</v>
      </c>
      <c r="C226" s="89"/>
      <c r="D226" s="89"/>
      <c r="E226" s="89" t="s">
        <v>1284</v>
      </c>
      <c r="F226" s="89"/>
      <c r="G226" s="5"/>
    </row>
    <row r="227" spans="2:7" ht="14.25" customHeight="1">
      <c r="B227" s="88" t="s">
        <v>677</v>
      </c>
      <c r="C227" s="89"/>
      <c r="D227" s="89"/>
      <c r="E227" s="89" t="s">
        <v>1285</v>
      </c>
      <c r="F227" s="89"/>
      <c r="G227" s="5"/>
    </row>
    <row r="228" spans="2:7" ht="14.25" customHeight="1">
      <c r="B228" s="88" t="s">
        <v>677</v>
      </c>
      <c r="C228" s="89"/>
      <c r="D228" s="89"/>
      <c r="E228" s="89" t="s">
        <v>1286</v>
      </c>
      <c r="F228" s="89"/>
      <c r="G228" s="5"/>
    </row>
    <row r="229" spans="2:7" ht="14.25" customHeight="1">
      <c r="B229" s="88" t="s">
        <v>677</v>
      </c>
      <c r="C229" s="89"/>
      <c r="D229" s="90" t="s">
        <v>955</v>
      </c>
      <c r="E229" s="90" t="s">
        <v>955</v>
      </c>
      <c r="F229" s="90" t="s">
        <v>955</v>
      </c>
      <c r="G229" s="90" t="s">
        <v>955</v>
      </c>
    </row>
    <row r="230" spans="2:7" ht="14.25" customHeight="1">
      <c r="B230" s="88" t="s">
        <v>677</v>
      </c>
      <c r="C230" s="89"/>
      <c r="D230" s="89"/>
      <c r="E230" s="89" t="s">
        <v>1287</v>
      </c>
      <c r="F230" s="89"/>
      <c r="G230" s="5"/>
    </row>
    <row r="231" spans="2:7" ht="14.25" customHeight="1">
      <c r="B231" s="88" t="s">
        <v>677</v>
      </c>
      <c r="C231" s="89"/>
      <c r="D231" s="89"/>
      <c r="E231" s="89" t="s">
        <v>1288</v>
      </c>
      <c r="F231" s="89"/>
      <c r="G231" s="5"/>
    </row>
    <row r="232" spans="2:7" ht="14.25" customHeight="1">
      <c r="B232" s="88" t="s">
        <v>677</v>
      </c>
      <c r="C232" s="89"/>
      <c r="D232" s="89"/>
      <c r="E232" s="89" t="s">
        <v>1289</v>
      </c>
      <c r="F232" s="89"/>
      <c r="G232" s="5"/>
    </row>
    <row r="233" spans="2:7" ht="14.25" customHeight="1">
      <c r="B233" s="88" t="s">
        <v>677</v>
      </c>
      <c r="C233" s="89"/>
      <c r="D233" s="89"/>
      <c r="E233" s="89" t="s">
        <v>1290</v>
      </c>
      <c r="F233" s="89"/>
      <c r="G233" s="5"/>
    </row>
    <row r="234" spans="2:7" ht="14.25" customHeight="1">
      <c r="B234" s="88" t="s">
        <v>677</v>
      </c>
      <c r="C234" s="89"/>
      <c r="D234" s="90" t="s">
        <v>956</v>
      </c>
      <c r="E234" s="90" t="s">
        <v>956</v>
      </c>
      <c r="F234" s="90" t="s">
        <v>956</v>
      </c>
      <c r="G234" s="90" t="s">
        <v>956</v>
      </c>
    </row>
    <row r="235" spans="2:7" ht="14.25" customHeight="1">
      <c r="B235" s="88" t="s">
        <v>677</v>
      </c>
      <c r="C235" s="89"/>
      <c r="D235" s="89"/>
      <c r="E235" s="89" t="s">
        <v>1291</v>
      </c>
      <c r="F235" s="89"/>
      <c r="G235" s="5"/>
    </row>
    <row r="236" spans="2:7" ht="14.25" customHeight="1">
      <c r="B236" s="88" t="s">
        <v>677</v>
      </c>
      <c r="C236" s="89"/>
      <c r="D236" s="89"/>
      <c r="E236" s="89" t="s">
        <v>1292</v>
      </c>
      <c r="F236" s="89"/>
      <c r="G236" s="5"/>
    </row>
    <row r="237" spans="2:7" ht="14.25" customHeight="1">
      <c r="B237" s="88" t="s">
        <v>677</v>
      </c>
      <c r="C237" s="89"/>
      <c r="D237" s="89"/>
      <c r="E237" s="89" t="s">
        <v>1293</v>
      </c>
      <c r="F237" s="89"/>
      <c r="G237" s="5"/>
    </row>
    <row r="238" spans="2:7" ht="14.25" customHeight="1">
      <c r="B238" s="88" t="s">
        <v>677</v>
      </c>
      <c r="C238" s="89"/>
      <c r="D238" s="89"/>
      <c r="E238" s="89" t="s">
        <v>1294</v>
      </c>
      <c r="F238" s="89"/>
      <c r="G238" s="5"/>
    </row>
    <row r="239" spans="2:7" ht="14.25" customHeight="1">
      <c r="B239" s="88" t="s">
        <v>677</v>
      </c>
      <c r="C239" s="89"/>
      <c r="D239" s="90" t="s">
        <v>957</v>
      </c>
      <c r="E239" s="90" t="s">
        <v>957</v>
      </c>
      <c r="F239" s="90" t="s">
        <v>957</v>
      </c>
      <c r="G239" s="90" t="s">
        <v>957</v>
      </c>
    </row>
    <row r="240" spans="2:7" ht="14.25" customHeight="1">
      <c r="B240" s="88" t="s">
        <v>677</v>
      </c>
      <c r="C240" s="89"/>
      <c r="D240" s="89"/>
      <c r="E240" s="89" t="s">
        <v>1295</v>
      </c>
      <c r="F240" s="89"/>
      <c r="G240" s="5"/>
    </row>
    <row r="241" spans="2:7" ht="14.25" customHeight="1">
      <c r="B241" s="88" t="s">
        <v>677</v>
      </c>
      <c r="C241" s="89"/>
      <c r="D241" s="89"/>
      <c r="E241" s="89" t="s">
        <v>1296</v>
      </c>
      <c r="F241" s="89"/>
      <c r="G241" s="5"/>
    </row>
    <row r="242" spans="2:7" ht="14.25" customHeight="1">
      <c r="B242" s="88" t="s">
        <v>677</v>
      </c>
      <c r="C242" s="89"/>
      <c r="D242" s="89"/>
      <c r="E242" s="89" t="s">
        <v>1297</v>
      </c>
      <c r="F242" s="89"/>
      <c r="G242" s="5"/>
    </row>
    <row r="243" spans="2:7" ht="14.25" customHeight="1">
      <c r="B243" s="88" t="s">
        <v>677</v>
      </c>
      <c r="C243" s="89"/>
      <c r="D243" s="89"/>
      <c r="E243" s="89" t="s">
        <v>1298</v>
      </c>
      <c r="F243" s="89"/>
      <c r="G243" s="5"/>
    </row>
    <row r="244" spans="2:7" ht="14.25" customHeight="1">
      <c r="B244" s="88" t="s">
        <v>677</v>
      </c>
      <c r="C244" s="89"/>
      <c r="D244" s="90" t="s">
        <v>958</v>
      </c>
      <c r="E244" s="90" t="s">
        <v>958</v>
      </c>
      <c r="F244" s="90" t="s">
        <v>958</v>
      </c>
      <c r="G244" s="90" t="s">
        <v>958</v>
      </c>
    </row>
    <row r="245" spans="2:7" ht="14.25" customHeight="1">
      <c r="B245" s="88" t="s">
        <v>677</v>
      </c>
      <c r="C245" s="89"/>
      <c r="D245" s="89"/>
      <c r="E245" s="89" t="s">
        <v>1299</v>
      </c>
      <c r="F245" s="89"/>
      <c r="G245" s="5"/>
    </row>
    <row r="246" spans="2:7" ht="14.25" customHeight="1">
      <c r="B246" s="88" t="s">
        <v>677</v>
      </c>
      <c r="C246" s="89"/>
      <c r="D246" s="89"/>
      <c r="E246" s="89" t="s">
        <v>1300</v>
      </c>
      <c r="F246" s="89"/>
      <c r="G246" s="5"/>
    </row>
    <row r="247" spans="2:7" ht="14.25" customHeight="1">
      <c r="B247" s="88" t="s">
        <v>677</v>
      </c>
      <c r="C247" s="89"/>
      <c r="D247" s="89"/>
      <c r="E247" s="89" t="s">
        <v>1301</v>
      </c>
      <c r="F247" s="89"/>
      <c r="G247" s="5"/>
    </row>
    <row r="248" spans="2:7" ht="14.25" customHeight="1">
      <c r="B248" s="88" t="s">
        <v>677</v>
      </c>
      <c r="C248" s="89"/>
      <c r="D248" s="89"/>
      <c r="E248" s="89" t="s">
        <v>1302</v>
      </c>
      <c r="F248" s="89"/>
      <c r="G248" s="5"/>
    </row>
    <row r="249" spans="2:7" ht="14.25" customHeight="1">
      <c r="B249" s="88" t="s">
        <v>677</v>
      </c>
      <c r="C249" s="89"/>
      <c r="D249" s="90" t="s">
        <v>959</v>
      </c>
      <c r="E249" s="90" t="s">
        <v>959</v>
      </c>
      <c r="F249" s="90" t="s">
        <v>959</v>
      </c>
      <c r="G249" s="90" t="s">
        <v>959</v>
      </c>
    </row>
    <row r="250" spans="2:7" ht="14.25" customHeight="1">
      <c r="B250" s="88" t="s">
        <v>677</v>
      </c>
      <c r="C250" s="89"/>
      <c r="D250" s="89"/>
      <c r="E250" s="89" t="s">
        <v>1303</v>
      </c>
      <c r="F250" s="89"/>
      <c r="G250" s="5"/>
    </row>
    <row r="251" spans="2:7" ht="14.25" customHeight="1">
      <c r="B251" s="88" t="s">
        <v>677</v>
      </c>
      <c r="C251" s="89"/>
      <c r="D251" s="89"/>
      <c r="E251" s="89" t="s">
        <v>1304</v>
      </c>
      <c r="F251" s="89"/>
      <c r="G251" s="5"/>
    </row>
    <row r="252" spans="2:7" ht="14.25" customHeight="1">
      <c r="B252" s="88" t="s">
        <v>677</v>
      </c>
      <c r="C252" s="89"/>
      <c r="D252" s="89"/>
      <c r="E252" s="89" t="s">
        <v>1305</v>
      </c>
      <c r="F252" s="89"/>
      <c r="G252" s="5"/>
    </row>
    <row r="253" spans="2:7" ht="14.25" customHeight="1">
      <c r="B253" s="88" t="s">
        <v>677</v>
      </c>
      <c r="C253" s="89"/>
      <c r="D253" s="89"/>
      <c r="E253" s="89" t="s">
        <v>1306</v>
      </c>
      <c r="F253" s="89"/>
      <c r="G253" s="5"/>
    </row>
    <row r="254" spans="2:7" ht="14.25" customHeight="1">
      <c r="B254" s="88" t="s">
        <v>677</v>
      </c>
      <c r="C254" s="89"/>
      <c r="D254" s="90" t="s">
        <v>960</v>
      </c>
      <c r="E254" s="90" t="s">
        <v>960</v>
      </c>
      <c r="F254" s="90" t="s">
        <v>960</v>
      </c>
      <c r="G254" s="90" t="s">
        <v>960</v>
      </c>
    </row>
    <row r="255" spans="2:7" ht="14.25" customHeight="1">
      <c r="B255" s="88" t="s">
        <v>677</v>
      </c>
      <c r="C255" s="89"/>
      <c r="D255" s="89"/>
      <c r="E255" s="89" t="s">
        <v>1307</v>
      </c>
      <c r="F255" s="89"/>
      <c r="G255" s="5"/>
    </row>
    <row r="256" spans="2:7" ht="14.25" customHeight="1">
      <c r="B256" s="88" t="s">
        <v>677</v>
      </c>
      <c r="C256" s="89"/>
      <c r="D256" s="89"/>
      <c r="E256" s="89" t="s">
        <v>1308</v>
      </c>
      <c r="F256" s="89"/>
      <c r="G256" s="5"/>
    </row>
    <row r="257" spans="2:7" ht="14.25" customHeight="1">
      <c r="B257" s="88" t="s">
        <v>677</v>
      </c>
      <c r="C257" s="89"/>
      <c r="D257" s="89"/>
      <c r="E257" s="89" t="s">
        <v>1309</v>
      </c>
      <c r="F257" s="89"/>
      <c r="G257" s="5"/>
    </row>
    <row r="258" spans="2:7" ht="14.25" customHeight="1">
      <c r="B258" s="88" t="s">
        <v>677</v>
      </c>
      <c r="C258" s="89"/>
      <c r="D258" s="89"/>
      <c r="E258" s="89" t="s">
        <v>1310</v>
      </c>
      <c r="F258" s="89"/>
      <c r="G258" s="5"/>
    </row>
    <row r="259" spans="2:7" ht="14.25" customHeight="1">
      <c r="B259" s="88" t="s">
        <v>677</v>
      </c>
      <c r="C259" s="89"/>
      <c r="D259" s="89"/>
      <c r="E259" s="89" t="s">
        <v>1311</v>
      </c>
      <c r="F259" s="89"/>
      <c r="G259" s="5"/>
    </row>
    <row r="260" spans="2:7" ht="14.25" customHeight="1">
      <c r="B260" s="88" t="s">
        <v>677</v>
      </c>
      <c r="C260" s="89"/>
      <c r="D260" s="89"/>
      <c r="E260" s="89" t="s">
        <v>1312</v>
      </c>
      <c r="F260" s="89"/>
      <c r="G260" s="5"/>
    </row>
    <row r="261" spans="2:7" ht="14.25" customHeight="1">
      <c r="B261" s="88" t="s">
        <v>677</v>
      </c>
      <c r="C261" s="89"/>
      <c r="D261" s="90" t="s">
        <v>961</v>
      </c>
      <c r="E261" s="90" t="s">
        <v>961</v>
      </c>
      <c r="F261" s="90" t="s">
        <v>961</v>
      </c>
      <c r="G261" s="90" t="s">
        <v>961</v>
      </c>
    </row>
    <row r="262" spans="2:7" ht="14.25" customHeight="1">
      <c r="B262" s="88" t="s">
        <v>677</v>
      </c>
      <c r="C262" s="89"/>
      <c r="D262" s="89"/>
      <c r="E262" s="89" t="s">
        <v>1313</v>
      </c>
      <c r="F262" s="89"/>
      <c r="G262" s="5"/>
    </row>
    <row r="263" spans="2:7" ht="14.25" customHeight="1">
      <c r="B263" s="88" t="s">
        <v>677</v>
      </c>
      <c r="C263" s="89"/>
      <c r="D263" s="89"/>
      <c r="E263" s="89" t="s">
        <v>1314</v>
      </c>
      <c r="F263" s="89"/>
      <c r="G263" s="5"/>
    </row>
    <row r="264" spans="2:7" ht="14.25" customHeight="1">
      <c r="B264" s="88" t="s">
        <v>677</v>
      </c>
      <c r="C264" s="89"/>
      <c r="D264" s="89"/>
      <c r="E264" s="89" t="s">
        <v>1315</v>
      </c>
      <c r="F264" s="89"/>
      <c r="G264" s="5"/>
    </row>
    <row r="265" spans="2:7" ht="14.25" customHeight="1">
      <c r="B265" s="88" t="s">
        <v>677</v>
      </c>
      <c r="C265" s="89"/>
      <c r="D265" s="89"/>
      <c r="E265" s="89" t="s">
        <v>1316</v>
      </c>
      <c r="F265" s="89"/>
      <c r="G265" s="5"/>
    </row>
    <row r="266" spans="2:7" ht="14.25" customHeight="1">
      <c r="B266" s="88" t="s">
        <v>677</v>
      </c>
      <c r="C266" s="89"/>
      <c r="D266" s="89"/>
      <c r="E266" s="89" t="s">
        <v>1317</v>
      </c>
      <c r="F266" s="89"/>
      <c r="G266" s="5"/>
    </row>
    <row r="267" spans="2:7" ht="14.25" customHeight="1">
      <c r="B267" s="88" t="s">
        <v>677</v>
      </c>
      <c r="C267" s="89"/>
      <c r="D267" s="89"/>
      <c r="E267" s="89" t="s">
        <v>1318</v>
      </c>
      <c r="F267" s="89"/>
      <c r="G267" s="5"/>
    </row>
    <row r="268" spans="2:7" ht="14.25" customHeight="1">
      <c r="B268" s="88" t="s">
        <v>677</v>
      </c>
      <c r="C268" s="89"/>
      <c r="D268" s="90" t="s">
        <v>962</v>
      </c>
      <c r="E268" s="90" t="s">
        <v>962</v>
      </c>
      <c r="F268" s="90" t="s">
        <v>962</v>
      </c>
      <c r="G268" s="90" t="s">
        <v>962</v>
      </c>
    </row>
    <row r="269" spans="2:7" ht="14.25" customHeight="1">
      <c r="B269" s="88" t="s">
        <v>677</v>
      </c>
      <c r="C269" s="89"/>
      <c r="D269" s="89"/>
      <c r="E269" s="89" t="s">
        <v>1319</v>
      </c>
      <c r="F269" s="89"/>
      <c r="G269" s="5"/>
    </row>
    <row r="270" spans="2:7" ht="14.25" customHeight="1">
      <c r="B270" s="88" t="s">
        <v>677</v>
      </c>
      <c r="C270" s="89"/>
      <c r="D270" s="89"/>
      <c r="E270" s="89" t="s">
        <v>1320</v>
      </c>
      <c r="F270" s="89"/>
      <c r="G270" s="5"/>
    </row>
    <row r="271" spans="2:7" ht="14.25" customHeight="1">
      <c r="B271" s="88" t="s">
        <v>677</v>
      </c>
      <c r="C271" s="89"/>
      <c r="D271" s="89"/>
      <c r="E271" s="89" t="s">
        <v>1321</v>
      </c>
      <c r="F271" s="89"/>
      <c r="G271" s="5"/>
    </row>
    <row r="272" spans="2:7" ht="14.25" customHeight="1">
      <c r="B272" s="88" t="s">
        <v>677</v>
      </c>
      <c r="C272" s="89"/>
      <c r="D272" s="89"/>
      <c r="E272" s="89" t="s">
        <v>1322</v>
      </c>
      <c r="F272" s="89"/>
      <c r="G272" s="5"/>
    </row>
    <row r="273" spans="2:7" ht="14.25" customHeight="1">
      <c r="B273" s="88" t="s">
        <v>677</v>
      </c>
      <c r="C273" s="89"/>
      <c r="D273" s="90" t="s">
        <v>963</v>
      </c>
      <c r="E273" s="90" t="s">
        <v>963</v>
      </c>
      <c r="F273" s="90" t="s">
        <v>963</v>
      </c>
      <c r="G273" s="90" t="s">
        <v>963</v>
      </c>
    </row>
    <row r="274" spans="2:7" ht="14.25" customHeight="1">
      <c r="B274" s="88" t="s">
        <v>677</v>
      </c>
      <c r="C274" s="89"/>
      <c r="D274" s="89"/>
      <c r="E274" s="89" t="s">
        <v>1323</v>
      </c>
      <c r="F274" s="89"/>
      <c r="G274" s="5"/>
    </row>
    <row r="275" spans="2:7" ht="14.25" customHeight="1">
      <c r="B275" s="88" t="s">
        <v>677</v>
      </c>
      <c r="C275" s="89"/>
      <c r="D275" s="89"/>
      <c r="E275" s="89" t="s">
        <v>1324</v>
      </c>
      <c r="F275" s="89"/>
      <c r="G275" s="5"/>
    </row>
    <row r="276" spans="2:7" ht="14.25" customHeight="1">
      <c r="B276" s="88" t="s">
        <v>677</v>
      </c>
      <c r="C276" s="89"/>
      <c r="D276" s="89"/>
      <c r="E276" s="89" t="s">
        <v>1325</v>
      </c>
      <c r="F276" s="89"/>
      <c r="G276" s="5"/>
    </row>
    <row r="277" spans="2:7" ht="14.25" customHeight="1">
      <c r="B277" s="88" t="s">
        <v>677</v>
      </c>
      <c r="C277" s="89"/>
      <c r="D277" s="89"/>
      <c r="E277" s="89" t="s">
        <v>1326</v>
      </c>
      <c r="F277" s="89"/>
      <c r="G277" s="5"/>
    </row>
    <row r="278" spans="2:7" ht="14.25" customHeight="1">
      <c r="B278" s="88" t="s">
        <v>677</v>
      </c>
      <c r="C278" s="89"/>
      <c r="D278" s="90" t="s">
        <v>964</v>
      </c>
      <c r="E278" s="90" t="s">
        <v>964</v>
      </c>
      <c r="F278" s="90" t="s">
        <v>964</v>
      </c>
      <c r="G278" s="90" t="s">
        <v>964</v>
      </c>
    </row>
    <row r="279" spans="2:7" ht="14.25" customHeight="1">
      <c r="B279" s="88" t="s">
        <v>677</v>
      </c>
      <c r="C279" s="89"/>
      <c r="D279" s="89"/>
      <c r="E279" s="89" t="s">
        <v>1327</v>
      </c>
      <c r="F279" s="89"/>
      <c r="G279" s="5"/>
    </row>
    <row r="280" spans="2:7" ht="14.25" customHeight="1">
      <c r="B280" s="88" t="s">
        <v>677</v>
      </c>
      <c r="C280" s="89"/>
      <c r="D280" s="89"/>
      <c r="E280" s="89" t="s">
        <v>1328</v>
      </c>
      <c r="F280" s="89"/>
      <c r="G280" s="5"/>
    </row>
    <row r="281" spans="2:7" ht="14.25" customHeight="1">
      <c r="B281" s="88" t="s">
        <v>677</v>
      </c>
      <c r="C281" s="89"/>
      <c r="D281" s="89"/>
      <c r="E281" s="89" t="s">
        <v>1329</v>
      </c>
      <c r="F281" s="89"/>
      <c r="G281" s="5"/>
    </row>
    <row r="282" spans="2:7" ht="14.25" customHeight="1">
      <c r="B282" s="88" t="s">
        <v>677</v>
      </c>
      <c r="C282" s="89"/>
      <c r="D282" s="89"/>
      <c r="E282" s="89" t="s">
        <v>1330</v>
      </c>
      <c r="F282" s="89"/>
      <c r="G282" s="5"/>
    </row>
    <row r="283" spans="2:7" ht="14.25" customHeight="1">
      <c r="B283" s="88" t="s">
        <v>677</v>
      </c>
      <c r="C283" s="89"/>
      <c r="D283" s="90" t="s">
        <v>965</v>
      </c>
      <c r="E283" s="90" t="s">
        <v>965</v>
      </c>
      <c r="F283" s="90" t="s">
        <v>965</v>
      </c>
      <c r="G283" s="90" t="s">
        <v>965</v>
      </c>
    </row>
    <row r="284" spans="2:7" ht="14.25" customHeight="1">
      <c r="B284" s="88" t="s">
        <v>677</v>
      </c>
      <c r="C284" s="89"/>
      <c r="D284" s="89"/>
      <c r="E284" s="89" t="s">
        <v>1331</v>
      </c>
      <c r="F284" s="89"/>
      <c r="G284" s="5"/>
    </row>
    <row r="285" spans="2:7" ht="14.25" customHeight="1">
      <c r="B285" s="88" t="s">
        <v>677</v>
      </c>
      <c r="C285" s="89"/>
      <c r="D285" s="89"/>
      <c r="E285" s="89" t="s">
        <v>1332</v>
      </c>
      <c r="F285" s="89"/>
      <c r="G285" s="5"/>
    </row>
    <row r="286" spans="2:7" ht="14.25" customHeight="1">
      <c r="B286" s="88" t="s">
        <v>677</v>
      </c>
      <c r="C286" s="89"/>
      <c r="D286" s="89"/>
      <c r="E286" s="89" t="s">
        <v>1333</v>
      </c>
      <c r="F286" s="89"/>
      <c r="G286" s="5"/>
    </row>
    <row r="287" spans="2:7" ht="14.25" customHeight="1">
      <c r="B287" s="88" t="s">
        <v>677</v>
      </c>
      <c r="C287" s="89"/>
      <c r="D287" s="89"/>
      <c r="E287" s="89" t="s">
        <v>1334</v>
      </c>
      <c r="F287" s="89"/>
      <c r="G287" s="5"/>
    </row>
    <row r="288" spans="2:7" ht="14.25" customHeight="1">
      <c r="B288" s="88" t="s">
        <v>677</v>
      </c>
      <c r="C288" s="89"/>
      <c r="D288" s="90" t="s">
        <v>966</v>
      </c>
      <c r="E288" s="90" t="s">
        <v>966</v>
      </c>
      <c r="F288" s="90" t="s">
        <v>966</v>
      </c>
      <c r="G288" s="90" t="s">
        <v>966</v>
      </c>
    </row>
    <row r="289" spans="2:7" ht="14.25" customHeight="1">
      <c r="B289" s="88" t="s">
        <v>677</v>
      </c>
      <c r="C289" s="89"/>
      <c r="D289" s="89"/>
      <c r="E289" s="89" t="s">
        <v>1335</v>
      </c>
      <c r="F289" s="89"/>
      <c r="G289" s="5"/>
    </row>
    <row r="290" spans="2:7" ht="14.25" customHeight="1">
      <c r="B290" s="88" t="s">
        <v>677</v>
      </c>
      <c r="C290" s="89"/>
      <c r="D290" s="89"/>
      <c r="E290" s="89" t="s">
        <v>1336</v>
      </c>
      <c r="F290" s="89"/>
      <c r="G290" s="5"/>
    </row>
    <row r="291" spans="2:7" ht="14.25" customHeight="1">
      <c r="B291" s="88" t="s">
        <v>677</v>
      </c>
      <c r="C291" s="89"/>
      <c r="D291" s="89"/>
      <c r="E291" s="89" t="s">
        <v>1337</v>
      </c>
      <c r="F291" s="89"/>
      <c r="G291" s="5"/>
    </row>
    <row r="292" spans="2:7" ht="14.25" customHeight="1">
      <c r="B292" s="88" t="s">
        <v>677</v>
      </c>
      <c r="C292" s="89"/>
      <c r="D292" s="89"/>
      <c r="E292" s="89" t="s">
        <v>1338</v>
      </c>
      <c r="F292" s="89"/>
      <c r="G292" s="5"/>
    </row>
    <row r="293" spans="2:7" ht="14.25" customHeight="1">
      <c r="B293" s="88" t="s">
        <v>677</v>
      </c>
      <c r="C293" s="89"/>
      <c r="D293" s="89"/>
      <c r="E293" s="89" t="s">
        <v>1339</v>
      </c>
      <c r="F293" s="89"/>
      <c r="G293" s="5"/>
    </row>
    <row r="294" spans="2:7" ht="14.25" customHeight="1">
      <c r="B294" s="88" t="s">
        <v>677</v>
      </c>
      <c r="C294" s="89"/>
      <c r="D294" s="89"/>
      <c r="E294" s="89" t="s">
        <v>1340</v>
      </c>
      <c r="F294" s="89"/>
      <c r="G294" s="5"/>
    </row>
    <row r="295" spans="2:7" ht="14.25" customHeight="1">
      <c r="B295" s="88" t="s">
        <v>677</v>
      </c>
      <c r="C295" s="89"/>
      <c r="D295" s="90" t="s">
        <v>967</v>
      </c>
      <c r="E295" s="90" t="s">
        <v>967</v>
      </c>
      <c r="F295" s="90" t="s">
        <v>967</v>
      </c>
      <c r="G295" s="90" t="s">
        <v>967</v>
      </c>
    </row>
    <row r="296" spans="2:7" ht="14.25" customHeight="1">
      <c r="B296" s="88" t="s">
        <v>677</v>
      </c>
      <c r="C296" s="89"/>
      <c r="D296" s="89"/>
      <c r="E296" s="89" t="s">
        <v>1341</v>
      </c>
      <c r="F296" s="89"/>
      <c r="G296" s="5"/>
    </row>
    <row r="297" spans="2:7" ht="14.25" customHeight="1">
      <c r="B297" s="88" t="s">
        <v>677</v>
      </c>
      <c r="C297" s="89"/>
      <c r="D297" s="89"/>
      <c r="E297" s="89" t="s">
        <v>1342</v>
      </c>
      <c r="F297" s="89"/>
      <c r="G297" s="5"/>
    </row>
    <row r="298" spans="2:7" ht="14.25" customHeight="1">
      <c r="B298" s="88" t="s">
        <v>677</v>
      </c>
      <c r="C298" s="89"/>
      <c r="D298" s="89"/>
      <c r="E298" s="89" t="s">
        <v>1343</v>
      </c>
      <c r="F298" s="89"/>
      <c r="G298" s="5"/>
    </row>
    <row r="299" spans="2:7" ht="14.25" customHeight="1">
      <c r="B299" s="88" t="s">
        <v>677</v>
      </c>
      <c r="C299" s="89"/>
      <c r="D299" s="90" t="s">
        <v>968</v>
      </c>
      <c r="E299" s="90" t="s">
        <v>968</v>
      </c>
      <c r="F299" s="90" t="s">
        <v>968</v>
      </c>
      <c r="G299" s="90" t="s">
        <v>968</v>
      </c>
    </row>
    <row r="300" spans="2:7" ht="14.25" customHeight="1">
      <c r="B300" s="88" t="s">
        <v>677</v>
      </c>
      <c r="C300" s="89"/>
      <c r="D300" s="89"/>
      <c r="E300" s="89" t="s">
        <v>1344</v>
      </c>
      <c r="F300" s="89"/>
      <c r="G300" s="5"/>
    </row>
    <row r="301" spans="2:7" ht="14.25" customHeight="1">
      <c r="B301" s="88" t="s">
        <v>677</v>
      </c>
      <c r="C301" s="89"/>
      <c r="D301" s="89"/>
      <c r="E301" s="89" t="s">
        <v>1345</v>
      </c>
      <c r="F301" s="89"/>
      <c r="G301" s="5"/>
    </row>
    <row r="302" spans="2:7" ht="14.25" customHeight="1">
      <c r="B302" s="88" t="s">
        <v>677</v>
      </c>
      <c r="C302" s="89"/>
      <c r="D302" s="89"/>
      <c r="E302" s="89" t="s">
        <v>1346</v>
      </c>
      <c r="F302" s="89"/>
      <c r="G302" s="5"/>
    </row>
    <row r="303" spans="2:7" ht="14.25" customHeight="1">
      <c r="B303" s="88" t="s">
        <v>677</v>
      </c>
      <c r="C303" s="89"/>
      <c r="D303" s="90" t="s">
        <v>969</v>
      </c>
      <c r="E303" s="90" t="s">
        <v>969</v>
      </c>
      <c r="F303" s="90" t="s">
        <v>969</v>
      </c>
      <c r="G303" s="90" t="s">
        <v>969</v>
      </c>
    </row>
    <row r="304" spans="2:7" ht="14.25" customHeight="1">
      <c r="B304" s="88" t="s">
        <v>677</v>
      </c>
      <c r="C304" s="89"/>
      <c r="D304" s="89"/>
      <c r="E304" s="89" t="s">
        <v>1347</v>
      </c>
      <c r="F304" s="89"/>
      <c r="G304" s="5"/>
    </row>
    <row r="305" spans="2:7" ht="14.25" customHeight="1">
      <c r="B305" s="88" t="s">
        <v>677</v>
      </c>
      <c r="C305" s="89"/>
      <c r="D305" s="89"/>
      <c r="E305" s="89" t="s">
        <v>1348</v>
      </c>
      <c r="F305" s="89"/>
      <c r="G305" s="5"/>
    </row>
    <row r="306" spans="2:7" ht="14.25" customHeight="1">
      <c r="B306" s="88" t="s">
        <v>677</v>
      </c>
      <c r="C306" s="89"/>
      <c r="D306" s="89"/>
      <c r="E306" s="89" t="s">
        <v>1349</v>
      </c>
      <c r="F306" s="89"/>
      <c r="G306" s="5"/>
    </row>
    <row r="307" spans="2:7" ht="14.25" customHeight="1">
      <c r="B307" s="88" t="s">
        <v>677</v>
      </c>
      <c r="C307" s="89"/>
      <c r="D307" s="89"/>
      <c r="E307" s="89" t="s">
        <v>1350</v>
      </c>
      <c r="F307" s="89"/>
      <c r="G307" s="5"/>
    </row>
    <row r="308" spans="2:7" ht="14.25" customHeight="1">
      <c r="B308" s="88" t="s">
        <v>677</v>
      </c>
      <c r="C308" s="89"/>
      <c r="D308" s="89"/>
      <c r="E308" s="89" t="s">
        <v>1351</v>
      </c>
      <c r="F308" s="89"/>
      <c r="G308" s="5"/>
    </row>
    <row r="309" spans="2:7" ht="14.25" customHeight="1">
      <c r="B309" s="88" t="s">
        <v>677</v>
      </c>
      <c r="C309" s="89"/>
      <c r="D309" s="89"/>
      <c r="E309" s="89" t="s">
        <v>1352</v>
      </c>
      <c r="F309" s="89"/>
      <c r="G309" s="5"/>
    </row>
    <row r="310" spans="2:7" ht="14.25" customHeight="1">
      <c r="B310" s="88" t="s">
        <v>677</v>
      </c>
      <c r="C310" s="89"/>
      <c r="D310" s="90" t="s">
        <v>970</v>
      </c>
      <c r="E310" s="90" t="s">
        <v>970</v>
      </c>
      <c r="F310" s="90" t="s">
        <v>970</v>
      </c>
      <c r="G310" s="90" t="s">
        <v>970</v>
      </c>
    </row>
    <row r="311" spans="2:7" ht="14.25" customHeight="1">
      <c r="B311" s="88" t="s">
        <v>677</v>
      </c>
      <c r="C311" s="89"/>
      <c r="D311" s="89"/>
      <c r="E311" s="89" t="s">
        <v>1353</v>
      </c>
      <c r="F311" s="89"/>
      <c r="G311" s="5"/>
    </row>
    <row r="312" spans="2:7" ht="14.25" customHeight="1">
      <c r="B312" s="88" t="s">
        <v>677</v>
      </c>
      <c r="C312" s="89"/>
      <c r="D312" s="89"/>
      <c r="E312" s="89" t="s">
        <v>1354</v>
      </c>
      <c r="F312" s="89"/>
      <c r="G312" s="5"/>
    </row>
    <row r="313" spans="2:7" ht="14.25" customHeight="1">
      <c r="B313" s="88" t="s">
        <v>677</v>
      </c>
      <c r="C313" s="89"/>
      <c r="D313" s="89"/>
      <c r="E313" s="89" t="s">
        <v>1355</v>
      </c>
      <c r="F313" s="89"/>
      <c r="G313" s="5"/>
    </row>
    <row r="314" spans="2:7" ht="14.25" customHeight="1">
      <c r="B314" s="88" t="s">
        <v>677</v>
      </c>
      <c r="C314" s="89"/>
      <c r="D314" s="90" t="s">
        <v>971</v>
      </c>
      <c r="E314" s="90" t="s">
        <v>971</v>
      </c>
      <c r="F314" s="90" t="s">
        <v>971</v>
      </c>
      <c r="G314" s="90" t="s">
        <v>971</v>
      </c>
    </row>
    <row r="315" spans="2:7" ht="14.25" customHeight="1">
      <c r="B315" s="88" t="s">
        <v>677</v>
      </c>
      <c r="C315" s="89"/>
      <c r="D315" s="89"/>
      <c r="E315" s="89" t="s">
        <v>1356</v>
      </c>
      <c r="F315" s="89"/>
      <c r="G315" s="5"/>
    </row>
    <row r="316" spans="2:7" ht="14.25" customHeight="1">
      <c r="B316" s="88" t="s">
        <v>677</v>
      </c>
      <c r="C316" s="89"/>
      <c r="D316" s="89"/>
      <c r="E316" s="89" t="s">
        <v>1357</v>
      </c>
      <c r="F316" s="89"/>
      <c r="G316" s="5"/>
    </row>
    <row r="317" spans="2:7" ht="14.25" customHeight="1">
      <c r="B317" s="88" t="s">
        <v>677</v>
      </c>
      <c r="C317" s="89"/>
      <c r="D317" s="89"/>
      <c r="E317" s="89" t="s">
        <v>1358</v>
      </c>
      <c r="F317" s="89"/>
      <c r="G317" s="5"/>
    </row>
    <row r="318" spans="2:7" ht="14.25" customHeight="1">
      <c r="B318" s="88" t="s">
        <v>677</v>
      </c>
      <c r="C318" s="89"/>
      <c r="D318" s="90" t="s">
        <v>972</v>
      </c>
      <c r="E318" s="90" t="s">
        <v>972</v>
      </c>
      <c r="F318" s="90" t="s">
        <v>972</v>
      </c>
      <c r="G318" s="90" t="s">
        <v>972</v>
      </c>
    </row>
    <row r="319" spans="2:7" ht="14.25" customHeight="1">
      <c r="B319" s="88" t="s">
        <v>677</v>
      </c>
      <c r="C319" s="89"/>
      <c r="D319" s="89"/>
      <c r="E319" s="89" t="s">
        <v>1359</v>
      </c>
      <c r="F319" s="89"/>
      <c r="G319" s="5"/>
    </row>
    <row r="320" spans="2:7" ht="14.25" customHeight="1">
      <c r="B320" s="88" t="s">
        <v>677</v>
      </c>
      <c r="C320" s="89"/>
      <c r="D320" s="89"/>
      <c r="E320" s="89" t="s">
        <v>1360</v>
      </c>
      <c r="F320" s="89"/>
      <c r="G320" s="5"/>
    </row>
    <row r="321" spans="2:7" ht="14.25" customHeight="1">
      <c r="B321" s="88" t="s">
        <v>677</v>
      </c>
      <c r="C321" s="89"/>
      <c r="D321" s="89"/>
      <c r="E321" s="89" t="s">
        <v>1361</v>
      </c>
      <c r="F321" s="89"/>
      <c r="G321" s="5"/>
    </row>
    <row r="322" spans="2:7" ht="14.25" customHeight="1">
      <c r="B322" s="88" t="s">
        <v>677</v>
      </c>
      <c r="C322" s="89"/>
      <c r="D322" s="90" t="s">
        <v>973</v>
      </c>
      <c r="E322" s="90" t="s">
        <v>973</v>
      </c>
      <c r="F322" s="90" t="s">
        <v>973</v>
      </c>
      <c r="G322" s="90" t="s">
        <v>973</v>
      </c>
    </row>
    <row r="323" spans="2:7" ht="14.25" customHeight="1">
      <c r="B323" s="88" t="s">
        <v>677</v>
      </c>
      <c r="C323" s="89"/>
      <c r="D323" s="89"/>
      <c r="E323" s="89" t="s">
        <v>1362</v>
      </c>
      <c r="F323" s="89"/>
      <c r="G323" s="5"/>
    </row>
    <row r="324" spans="2:7" ht="14.25" customHeight="1">
      <c r="B324" s="88" t="s">
        <v>677</v>
      </c>
      <c r="C324" s="89"/>
      <c r="D324" s="89"/>
      <c r="E324" s="89" t="s">
        <v>1363</v>
      </c>
      <c r="F324" s="89"/>
      <c r="G324" s="5"/>
    </row>
    <row r="325" spans="2:7" ht="14.25" customHeight="1">
      <c r="B325" s="88" t="s">
        <v>677</v>
      </c>
      <c r="C325" s="89"/>
      <c r="D325" s="89"/>
      <c r="E325" s="89" t="s">
        <v>1364</v>
      </c>
      <c r="F325" s="89"/>
      <c r="G325" s="5"/>
    </row>
    <row r="326" spans="2:7" ht="14.25" customHeight="1">
      <c r="B326" s="88" t="s">
        <v>677</v>
      </c>
      <c r="C326" s="89"/>
      <c r="D326" s="89"/>
      <c r="E326" s="89" t="s">
        <v>1365</v>
      </c>
      <c r="F326" s="89"/>
      <c r="G326" s="5"/>
    </row>
    <row r="327" spans="2:7" ht="14.25" customHeight="1">
      <c r="B327" s="88" t="s">
        <v>677</v>
      </c>
      <c r="C327" s="89"/>
      <c r="D327" s="89"/>
      <c r="E327" s="89" t="s">
        <v>1366</v>
      </c>
      <c r="F327" s="89"/>
      <c r="G327" s="5"/>
    </row>
    <row r="328" spans="2:7" ht="14.25" customHeight="1">
      <c r="B328" s="88" t="s">
        <v>677</v>
      </c>
      <c r="C328" s="89"/>
      <c r="D328" s="89"/>
      <c r="E328" s="89" t="s">
        <v>1367</v>
      </c>
      <c r="F328" s="89"/>
      <c r="G328" s="5"/>
    </row>
    <row r="329" spans="2:7" ht="14.25" customHeight="1">
      <c r="B329" s="88" t="s">
        <v>677</v>
      </c>
      <c r="C329" s="89"/>
      <c r="D329" s="90" t="s">
        <v>974</v>
      </c>
      <c r="E329" s="90" t="s">
        <v>974</v>
      </c>
      <c r="F329" s="90" t="s">
        <v>974</v>
      </c>
      <c r="G329" s="90" t="s">
        <v>974</v>
      </c>
    </row>
    <row r="330" spans="2:7" ht="14.25" customHeight="1">
      <c r="B330" s="88" t="s">
        <v>677</v>
      </c>
      <c r="C330" s="89"/>
      <c r="D330" s="89"/>
      <c r="E330" s="89" t="s">
        <v>1368</v>
      </c>
      <c r="F330" s="89"/>
      <c r="G330" s="5"/>
    </row>
    <row r="331" spans="2:7" ht="14.25" customHeight="1">
      <c r="B331" s="88" t="s">
        <v>677</v>
      </c>
      <c r="C331" s="89"/>
      <c r="D331" s="89"/>
      <c r="E331" s="89" t="s">
        <v>1369</v>
      </c>
      <c r="F331" s="89"/>
      <c r="G331" s="5"/>
    </row>
    <row r="332" spans="2:7" ht="14.25" customHeight="1">
      <c r="B332" s="88" t="s">
        <v>677</v>
      </c>
      <c r="C332" s="89"/>
      <c r="D332" s="89"/>
      <c r="E332" s="89" t="s">
        <v>1370</v>
      </c>
      <c r="F332" s="89"/>
      <c r="G332" s="5"/>
    </row>
    <row r="333" spans="2:7" ht="14.25" customHeight="1">
      <c r="B333" s="88" t="s">
        <v>677</v>
      </c>
      <c r="C333" s="89"/>
      <c r="D333" s="90" t="s">
        <v>975</v>
      </c>
      <c r="E333" s="90" t="s">
        <v>975</v>
      </c>
      <c r="F333" s="90" t="s">
        <v>975</v>
      </c>
      <c r="G333" s="90" t="s">
        <v>975</v>
      </c>
    </row>
    <row r="334" spans="2:7" ht="14.25" customHeight="1">
      <c r="B334" s="88" t="s">
        <v>677</v>
      </c>
      <c r="C334" s="89"/>
      <c r="D334" s="89"/>
      <c r="E334" s="89" t="s">
        <v>1371</v>
      </c>
      <c r="F334" s="89"/>
      <c r="G334" s="5"/>
    </row>
    <row r="335" spans="2:7" ht="14.25" customHeight="1">
      <c r="B335" s="88" t="s">
        <v>677</v>
      </c>
      <c r="C335" s="89"/>
      <c r="D335" s="89"/>
      <c r="E335" s="89" t="s">
        <v>1372</v>
      </c>
      <c r="F335" s="89"/>
      <c r="G335" s="5"/>
    </row>
    <row r="336" spans="2:7" ht="14.25" customHeight="1">
      <c r="B336" s="88" t="s">
        <v>677</v>
      </c>
      <c r="C336" s="89"/>
      <c r="D336" s="89"/>
      <c r="E336" s="89" t="s">
        <v>1373</v>
      </c>
      <c r="F336" s="89"/>
      <c r="G336" s="5"/>
    </row>
    <row r="337" spans="2:7" ht="14.25" customHeight="1">
      <c r="B337" s="88" t="s">
        <v>677</v>
      </c>
      <c r="C337" s="89"/>
      <c r="D337" s="90" t="s">
        <v>976</v>
      </c>
      <c r="E337" s="90" t="s">
        <v>976</v>
      </c>
      <c r="F337" s="90" t="s">
        <v>976</v>
      </c>
      <c r="G337" s="90" t="s">
        <v>976</v>
      </c>
    </row>
    <row r="338" spans="2:7" ht="14.25" customHeight="1">
      <c r="B338" s="88" t="s">
        <v>677</v>
      </c>
      <c r="C338" s="89"/>
      <c r="D338" s="89"/>
      <c r="E338" s="89" t="s">
        <v>1374</v>
      </c>
      <c r="F338" s="89"/>
      <c r="G338" s="5"/>
    </row>
    <row r="339" spans="2:7" ht="14.25" customHeight="1">
      <c r="B339" s="88" t="s">
        <v>677</v>
      </c>
      <c r="C339" s="89"/>
      <c r="D339" s="89"/>
      <c r="E339" s="89" t="s">
        <v>1375</v>
      </c>
      <c r="F339" s="89"/>
      <c r="G339" s="5"/>
    </row>
    <row r="340" spans="2:7" ht="14.25" customHeight="1">
      <c r="B340" s="88" t="s">
        <v>677</v>
      </c>
      <c r="C340" s="89"/>
      <c r="D340" s="89"/>
      <c r="E340" s="89" t="s">
        <v>1376</v>
      </c>
      <c r="F340" s="89"/>
      <c r="G340" s="5"/>
    </row>
    <row r="341" spans="2:7" ht="14.25" customHeight="1">
      <c r="B341" s="88" t="s">
        <v>677</v>
      </c>
      <c r="C341" s="89"/>
      <c r="D341" s="90" t="s">
        <v>977</v>
      </c>
      <c r="E341" s="90" t="s">
        <v>977</v>
      </c>
      <c r="F341" s="90" t="s">
        <v>977</v>
      </c>
      <c r="G341" s="90" t="s">
        <v>977</v>
      </c>
    </row>
    <row r="342" spans="2:7" ht="14.25" customHeight="1">
      <c r="B342" s="88" t="s">
        <v>677</v>
      </c>
      <c r="C342" s="89"/>
      <c r="D342" s="89"/>
      <c r="E342" s="89" t="s">
        <v>1377</v>
      </c>
      <c r="F342" s="89"/>
      <c r="G342" s="5"/>
    </row>
    <row r="343" spans="2:7" ht="14.25" customHeight="1">
      <c r="B343" s="88" t="s">
        <v>677</v>
      </c>
      <c r="C343" s="89"/>
      <c r="D343" s="89"/>
      <c r="E343" s="89" t="s">
        <v>1378</v>
      </c>
      <c r="F343" s="89"/>
      <c r="G343" s="5"/>
    </row>
    <row r="344" spans="2:7" ht="14.25" customHeight="1">
      <c r="B344" s="88" t="s">
        <v>677</v>
      </c>
      <c r="C344" s="89"/>
      <c r="D344" s="89"/>
      <c r="E344" s="89" t="s">
        <v>1379</v>
      </c>
      <c r="F344" s="89"/>
      <c r="G344" s="5"/>
    </row>
    <row r="345" spans="2:7" ht="14.25" customHeight="1">
      <c r="B345" s="88" t="s">
        <v>677</v>
      </c>
      <c r="C345" s="89"/>
      <c r="D345" s="89"/>
      <c r="E345" s="89" t="s">
        <v>1380</v>
      </c>
      <c r="F345" s="89"/>
      <c r="G345" s="5"/>
    </row>
    <row r="346" spans="2:7" ht="14.25" customHeight="1">
      <c r="B346" s="88" t="s">
        <v>677</v>
      </c>
      <c r="C346" s="89"/>
      <c r="D346" s="89"/>
      <c r="E346" s="89" t="s">
        <v>1381</v>
      </c>
      <c r="F346" s="89"/>
      <c r="G346" s="5"/>
    </row>
    <row r="347" spans="2:7" ht="14.25" customHeight="1">
      <c r="B347" s="88" t="s">
        <v>677</v>
      </c>
      <c r="C347" s="89"/>
      <c r="D347" s="89"/>
      <c r="E347" s="89" t="s">
        <v>1382</v>
      </c>
      <c r="F347" s="89"/>
      <c r="G347" s="5"/>
    </row>
    <row r="348" spans="2:7" ht="14.25" customHeight="1">
      <c r="B348" s="88" t="s">
        <v>677</v>
      </c>
      <c r="C348" s="89"/>
      <c r="D348" s="90" t="s">
        <v>978</v>
      </c>
      <c r="E348" s="90" t="s">
        <v>978</v>
      </c>
      <c r="F348" s="90" t="s">
        <v>978</v>
      </c>
      <c r="G348" s="90" t="s">
        <v>978</v>
      </c>
    </row>
    <row r="349" spans="2:7" ht="14.25" customHeight="1">
      <c r="B349" s="88" t="s">
        <v>677</v>
      </c>
      <c r="C349" s="89"/>
      <c r="D349" s="89"/>
      <c r="E349" s="89" t="s">
        <v>1383</v>
      </c>
      <c r="F349" s="89"/>
      <c r="G349" s="5"/>
    </row>
    <row r="350" spans="2:7" ht="14.25" customHeight="1">
      <c r="B350" s="88" t="s">
        <v>677</v>
      </c>
      <c r="C350" s="89"/>
      <c r="D350" s="89"/>
      <c r="E350" s="89" t="s">
        <v>1384</v>
      </c>
      <c r="F350" s="89"/>
      <c r="G350" s="5"/>
    </row>
    <row r="351" spans="2:7" ht="14.25" customHeight="1">
      <c r="B351" s="88" t="s">
        <v>677</v>
      </c>
      <c r="C351" s="89"/>
      <c r="D351" s="89"/>
      <c r="E351" s="89" t="s">
        <v>1385</v>
      </c>
      <c r="F351" s="89"/>
      <c r="G351" s="5"/>
    </row>
    <row r="352" spans="2:7" ht="14.25" customHeight="1">
      <c r="B352" s="88" t="s">
        <v>677</v>
      </c>
      <c r="C352" s="89"/>
      <c r="D352" s="90" t="s">
        <v>979</v>
      </c>
      <c r="E352" s="90" t="s">
        <v>979</v>
      </c>
      <c r="F352" s="90" t="s">
        <v>979</v>
      </c>
      <c r="G352" s="90" t="s">
        <v>979</v>
      </c>
    </row>
    <row r="353" spans="2:7" ht="14.25" customHeight="1">
      <c r="B353" s="88" t="s">
        <v>677</v>
      </c>
      <c r="C353" s="89"/>
      <c r="D353" s="89"/>
      <c r="E353" s="89" t="s">
        <v>1386</v>
      </c>
      <c r="F353" s="89"/>
      <c r="G353" s="5"/>
    </row>
    <row r="354" spans="2:7" ht="14.25" customHeight="1">
      <c r="B354" s="88" t="s">
        <v>677</v>
      </c>
      <c r="C354" s="89"/>
      <c r="D354" s="89"/>
      <c r="E354" s="89" t="s">
        <v>1387</v>
      </c>
      <c r="F354" s="89"/>
      <c r="G354" s="5"/>
    </row>
    <row r="355" spans="2:7" ht="14.25" customHeight="1">
      <c r="B355" s="88" t="s">
        <v>677</v>
      </c>
      <c r="C355" s="89"/>
      <c r="D355" s="89"/>
      <c r="E355" s="89" t="s">
        <v>1388</v>
      </c>
      <c r="F355" s="89"/>
      <c r="G355" s="5"/>
    </row>
    <row r="356" spans="2:7" ht="14.25" customHeight="1">
      <c r="B356" s="88" t="s">
        <v>677</v>
      </c>
      <c r="C356" s="89"/>
      <c r="D356" s="90" t="s">
        <v>980</v>
      </c>
      <c r="E356" s="90" t="s">
        <v>980</v>
      </c>
      <c r="F356" s="90" t="s">
        <v>980</v>
      </c>
      <c r="G356" s="90" t="s">
        <v>980</v>
      </c>
    </row>
    <row r="357" spans="2:7" ht="14.25" customHeight="1">
      <c r="B357" s="88" t="s">
        <v>677</v>
      </c>
      <c r="C357" s="89"/>
      <c r="D357" s="89"/>
      <c r="E357" s="89" t="s">
        <v>1389</v>
      </c>
      <c r="F357" s="89"/>
      <c r="G357" s="5"/>
    </row>
    <row r="358" spans="2:7" ht="14.25" customHeight="1">
      <c r="B358" s="88" t="s">
        <v>677</v>
      </c>
      <c r="C358" s="89"/>
      <c r="D358" s="89"/>
      <c r="E358" s="89" t="s">
        <v>1390</v>
      </c>
      <c r="F358" s="89"/>
      <c r="G358" s="5"/>
    </row>
    <row r="359" spans="2:7" ht="14.25" customHeight="1">
      <c r="B359" s="88" t="s">
        <v>677</v>
      </c>
      <c r="C359" s="89"/>
      <c r="D359" s="89"/>
      <c r="E359" s="89" t="s">
        <v>1391</v>
      </c>
      <c r="F359" s="89"/>
      <c r="G359" s="5"/>
    </row>
    <row r="360" spans="2:7" ht="14.25" customHeight="1">
      <c r="B360" s="88" t="s">
        <v>677</v>
      </c>
      <c r="C360" s="89"/>
      <c r="D360" s="90" t="s">
        <v>981</v>
      </c>
      <c r="E360" s="90" t="s">
        <v>981</v>
      </c>
      <c r="F360" s="90" t="s">
        <v>981</v>
      </c>
      <c r="G360" s="90" t="s">
        <v>981</v>
      </c>
    </row>
    <row r="361" spans="2:7" ht="14.25" customHeight="1">
      <c r="B361" s="88" t="s">
        <v>677</v>
      </c>
      <c r="C361" s="89"/>
      <c r="D361" s="89"/>
      <c r="E361" s="89" t="s">
        <v>1392</v>
      </c>
      <c r="F361" s="89"/>
      <c r="G361" s="5"/>
    </row>
    <row r="362" spans="2:7" ht="14.25" customHeight="1">
      <c r="B362" s="88" t="s">
        <v>677</v>
      </c>
      <c r="C362" s="89"/>
      <c r="D362" s="89"/>
      <c r="E362" s="89" t="s">
        <v>1393</v>
      </c>
      <c r="F362" s="89"/>
      <c r="G362" s="5"/>
    </row>
    <row r="363" spans="2:7" ht="14.25" customHeight="1">
      <c r="B363" s="88" t="s">
        <v>677</v>
      </c>
      <c r="C363" s="89"/>
      <c r="D363" s="89"/>
      <c r="E363" s="89" t="s">
        <v>1394</v>
      </c>
      <c r="F363" s="89"/>
      <c r="G363" s="5"/>
    </row>
    <row r="364" spans="2:7" ht="14.25" customHeight="1">
      <c r="B364" s="88" t="s">
        <v>677</v>
      </c>
      <c r="C364" s="89"/>
      <c r="D364" s="89"/>
      <c r="E364" s="89" t="s">
        <v>1395</v>
      </c>
      <c r="F364" s="89"/>
      <c r="G364" s="5"/>
    </row>
    <row r="365" spans="2:7" ht="14.25" customHeight="1">
      <c r="B365" s="88" t="s">
        <v>677</v>
      </c>
      <c r="C365" s="89"/>
      <c r="D365" s="89"/>
      <c r="E365" s="89" t="s">
        <v>1396</v>
      </c>
      <c r="F365" s="89"/>
      <c r="G365" s="5"/>
    </row>
    <row r="366" spans="2:7" ht="14.25" customHeight="1">
      <c r="B366" s="88" t="s">
        <v>677</v>
      </c>
      <c r="C366" s="89"/>
      <c r="D366" s="89"/>
      <c r="E366" s="89" t="s">
        <v>1397</v>
      </c>
      <c r="F366" s="89"/>
      <c r="G366" s="5"/>
    </row>
    <row r="367" spans="2:7" ht="14.25" customHeight="1">
      <c r="B367" s="88" t="s">
        <v>677</v>
      </c>
      <c r="C367" s="89"/>
      <c r="D367" s="89"/>
      <c r="E367" s="89" t="s">
        <v>1398</v>
      </c>
      <c r="F367" s="89"/>
      <c r="G367" s="5"/>
    </row>
    <row r="368" spans="2:7" ht="14.25" customHeight="1">
      <c r="B368" s="88" t="s">
        <v>677</v>
      </c>
      <c r="C368" s="89"/>
      <c r="D368" s="89"/>
      <c r="E368" s="89" t="s">
        <v>1399</v>
      </c>
      <c r="F368" s="89"/>
      <c r="G368" s="5"/>
    </row>
    <row r="369" spans="2:7" ht="14.25" customHeight="1">
      <c r="B369" s="88" t="s">
        <v>677</v>
      </c>
      <c r="C369" s="89"/>
      <c r="D369" s="90" t="s">
        <v>982</v>
      </c>
      <c r="E369" s="90" t="s">
        <v>982</v>
      </c>
      <c r="F369" s="90" t="s">
        <v>982</v>
      </c>
      <c r="G369" s="90" t="s">
        <v>982</v>
      </c>
    </row>
    <row r="370" spans="2:7" ht="14.25" customHeight="1">
      <c r="B370" s="88" t="s">
        <v>677</v>
      </c>
      <c r="C370" s="89"/>
      <c r="D370" s="89"/>
      <c r="E370" s="89" t="s">
        <v>1400</v>
      </c>
      <c r="F370" s="89"/>
      <c r="G370" s="5"/>
    </row>
    <row r="371" spans="2:7" ht="14.25" customHeight="1">
      <c r="B371" s="88" t="s">
        <v>677</v>
      </c>
      <c r="C371" s="89"/>
      <c r="D371" s="89"/>
      <c r="E371" s="89" t="s">
        <v>1401</v>
      </c>
      <c r="F371" s="89"/>
      <c r="G371" s="5"/>
    </row>
    <row r="372" spans="2:7" ht="14.25" customHeight="1">
      <c r="B372" s="88" t="s">
        <v>677</v>
      </c>
      <c r="C372" s="89"/>
      <c r="D372" s="89"/>
      <c r="E372" s="89" t="s">
        <v>1402</v>
      </c>
      <c r="F372" s="89"/>
      <c r="G372" s="5"/>
    </row>
    <row r="373" spans="2:7" ht="14.25" customHeight="1">
      <c r="B373" s="88" t="s">
        <v>677</v>
      </c>
      <c r="C373" s="89"/>
      <c r="D373" s="89"/>
      <c r="E373" s="89" t="s">
        <v>1403</v>
      </c>
      <c r="F373" s="89"/>
      <c r="G373" s="5"/>
    </row>
    <row r="374" spans="2:7" ht="14.25" customHeight="1">
      <c r="B374" s="88" t="s">
        <v>677</v>
      </c>
      <c r="C374" s="89"/>
      <c r="D374" s="90" t="s">
        <v>983</v>
      </c>
      <c r="E374" s="90" t="s">
        <v>983</v>
      </c>
      <c r="F374" s="90" t="s">
        <v>983</v>
      </c>
      <c r="G374" s="90" t="s">
        <v>983</v>
      </c>
    </row>
    <row r="375" spans="2:7" ht="14.25" customHeight="1">
      <c r="B375" s="88" t="s">
        <v>677</v>
      </c>
      <c r="C375" s="89"/>
      <c r="D375" s="89"/>
      <c r="E375" s="89" t="s">
        <v>1404</v>
      </c>
      <c r="F375" s="89"/>
      <c r="G375" s="5"/>
    </row>
    <row r="376" spans="2:7" ht="14.25" customHeight="1">
      <c r="B376" s="88" t="s">
        <v>677</v>
      </c>
      <c r="C376" s="89"/>
      <c r="D376" s="89"/>
      <c r="E376" s="89" t="s">
        <v>1405</v>
      </c>
      <c r="F376" s="89"/>
      <c r="G376" s="5"/>
    </row>
    <row r="377" spans="2:7" ht="14.25" customHeight="1">
      <c r="B377" s="88" t="s">
        <v>677</v>
      </c>
      <c r="C377" s="89"/>
      <c r="D377" s="89"/>
      <c r="E377" s="89" t="s">
        <v>1406</v>
      </c>
      <c r="F377" s="89"/>
      <c r="G377" s="5"/>
    </row>
    <row r="378" spans="2:7" ht="14.25" customHeight="1">
      <c r="B378" s="88" t="s">
        <v>677</v>
      </c>
      <c r="C378" s="89"/>
      <c r="D378" s="89"/>
      <c r="E378" s="89" t="s">
        <v>1407</v>
      </c>
      <c r="F378" s="89"/>
      <c r="G378" s="5"/>
    </row>
    <row r="379" spans="2:7" ht="14.25" customHeight="1">
      <c r="B379" s="88" t="s">
        <v>677</v>
      </c>
      <c r="C379" s="89"/>
      <c r="D379" s="90" t="s">
        <v>984</v>
      </c>
      <c r="E379" s="90" t="s">
        <v>984</v>
      </c>
      <c r="F379" s="90" t="s">
        <v>984</v>
      </c>
      <c r="G379" s="90" t="s">
        <v>984</v>
      </c>
    </row>
    <row r="380" spans="2:7" ht="14.25" customHeight="1">
      <c r="B380" s="88" t="s">
        <v>677</v>
      </c>
      <c r="C380" s="89"/>
      <c r="D380" s="89"/>
      <c r="E380" s="89" t="s">
        <v>1408</v>
      </c>
      <c r="F380" s="89"/>
      <c r="G380" s="5"/>
    </row>
    <row r="381" spans="2:7" ht="14.25" customHeight="1">
      <c r="B381" s="88" t="s">
        <v>677</v>
      </c>
      <c r="C381" s="89"/>
      <c r="D381" s="89"/>
      <c r="E381" s="89" t="s">
        <v>1409</v>
      </c>
      <c r="F381" s="89"/>
      <c r="G381" s="5"/>
    </row>
    <row r="382" spans="2:7" ht="14.25" customHeight="1">
      <c r="B382" s="88" t="s">
        <v>677</v>
      </c>
      <c r="C382" s="89"/>
      <c r="D382" s="89"/>
      <c r="E382" s="89" t="s">
        <v>1410</v>
      </c>
      <c r="F382" s="89"/>
      <c r="G382" s="5"/>
    </row>
    <row r="383" spans="2:7" ht="14.25" customHeight="1">
      <c r="B383" s="88" t="s">
        <v>677</v>
      </c>
      <c r="C383" s="89"/>
      <c r="D383" s="89"/>
      <c r="E383" s="89" t="s">
        <v>1411</v>
      </c>
      <c r="F383" s="89"/>
      <c r="G383" s="5"/>
    </row>
    <row r="384" spans="2:7" ht="14.25" customHeight="1">
      <c r="B384" s="88" t="s">
        <v>677</v>
      </c>
      <c r="C384" s="89"/>
      <c r="D384" s="90" t="s">
        <v>986</v>
      </c>
      <c r="E384" s="90" t="s">
        <v>986</v>
      </c>
      <c r="F384" s="90" t="s">
        <v>986</v>
      </c>
      <c r="G384" s="90" t="s">
        <v>986</v>
      </c>
    </row>
    <row r="385" spans="2:7" ht="14.25" customHeight="1">
      <c r="B385" s="88" t="s">
        <v>677</v>
      </c>
      <c r="C385" s="89"/>
      <c r="D385" s="89"/>
      <c r="E385" s="89" t="s">
        <v>1412</v>
      </c>
      <c r="F385" s="89"/>
      <c r="G385" s="5"/>
    </row>
    <row r="386" spans="2:7" ht="14.25" customHeight="1">
      <c r="B386" s="88" t="s">
        <v>677</v>
      </c>
      <c r="C386" s="89"/>
      <c r="D386" s="89"/>
      <c r="E386" s="89" t="s">
        <v>1413</v>
      </c>
      <c r="F386" s="89"/>
      <c r="G386" s="5"/>
    </row>
    <row r="387" spans="2:7" ht="14.25" customHeight="1">
      <c r="B387" s="88" t="s">
        <v>677</v>
      </c>
      <c r="C387" s="89"/>
      <c r="D387" s="89"/>
      <c r="E387" s="89" t="s">
        <v>1414</v>
      </c>
      <c r="F387" s="89"/>
      <c r="G387" s="5"/>
    </row>
    <row r="388" spans="2:7" ht="14.25" customHeight="1">
      <c r="B388" s="88" t="s">
        <v>677</v>
      </c>
      <c r="C388" s="89"/>
      <c r="D388" s="89"/>
      <c r="E388" s="89" t="s">
        <v>1415</v>
      </c>
      <c r="F388" s="89"/>
      <c r="G388" s="5"/>
    </row>
    <row r="389" spans="2:7" ht="14.25" customHeight="1">
      <c r="B389" s="88" t="s">
        <v>677</v>
      </c>
      <c r="C389" s="89"/>
      <c r="D389" s="90" t="s">
        <v>987</v>
      </c>
      <c r="E389" s="90" t="s">
        <v>987</v>
      </c>
      <c r="F389" s="90" t="s">
        <v>987</v>
      </c>
      <c r="G389" s="90" t="s">
        <v>987</v>
      </c>
    </row>
    <row r="390" spans="2:7" ht="14.25" customHeight="1">
      <c r="B390" s="88" t="s">
        <v>677</v>
      </c>
      <c r="C390" s="89"/>
      <c r="D390" s="89"/>
      <c r="E390" s="89" t="s">
        <v>1416</v>
      </c>
      <c r="F390" s="89"/>
      <c r="G390" s="5"/>
    </row>
    <row r="391" spans="2:7" ht="14.25" customHeight="1">
      <c r="B391" s="88" t="s">
        <v>677</v>
      </c>
      <c r="C391" s="89"/>
      <c r="D391" s="89"/>
      <c r="E391" s="89" t="s">
        <v>1417</v>
      </c>
      <c r="F391" s="89"/>
      <c r="G391" s="5"/>
    </row>
    <row r="392" spans="2:7" ht="14.25" customHeight="1">
      <c r="B392" s="88" t="s">
        <v>677</v>
      </c>
      <c r="C392" s="89"/>
      <c r="D392" s="89"/>
      <c r="E392" s="89" t="s">
        <v>1418</v>
      </c>
      <c r="F392" s="89"/>
      <c r="G392" s="5"/>
    </row>
    <row r="393" spans="2:7" ht="14.25" customHeight="1">
      <c r="B393" s="88" t="s">
        <v>677</v>
      </c>
      <c r="C393" s="89"/>
      <c r="D393" s="89"/>
      <c r="E393" s="89" t="s">
        <v>1419</v>
      </c>
      <c r="F393" s="89"/>
      <c r="G393" s="5"/>
    </row>
    <row r="394" spans="2:7" ht="14.25" customHeight="1">
      <c r="B394" s="88" t="s">
        <v>677</v>
      </c>
      <c r="C394" s="89"/>
      <c r="D394" s="90" t="s">
        <v>988</v>
      </c>
      <c r="E394" s="90" t="s">
        <v>988</v>
      </c>
      <c r="F394" s="90" t="s">
        <v>988</v>
      </c>
      <c r="G394" s="90" t="s">
        <v>988</v>
      </c>
    </row>
    <row r="395" spans="2:7" ht="14.25" customHeight="1">
      <c r="B395" s="88" t="s">
        <v>677</v>
      </c>
      <c r="C395" s="89"/>
      <c r="D395" s="89"/>
      <c r="E395" s="89" t="s">
        <v>1420</v>
      </c>
      <c r="F395" s="89"/>
      <c r="G395" s="5"/>
    </row>
    <row r="396" spans="2:7" ht="14.25" customHeight="1">
      <c r="B396" s="88" t="s">
        <v>677</v>
      </c>
      <c r="C396" s="89"/>
      <c r="D396" s="89"/>
      <c r="E396" s="89" t="s">
        <v>1421</v>
      </c>
      <c r="F396" s="89"/>
      <c r="G396" s="5"/>
    </row>
    <row r="397" spans="2:7" ht="14.25" customHeight="1">
      <c r="B397" s="88" t="s">
        <v>677</v>
      </c>
      <c r="C397" s="89"/>
      <c r="D397" s="89"/>
      <c r="E397" s="89" t="s">
        <v>1422</v>
      </c>
      <c r="F397" s="89"/>
      <c r="G397" s="5"/>
    </row>
    <row r="398" spans="2:7" ht="14.25" customHeight="1">
      <c r="B398" s="88" t="s">
        <v>677</v>
      </c>
      <c r="C398" s="89"/>
      <c r="D398" s="89"/>
      <c r="E398" s="89" t="s">
        <v>1423</v>
      </c>
      <c r="F398" s="89"/>
      <c r="G398" s="5"/>
    </row>
    <row r="399" spans="2:7" ht="14.25" customHeight="1">
      <c r="B399" s="88" t="s">
        <v>677</v>
      </c>
      <c r="C399" s="89"/>
      <c r="D399" s="90" t="s">
        <v>989</v>
      </c>
      <c r="E399" s="90" t="s">
        <v>989</v>
      </c>
      <c r="F399" s="90" t="s">
        <v>989</v>
      </c>
      <c r="G399" s="90" t="s">
        <v>989</v>
      </c>
    </row>
    <row r="400" spans="2:7" ht="14.25" customHeight="1">
      <c r="B400" s="88" t="s">
        <v>677</v>
      </c>
      <c r="C400" s="89"/>
      <c r="D400" s="89"/>
      <c r="E400" s="89" t="s">
        <v>1424</v>
      </c>
      <c r="F400" s="89"/>
      <c r="G400" s="5"/>
    </row>
    <row r="401" spans="2:7" ht="14.25" customHeight="1">
      <c r="B401" s="88" t="s">
        <v>677</v>
      </c>
      <c r="C401" s="89"/>
      <c r="D401" s="89"/>
      <c r="E401" s="89" t="s">
        <v>1425</v>
      </c>
      <c r="F401" s="89"/>
      <c r="G401" s="5"/>
    </row>
    <row r="402" spans="2:7" ht="14.25" customHeight="1">
      <c r="B402" s="88" t="s">
        <v>677</v>
      </c>
      <c r="C402" s="89"/>
      <c r="D402" s="89"/>
      <c r="E402" s="89" t="s">
        <v>1426</v>
      </c>
      <c r="F402" s="89"/>
      <c r="G402" s="5"/>
    </row>
    <row r="403" spans="2:7" ht="14.25" customHeight="1">
      <c r="B403" s="88" t="s">
        <v>677</v>
      </c>
      <c r="C403" s="89"/>
      <c r="D403" s="89"/>
      <c r="E403" s="89" t="s">
        <v>1427</v>
      </c>
      <c r="F403" s="89"/>
      <c r="G403" s="5"/>
    </row>
    <row r="404" spans="2:7" ht="14.25" customHeight="1">
      <c r="B404" s="88" t="s">
        <v>677</v>
      </c>
      <c r="C404" s="89"/>
      <c r="D404" s="90" t="s">
        <v>990</v>
      </c>
      <c r="E404" s="90" t="s">
        <v>990</v>
      </c>
      <c r="F404" s="90" t="s">
        <v>990</v>
      </c>
      <c r="G404" s="90" t="s">
        <v>990</v>
      </c>
    </row>
    <row r="405" spans="2:7" ht="14.25" customHeight="1">
      <c r="B405" s="88" t="s">
        <v>677</v>
      </c>
      <c r="C405" s="89"/>
      <c r="D405" s="89"/>
      <c r="E405" s="89" t="s">
        <v>1428</v>
      </c>
      <c r="F405" s="89"/>
      <c r="G405" s="5"/>
    </row>
    <row r="406" spans="2:7" ht="14.25" customHeight="1">
      <c r="B406" s="88" t="s">
        <v>677</v>
      </c>
      <c r="C406" s="89"/>
      <c r="D406" s="89"/>
      <c r="E406" s="89" t="s">
        <v>1429</v>
      </c>
      <c r="F406" s="89"/>
      <c r="G406" s="5"/>
    </row>
    <row r="407" spans="2:7" ht="14.25" customHeight="1">
      <c r="B407" s="88" t="s">
        <v>677</v>
      </c>
      <c r="C407" s="89"/>
      <c r="D407" s="89"/>
      <c r="E407" s="89" t="s">
        <v>1430</v>
      </c>
      <c r="F407" s="89"/>
      <c r="G407" s="5"/>
    </row>
    <row r="408" spans="2:7" ht="14.25" customHeight="1">
      <c r="B408" s="88" t="s">
        <v>677</v>
      </c>
      <c r="C408" s="89"/>
      <c r="D408" s="89"/>
      <c r="E408" s="89" t="s">
        <v>1431</v>
      </c>
      <c r="F408" s="89"/>
      <c r="G408" s="5"/>
    </row>
    <row r="409" spans="2:7" ht="14.25" customHeight="1">
      <c r="B409" s="88" t="s">
        <v>677</v>
      </c>
      <c r="C409" s="89"/>
      <c r="D409" s="90" t="s">
        <v>991</v>
      </c>
      <c r="E409" s="90" t="s">
        <v>991</v>
      </c>
      <c r="F409" s="90" t="s">
        <v>991</v>
      </c>
      <c r="G409" s="90" t="s">
        <v>991</v>
      </c>
    </row>
    <row r="410" spans="2:7" ht="14.25" customHeight="1">
      <c r="B410" s="88" t="s">
        <v>677</v>
      </c>
      <c r="C410" s="89"/>
      <c r="D410" s="89"/>
      <c r="E410" s="89" t="s">
        <v>1432</v>
      </c>
      <c r="F410" s="89"/>
      <c r="G410" s="5"/>
    </row>
    <row r="411" spans="2:7" ht="14.25" customHeight="1">
      <c r="B411" s="88" t="s">
        <v>677</v>
      </c>
      <c r="C411" s="89"/>
      <c r="D411" s="89"/>
      <c r="E411" s="89" t="s">
        <v>1433</v>
      </c>
      <c r="F411" s="89"/>
      <c r="G411" s="5"/>
    </row>
    <row r="412" spans="2:7" ht="14.25" customHeight="1">
      <c r="B412" s="88" t="s">
        <v>677</v>
      </c>
      <c r="C412" s="89"/>
      <c r="D412" s="89"/>
      <c r="E412" s="89" t="s">
        <v>1434</v>
      </c>
      <c r="F412" s="89"/>
      <c r="G412" s="5"/>
    </row>
    <row r="413" spans="2:7" ht="14.25" customHeight="1">
      <c r="B413" s="88" t="s">
        <v>677</v>
      </c>
      <c r="C413" s="89"/>
      <c r="D413" s="89"/>
      <c r="E413" s="89" t="s">
        <v>1435</v>
      </c>
      <c r="F413" s="89"/>
      <c r="G413" s="5"/>
    </row>
    <row r="414" spans="2:7" ht="14.25" customHeight="1">
      <c r="B414" s="88" t="s">
        <v>677</v>
      </c>
      <c r="C414" s="89"/>
      <c r="D414" s="90" t="s">
        <v>992</v>
      </c>
      <c r="E414" s="90" t="s">
        <v>992</v>
      </c>
      <c r="F414" s="90" t="s">
        <v>992</v>
      </c>
      <c r="G414" s="90" t="s">
        <v>992</v>
      </c>
    </row>
    <row r="415" spans="2:7" ht="14.25" customHeight="1">
      <c r="B415" s="88" t="s">
        <v>677</v>
      </c>
      <c r="C415" s="89"/>
      <c r="D415" s="89"/>
      <c r="E415" s="89" t="s">
        <v>1436</v>
      </c>
      <c r="F415" s="89"/>
      <c r="G415" s="5"/>
    </row>
    <row r="416" spans="2:7" ht="14.25" customHeight="1">
      <c r="B416" s="88" t="s">
        <v>677</v>
      </c>
      <c r="C416" s="89"/>
      <c r="D416" s="89"/>
      <c r="E416" s="89" t="s">
        <v>1437</v>
      </c>
      <c r="F416" s="89"/>
      <c r="G416" s="5"/>
    </row>
    <row r="417" spans="2:7" ht="14.25" customHeight="1">
      <c r="B417" s="88" t="s">
        <v>677</v>
      </c>
      <c r="C417" s="89"/>
      <c r="D417" s="89"/>
      <c r="E417" s="89" t="s">
        <v>1438</v>
      </c>
      <c r="F417" s="89"/>
      <c r="G417" s="5"/>
    </row>
    <row r="418" spans="2:7" ht="14.25" customHeight="1">
      <c r="B418" s="88" t="s">
        <v>677</v>
      </c>
      <c r="C418" s="89"/>
      <c r="D418" s="89"/>
      <c r="E418" s="89" t="s">
        <v>1439</v>
      </c>
      <c r="F418" s="89"/>
      <c r="G418" s="5"/>
    </row>
    <row r="419" spans="2:7" ht="14.25" customHeight="1">
      <c r="B419" s="88" t="s">
        <v>677</v>
      </c>
      <c r="C419" s="89"/>
      <c r="D419" s="90" t="s">
        <v>993</v>
      </c>
      <c r="E419" s="90" t="s">
        <v>993</v>
      </c>
      <c r="F419" s="90" t="s">
        <v>993</v>
      </c>
      <c r="G419" s="90" t="s">
        <v>993</v>
      </c>
    </row>
    <row r="420" spans="2:7" ht="14.25" customHeight="1">
      <c r="B420" s="88" t="s">
        <v>677</v>
      </c>
      <c r="C420" s="89"/>
      <c r="D420" s="89"/>
      <c r="E420" s="89" t="s">
        <v>1440</v>
      </c>
      <c r="F420" s="89"/>
      <c r="G420" s="5"/>
    </row>
    <row r="421" spans="2:7" ht="14.25" customHeight="1">
      <c r="B421" s="88" t="s">
        <v>677</v>
      </c>
      <c r="C421" s="89"/>
      <c r="D421" s="89"/>
      <c r="E421" s="89" t="s">
        <v>1441</v>
      </c>
      <c r="F421" s="89"/>
      <c r="G421" s="5"/>
    </row>
    <row r="422" spans="2:7" ht="14.25" customHeight="1">
      <c r="B422" s="88" t="s">
        <v>677</v>
      </c>
      <c r="C422" s="89"/>
      <c r="D422" s="89"/>
      <c r="E422" s="89" t="s">
        <v>1442</v>
      </c>
      <c r="F422" s="89"/>
      <c r="G422" s="5"/>
    </row>
    <row r="423" spans="2:7" ht="14.25" customHeight="1">
      <c r="B423" s="88" t="s">
        <v>677</v>
      </c>
      <c r="C423" s="89"/>
      <c r="D423" s="89"/>
      <c r="E423" s="89" t="s">
        <v>1443</v>
      </c>
      <c r="F423" s="89"/>
      <c r="G423" s="5"/>
    </row>
    <row r="424" spans="2:7" ht="14.25" customHeight="1">
      <c r="B424" s="88" t="s">
        <v>677</v>
      </c>
      <c r="C424" s="89"/>
      <c r="D424" s="90" t="s">
        <v>994</v>
      </c>
      <c r="E424" s="90" t="s">
        <v>994</v>
      </c>
      <c r="F424" s="90" t="s">
        <v>994</v>
      </c>
      <c r="G424" s="90" t="s">
        <v>994</v>
      </c>
    </row>
    <row r="425" spans="2:7" ht="14.25" customHeight="1">
      <c r="B425" s="88" t="s">
        <v>677</v>
      </c>
      <c r="C425" s="89"/>
      <c r="D425" s="89"/>
      <c r="E425" s="89" t="s">
        <v>1444</v>
      </c>
      <c r="F425" s="89"/>
      <c r="G425" s="5"/>
    </row>
    <row r="426" spans="2:7" ht="14.25" customHeight="1">
      <c r="B426" s="88" t="s">
        <v>677</v>
      </c>
      <c r="C426" s="89"/>
      <c r="D426" s="89"/>
      <c r="E426" s="89" t="s">
        <v>1445</v>
      </c>
      <c r="F426" s="89"/>
      <c r="G426" s="5"/>
    </row>
    <row r="427" spans="2:7" ht="14.25" customHeight="1">
      <c r="B427" s="88" t="s">
        <v>677</v>
      </c>
      <c r="C427" s="89"/>
      <c r="D427" s="89"/>
      <c r="E427" s="89" t="s">
        <v>1446</v>
      </c>
      <c r="F427" s="89"/>
      <c r="G427" s="5"/>
    </row>
    <row r="428" spans="2:7" ht="14.25" customHeight="1">
      <c r="B428" s="88" t="s">
        <v>677</v>
      </c>
      <c r="C428" s="89"/>
      <c r="D428" s="89"/>
      <c r="E428" s="89" t="s">
        <v>1447</v>
      </c>
      <c r="F428" s="89"/>
      <c r="G428" s="5"/>
    </row>
    <row r="429" spans="2:7" ht="14.25" customHeight="1">
      <c r="B429" s="88" t="s">
        <v>677</v>
      </c>
      <c r="C429" s="89"/>
      <c r="D429" s="90" t="s">
        <v>995</v>
      </c>
      <c r="E429" s="90" t="s">
        <v>995</v>
      </c>
      <c r="F429" s="90" t="s">
        <v>995</v>
      </c>
      <c r="G429" s="90" t="s">
        <v>995</v>
      </c>
    </row>
    <row r="430" spans="2:7" ht="14.25" customHeight="1">
      <c r="B430" s="88" t="s">
        <v>677</v>
      </c>
      <c r="C430" s="89"/>
      <c r="D430" s="89"/>
      <c r="E430" s="89" t="s">
        <v>1448</v>
      </c>
      <c r="F430" s="89"/>
      <c r="G430" s="5"/>
    </row>
    <row r="431" spans="2:7" ht="14.25" customHeight="1">
      <c r="B431" s="88" t="s">
        <v>677</v>
      </c>
      <c r="C431" s="89"/>
      <c r="D431" s="89"/>
      <c r="E431" s="89" t="s">
        <v>1449</v>
      </c>
      <c r="F431" s="89"/>
      <c r="G431" s="5"/>
    </row>
    <row r="432" spans="2:7" ht="14.25" customHeight="1">
      <c r="B432" s="88" t="s">
        <v>677</v>
      </c>
      <c r="C432" s="89"/>
      <c r="D432" s="89"/>
      <c r="E432" s="89" t="s">
        <v>1450</v>
      </c>
      <c r="F432" s="89"/>
      <c r="G432" s="5"/>
    </row>
    <row r="433" spans="2:7" ht="14.25" customHeight="1">
      <c r="B433" s="88" t="s">
        <v>677</v>
      </c>
      <c r="C433" s="89"/>
      <c r="D433" s="89"/>
      <c r="E433" s="89" t="s">
        <v>1451</v>
      </c>
      <c r="F433" s="89"/>
      <c r="G433" s="5"/>
    </row>
    <row r="434" spans="2:7" ht="14.25" customHeight="1">
      <c r="B434" s="88" t="s">
        <v>677</v>
      </c>
      <c r="C434" s="89"/>
      <c r="D434" s="90" t="s">
        <v>1005</v>
      </c>
      <c r="E434" s="90" t="s">
        <v>1005</v>
      </c>
      <c r="F434" s="90" t="s">
        <v>1005</v>
      </c>
      <c r="G434" s="90" t="s">
        <v>1005</v>
      </c>
    </row>
    <row r="435" spans="2:7" ht="14.25" customHeight="1">
      <c r="B435" s="88" t="s">
        <v>677</v>
      </c>
      <c r="C435" s="89"/>
      <c r="D435" s="89"/>
      <c r="E435" s="89" t="s">
        <v>1452</v>
      </c>
      <c r="F435" s="89"/>
      <c r="G435" s="5"/>
    </row>
    <row r="436" spans="2:7" ht="14.25" customHeight="1">
      <c r="B436" s="88" t="s">
        <v>677</v>
      </c>
      <c r="C436" s="89"/>
      <c r="D436" s="89"/>
      <c r="E436" s="89" t="s">
        <v>1453</v>
      </c>
      <c r="F436" s="89"/>
      <c r="G436" s="5"/>
    </row>
    <row r="437" spans="2:7" ht="14.25" customHeight="1">
      <c r="B437" s="88" t="s">
        <v>677</v>
      </c>
      <c r="C437" s="89"/>
      <c r="D437" s="89"/>
      <c r="E437" s="89" t="s">
        <v>1454</v>
      </c>
      <c r="F437" s="89"/>
      <c r="G437" s="5"/>
    </row>
    <row r="438" spans="2:7" ht="14.25" customHeight="1">
      <c r="B438" s="88" t="s">
        <v>677</v>
      </c>
      <c r="C438" s="89"/>
      <c r="D438" s="89"/>
      <c r="E438" s="89" t="s">
        <v>1455</v>
      </c>
      <c r="F438" s="89"/>
      <c r="G438" s="5"/>
    </row>
    <row r="439" spans="2:7" ht="14.25" customHeight="1">
      <c r="B439" s="88" t="s">
        <v>677</v>
      </c>
      <c r="C439" s="89"/>
      <c r="D439" s="90" t="s">
        <v>1006</v>
      </c>
      <c r="E439" s="90" t="s">
        <v>1006</v>
      </c>
      <c r="F439" s="90" t="s">
        <v>1006</v>
      </c>
      <c r="G439" s="90" t="s">
        <v>1006</v>
      </c>
    </row>
    <row r="440" spans="2:7" ht="14.25" customHeight="1">
      <c r="B440" s="88" t="s">
        <v>677</v>
      </c>
      <c r="C440" s="89"/>
      <c r="D440" s="89"/>
      <c r="E440" s="89" t="s">
        <v>1456</v>
      </c>
      <c r="F440" s="89"/>
      <c r="G440" s="5"/>
    </row>
    <row r="441" spans="2:7" ht="14.25" customHeight="1">
      <c r="B441" s="88" t="s">
        <v>677</v>
      </c>
      <c r="C441" s="89"/>
      <c r="D441" s="89"/>
      <c r="E441" s="89" t="s">
        <v>1457</v>
      </c>
      <c r="F441" s="89"/>
      <c r="G441" s="5"/>
    </row>
    <row r="442" spans="2:7" ht="14.25" customHeight="1">
      <c r="B442" s="88" t="s">
        <v>677</v>
      </c>
      <c r="C442" s="89"/>
      <c r="D442" s="89"/>
      <c r="E442" s="89" t="s">
        <v>1458</v>
      </c>
      <c r="F442" s="89"/>
      <c r="G442" s="5"/>
    </row>
    <row r="443" spans="2:7" ht="14.25" customHeight="1">
      <c r="B443" s="88" t="s">
        <v>677</v>
      </c>
      <c r="C443" s="89"/>
      <c r="D443" s="89"/>
      <c r="E443" s="89" t="s">
        <v>1459</v>
      </c>
      <c r="F443" s="89"/>
      <c r="G443" s="5"/>
    </row>
    <row r="444" spans="2:7" ht="14.25" customHeight="1">
      <c r="B444" s="88" t="s">
        <v>677</v>
      </c>
      <c r="C444" s="89"/>
      <c r="D444" s="90" t="s">
        <v>1007</v>
      </c>
      <c r="E444" s="90" t="s">
        <v>1007</v>
      </c>
      <c r="F444" s="90" t="s">
        <v>1007</v>
      </c>
      <c r="G444" s="90" t="s">
        <v>1007</v>
      </c>
    </row>
    <row r="445" spans="2:7" ht="14.25" customHeight="1">
      <c r="B445" s="88" t="s">
        <v>677</v>
      </c>
      <c r="C445" s="89"/>
      <c r="D445" s="89"/>
      <c r="E445" s="89" t="s">
        <v>1460</v>
      </c>
      <c r="F445" s="89"/>
      <c r="G445" s="5"/>
    </row>
    <row r="446" spans="2:7" ht="14.25" customHeight="1">
      <c r="B446" s="88" t="s">
        <v>677</v>
      </c>
      <c r="C446" s="89"/>
      <c r="D446" s="89"/>
      <c r="E446" s="89" t="s">
        <v>1461</v>
      </c>
      <c r="F446" s="89"/>
      <c r="G446" s="5"/>
    </row>
    <row r="447" spans="2:7" ht="14.25" customHeight="1">
      <c r="B447" s="88" t="s">
        <v>677</v>
      </c>
      <c r="C447" s="89"/>
      <c r="D447" s="89"/>
      <c r="E447" s="89" t="s">
        <v>1462</v>
      </c>
      <c r="F447" s="89"/>
      <c r="G447" s="5"/>
    </row>
    <row r="448" spans="2:7" ht="14.25" customHeight="1">
      <c r="B448" s="88" t="s">
        <v>677</v>
      </c>
      <c r="C448" s="89"/>
      <c r="D448" s="89"/>
      <c r="E448" s="89" t="s">
        <v>1463</v>
      </c>
      <c r="F448" s="89"/>
      <c r="G448" s="5"/>
    </row>
    <row r="449" spans="2:7" ht="14.25" customHeight="1">
      <c r="B449" s="88" t="s">
        <v>677</v>
      </c>
      <c r="C449" s="89"/>
      <c r="D449" s="90" t="s">
        <v>1008</v>
      </c>
      <c r="E449" s="90" t="s">
        <v>1008</v>
      </c>
      <c r="F449" s="90" t="s">
        <v>1008</v>
      </c>
      <c r="G449" s="90" t="s">
        <v>1008</v>
      </c>
    </row>
    <row r="450" spans="2:7" ht="14.25" customHeight="1">
      <c r="B450" s="88" t="s">
        <v>677</v>
      </c>
      <c r="C450" s="89"/>
      <c r="D450" s="89"/>
      <c r="E450" s="89" t="s">
        <v>1464</v>
      </c>
      <c r="F450" s="89"/>
      <c r="G450" s="5"/>
    </row>
    <row r="451" spans="2:7" ht="14.25" customHeight="1">
      <c r="B451" s="88" t="s">
        <v>677</v>
      </c>
      <c r="C451" s="89"/>
      <c r="D451" s="89"/>
      <c r="E451" s="89" t="s">
        <v>1465</v>
      </c>
      <c r="F451" s="89"/>
      <c r="G451" s="5"/>
    </row>
    <row r="452" spans="2:7" ht="14.25" customHeight="1">
      <c r="B452" s="88" t="s">
        <v>677</v>
      </c>
      <c r="C452" s="89"/>
      <c r="D452" s="89"/>
      <c r="E452" s="89" t="s">
        <v>1466</v>
      </c>
      <c r="F452" s="89"/>
      <c r="G452" s="5"/>
    </row>
    <row r="453" spans="2:7" ht="14.25" customHeight="1">
      <c r="B453" s="88" t="s">
        <v>677</v>
      </c>
      <c r="C453" s="89"/>
      <c r="D453" s="89"/>
      <c r="E453" s="89" t="s">
        <v>1467</v>
      </c>
      <c r="F453" s="89"/>
      <c r="G453" s="5"/>
    </row>
    <row r="454" spans="2:7" ht="14.25" customHeight="1">
      <c r="B454" s="88" t="s">
        <v>677</v>
      </c>
      <c r="C454" s="89"/>
      <c r="D454" s="90" t="s">
        <v>1009</v>
      </c>
      <c r="E454" s="90" t="s">
        <v>1009</v>
      </c>
      <c r="F454" s="90" t="s">
        <v>1009</v>
      </c>
      <c r="G454" s="90" t="s">
        <v>1009</v>
      </c>
    </row>
    <row r="455" spans="2:7" ht="14.25" customHeight="1">
      <c r="B455" s="88" t="s">
        <v>677</v>
      </c>
      <c r="C455" s="89"/>
      <c r="D455" s="89"/>
      <c r="E455" s="89" t="s">
        <v>1468</v>
      </c>
      <c r="F455" s="89"/>
      <c r="G455" s="5"/>
    </row>
    <row r="456" spans="2:7" ht="14.25" customHeight="1">
      <c r="B456" s="88" t="s">
        <v>677</v>
      </c>
      <c r="C456" s="89"/>
      <c r="D456" s="89"/>
      <c r="E456" s="89" t="s">
        <v>1469</v>
      </c>
      <c r="F456" s="89"/>
      <c r="G456" s="5"/>
    </row>
    <row r="457" spans="2:7" ht="14.25" customHeight="1">
      <c r="B457" s="88" t="s">
        <v>677</v>
      </c>
      <c r="C457" s="89"/>
      <c r="D457" s="89"/>
      <c r="E457" s="89" t="s">
        <v>1470</v>
      </c>
      <c r="F457" s="89"/>
      <c r="G457" s="5"/>
    </row>
    <row r="458" spans="2:7" ht="14.25" customHeight="1">
      <c r="B458" s="88" t="s">
        <v>677</v>
      </c>
      <c r="C458" s="89"/>
      <c r="D458" s="89"/>
      <c r="E458" s="89" t="s">
        <v>1471</v>
      </c>
      <c r="F458" s="89"/>
      <c r="G458" s="5"/>
    </row>
    <row r="459" spans="2:7" ht="14.25" customHeight="1">
      <c r="B459" s="88" t="s">
        <v>677</v>
      </c>
      <c r="C459" s="89"/>
      <c r="D459" s="90" t="s">
        <v>1010</v>
      </c>
      <c r="E459" s="90" t="s">
        <v>1010</v>
      </c>
      <c r="F459" s="90" t="s">
        <v>1010</v>
      </c>
      <c r="G459" s="90" t="s">
        <v>1010</v>
      </c>
    </row>
    <row r="460" spans="2:7" ht="14.25" customHeight="1">
      <c r="B460" s="88" t="s">
        <v>677</v>
      </c>
      <c r="C460" s="89"/>
      <c r="D460" s="89"/>
      <c r="E460" s="89" t="s">
        <v>1472</v>
      </c>
      <c r="F460" s="89"/>
      <c r="G460" s="5"/>
    </row>
    <row r="461" spans="2:7" ht="14.25" customHeight="1">
      <c r="B461" s="88" t="s">
        <v>677</v>
      </c>
      <c r="C461" s="89"/>
      <c r="D461" s="89"/>
      <c r="E461" s="89" t="s">
        <v>1473</v>
      </c>
      <c r="F461" s="89"/>
      <c r="G461" s="5"/>
    </row>
    <row r="462" spans="2:7" ht="14.25" customHeight="1">
      <c r="B462" s="88" t="s">
        <v>677</v>
      </c>
      <c r="C462" s="89"/>
      <c r="D462" s="89"/>
      <c r="E462" s="89" t="s">
        <v>1474</v>
      </c>
      <c r="F462" s="89"/>
      <c r="G462" s="5"/>
    </row>
    <row r="463" spans="2:7" ht="14.25" customHeight="1">
      <c r="B463" s="88" t="s">
        <v>677</v>
      </c>
      <c r="C463" s="89"/>
      <c r="D463" s="89"/>
      <c r="E463" s="89" t="s">
        <v>1475</v>
      </c>
      <c r="F463" s="89"/>
      <c r="G463" s="5"/>
    </row>
    <row r="464" spans="2:7" ht="14.25" customHeight="1">
      <c r="B464" s="88" t="s">
        <v>61</v>
      </c>
      <c r="C464" s="89"/>
      <c r="D464" s="90" t="s">
        <v>1011</v>
      </c>
      <c r="E464" s="90" t="s">
        <v>1011</v>
      </c>
      <c r="F464" s="90" t="s">
        <v>1011</v>
      </c>
      <c r="G464" s="90" t="s">
        <v>1011</v>
      </c>
    </row>
    <row r="465" spans="2:7" ht="14.25" customHeight="1">
      <c r="B465" s="88" t="s">
        <v>61</v>
      </c>
      <c r="C465" s="89"/>
      <c r="D465" s="89"/>
      <c r="E465" s="89" t="s">
        <v>1476</v>
      </c>
      <c r="F465" s="89"/>
      <c r="G465" s="5"/>
    </row>
    <row r="466" spans="2:7" ht="14.25" customHeight="1">
      <c r="B466" s="88" t="s">
        <v>61</v>
      </c>
      <c r="C466" s="89"/>
      <c r="D466" s="89"/>
      <c r="E466" s="89" t="s">
        <v>1477</v>
      </c>
      <c r="F466" s="89"/>
      <c r="G466" s="5"/>
    </row>
    <row r="467" spans="2:7" ht="14.25" customHeight="1">
      <c r="B467" s="88" t="s">
        <v>61</v>
      </c>
      <c r="C467" s="89"/>
      <c r="D467" s="89"/>
      <c r="E467" s="89" t="s">
        <v>1478</v>
      </c>
      <c r="F467" s="89"/>
      <c r="G467" s="5"/>
    </row>
    <row r="468" spans="2:7" ht="14.25" customHeight="1">
      <c r="B468" s="88" t="s">
        <v>61</v>
      </c>
      <c r="C468" s="89"/>
      <c r="D468" s="89"/>
      <c r="E468" s="89" t="s">
        <v>1479</v>
      </c>
      <c r="F468" s="89"/>
      <c r="G468" s="5"/>
    </row>
    <row r="469" spans="2:7" ht="14.25" customHeight="1">
      <c r="B469" s="88" t="s">
        <v>61</v>
      </c>
      <c r="C469" s="89"/>
      <c r="D469" s="90" t="s">
        <v>1012</v>
      </c>
      <c r="E469" s="90" t="s">
        <v>1012</v>
      </c>
      <c r="F469" s="90" t="s">
        <v>1012</v>
      </c>
      <c r="G469" s="90" t="s">
        <v>1012</v>
      </c>
    </row>
    <row r="470" spans="2:7" ht="14.25" customHeight="1">
      <c r="B470" s="88" t="s">
        <v>61</v>
      </c>
      <c r="C470" s="89"/>
      <c r="D470" s="89"/>
      <c r="E470" s="89" t="s">
        <v>1480</v>
      </c>
      <c r="F470" s="89"/>
      <c r="G470" s="5"/>
    </row>
    <row r="471" spans="2:7" ht="14.25" customHeight="1">
      <c r="B471" s="88" t="s">
        <v>61</v>
      </c>
      <c r="C471" s="89"/>
      <c r="D471" s="89"/>
      <c r="E471" s="89" t="s">
        <v>1481</v>
      </c>
      <c r="F471" s="89"/>
      <c r="G471" s="5"/>
    </row>
    <row r="472" spans="2:7" ht="14.25" customHeight="1">
      <c r="B472" s="88" t="s">
        <v>61</v>
      </c>
      <c r="C472" s="89"/>
      <c r="D472" s="89"/>
      <c r="E472" s="89" t="s">
        <v>1482</v>
      </c>
      <c r="F472" s="89"/>
      <c r="G472" s="5"/>
    </row>
    <row r="473" spans="2:7" ht="14.25" customHeight="1">
      <c r="B473" s="88" t="s">
        <v>61</v>
      </c>
      <c r="C473" s="89"/>
      <c r="D473" s="89"/>
      <c r="E473" s="89" t="s">
        <v>1483</v>
      </c>
      <c r="F473" s="89"/>
      <c r="G473" s="5"/>
    </row>
    <row r="474" spans="2:7" ht="14.25" customHeight="1">
      <c r="B474" s="88" t="s">
        <v>61</v>
      </c>
      <c r="C474" s="89"/>
      <c r="D474" s="90" t="s">
        <v>1013</v>
      </c>
      <c r="E474" s="90" t="s">
        <v>1013</v>
      </c>
      <c r="F474" s="90" t="s">
        <v>1013</v>
      </c>
      <c r="G474" s="90" t="s">
        <v>1013</v>
      </c>
    </row>
    <row r="475" spans="2:7" ht="14.25" customHeight="1">
      <c r="B475" s="88" t="s">
        <v>61</v>
      </c>
      <c r="C475" s="89"/>
      <c r="D475" s="89"/>
      <c r="E475" s="89" t="s">
        <v>1484</v>
      </c>
      <c r="F475" s="89"/>
      <c r="G475" s="5"/>
    </row>
    <row r="476" spans="2:7" ht="14.25" customHeight="1">
      <c r="B476" s="88" t="s">
        <v>61</v>
      </c>
      <c r="C476" s="89"/>
      <c r="D476" s="89"/>
      <c r="E476" s="89" t="s">
        <v>1485</v>
      </c>
      <c r="F476" s="89"/>
      <c r="G476" s="5"/>
    </row>
    <row r="477" spans="2:7" ht="14.25" customHeight="1">
      <c r="B477" s="88" t="s">
        <v>61</v>
      </c>
      <c r="C477" s="89"/>
      <c r="D477" s="89"/>
      <c r="E477" s="89" t="s">
        <v>1486</v>
      </c>
      <c r="F477" s="89"/>
      <c r="G477" s="5"/>
    </row>
    <row r="478" spans="2:7" ht="14.25" customHeight="1">
      <c r="B478" s="88" t="s">
        <v>61</v>
      </c>
      <c r="C478" s="89"/>
      <c r="D478" s="89"/>
      <c r="E478" s="89" t="s">
        <v>1487</v>
      </c>
      <c r="F478" s="89"/>
      <c r="G478" s="5"/>
    </row>
    <row r="479" spans="2:7" ht="14.25" customHeight="1">
      <c r="B479" s="88" t="s">
        <v>61</v>
      </c>
      <c r="C479" s="89"/>
      <c r="D479" s="90" t="s">
        <v>1014</v>
      </c>
      <c r="E479" s="90" t="s">
        <v>1014</v>
      </c>
      <c r="F479" s="90" t="s">
        <v>1014</v>
      </c>
      <c r="G479" s="90" t="s">
        <v>1014</v>
      </c>
    </row>
    <row r="480" spans="2:7" ht="14.25" customHeight="1">
      <c r="B480" s="88" t="s">
        <v>61</v>
      </c>
      <c r="C480" s="89"/>
      <c r="D480" s="89"/>
      <c r="E480" s="89" t="s">
        <v>1488</v>
      </c>
      <c r="F480" s="89"/>
      <c r="G480" s="5"/>
    </row>
    <row r="481" spans="2:7" ht="14.25" customHeight="1">
      <c r="B481" s="88" t="s">
        <v>61</v>
      </c>
      <c r="C481" s="89"/>
      <c r="D481" s="89"/>
      <c r="E481" s="89" t="s">
        <v>1489</v>
      </c>
      <c r="F481" s="89"/>
      <c r="G481" s="5"/>
    </row>
    <row r="482" spans="2:7" ht="14.25" customHeight="1">
      <c r="B482" s="88" t="s">
        <v>61</v>
      </c>
      <c r="C482" s="89"/>
      <c r="D482" s="89"/>
      <c r="E482" s="89" t="s">
        <v>1490</v>
      </c>
      <c r="F482" s="89"/>
      <c r="G482" s="5"/>
    </row>
    <row r="483" spans="2:7" ht="14.25" customHeight="1">
      <c r="B483" s="88" t="s">
        <v>61</v>
      </c>
      <c r="C483" s="89"/>
      <c r="D483" s="89"/>
      <c r="E483" s="89" t="s">
        <v>1491</v>
      </c>
      <c r="F483" s="89"/>
      <c r="G483" s="5"/>
    </row>
    <row r="484" spans="2:7" ht="14.25" customHeight="1">
      <c r="B484" s="88" t="s">
        <v>61</v>
      </c>
      <c r="C484" s="89"/>
      <c r="D484" s="90" t="s">
        <v>1015</v>
      </c>
      <c r="E484" s="90" t="s">
        <v>1015</v>
      </c>
      <c r="F484" s="90" t="s">
        <v>1015</v>
      </c>
      <c r="G484" s="90" t="s">
        <v>1015</v>
      </c>
    </row>
    <row r="485" spans="2:7" ht="14.25" customHeight="1">
      <c r="B485" s="88" t="s">
        <v>61</v>
      </c>
      <c r="C485" s="89"/>
      <c r="D485" s="89"/>
      <c r="E485" s="89" t="s">
        <v>1492</v>
      </c>
      <c r="F485" s="89"/>
      <c r="G485" s="5"/>
    </row>
    <row r="486" spans="2:7" ht="14.25" customHeight="1">
      <c r="B486" s="88" t="s">
        <v>61</v>
      </c>
      <c r="C486" s="89"/>
      <c r="D486" s="89"/>
      <c r="E486" s="89" t="s">
        <v>1493</v>
      </c>
      <c r="F486" s="89"/>
      <c r="G486" s="5"/>
    </row>
    <row r="487" spans="2:7" ht="14.25" customHeight="1">
      <c r="B487" s="88" t="s">
        <v>61</v>
      </c>
      <c r="C487" s="89"/>
      <c r="D487" s="89"/>
      <c r="E487" s="89" t="s">
        <v>1494</v>
      </c>
      <c r="F487" s="89"/>
      <c r="G487" s="5"/>
    </row>
    <row r="488" spans="2:7" ht="14.25" customHeight="1">
      <c r="B488" s="88" t="s">
        <v>61</v>
      </c>
      <c r="C488" s="89"/>
      <c r="D488" s="89"/>
      <c r="E488" s="89" t="s">
        <v>1495</v>
      </c>
      <c r="F488" s="89"/>
      <c r="G488" s="5"/>
    </row>
    <row r="489" spans="2:7" ht="14.25" customHeight="1">
      <c r="B489" s="88" t="s">
        <v>61</v>
      </c>
      <c r="C489" s="89"/>
      <c r="D489" s="90" t="s">
        <v>1016</v>
      </c>
      <c r="E489" s="90" t="s">
        <v>1016</v>
      </c>
      <c r="F489" s="90" t="s">
        <v>1016</v>
      </c>
      <c r="G489" s="90" t="s">
        <v>1016</v>
      </c>
    </row>
    <row r="490" spans="2:7" ht="14.25" customHeight="1">
      <c r="B490" s="88" t="s">
        <v>61</v>
      </c>
      <c r="C490" s="89"/>
      <c r="D490" s="89"/>
      <c r="E490" s="89" t="s">
        <v>1496</v>
      </c>
      <c r="F490" s="89"/>
      <c r="G490" s="5"/>
    </row>
    <row r="491" spans="2:7" ht="14.25" customHeight="1">
      <c r="B491" s="88" t="s">
        <v>61</v>
      </c>
      <c r="C491" s="89"/>
      <c r="D491" s="89"/>
      <c r="E491" s="89" t="s">
        <v>1497</v>
      </c>
      <c r="F491" s="89"/>
      <c r="G491" s="5"/>
    </row>
    <row r="492" spans="2:7" ht="14.25" customHeight="1">
      <c r="B492" s="88" t="s">
        <v>61</v>
      </c>
      <c r="C492" s="89"/>
      <c r="D492" s="89"/>
      <c r="E492" s="89" t="s">
        <v>1498</v>
      </c>
      <c r="F492" s="89"/>
      <c r="G492" s="5"/>
    </row>
    <row r="493" spans="2:7" ht="14.25" customHeight="1">
      <c r="B493" s="88" t="s">
        <v>61</v>
      </c>
      <c r="C493" s="89"/>
      <c r="D493" s="89"/>
      <c r="E493" s="89" t="s">
        <v>1499</v>
      </c>
      <c r="F493" s="89"/>
      <c r="G493" s="5"/>
    </row>
    <row r="494" spans="2:7" ht="14.25" customHeight="1">
      <c r="B494" s="88" t="s">
        <v>61</v>
      </c>
      <c r="C494" s="89"/>
      <c r="D494" s="90" t="s">
        <v>1017</v>
      </c>
      <c r="E494" s="90" t="s">
        <v>1017</v>
      </c>
      <c r="F494" s="90" t="s">
        <v>1017</v>
      </c>
      <c r="G494" s="90" t="s">
        <v>1017</v>
      </c>
    </row>
    <row r="495" spans="2:7" ht="14.25" customHeight="1">
      <c r="B495" s="88" t="s">
        <v>61</v>
      </c>
      <c r="C495" s="89"/>
      <c r="D495" s="89"/>
      <c r="E495" s="89" t="s">
        <v>1500</v>
      </c>
      <c r="F495" s="89"/>
      <c r="G495" s="5"/>
    </row>
    <row r="496" spans="2:7" ht="14.25" customHeight="1">
      <c r="B496" s="88" t="s">
        <v>61</v>
      </c>
      <c r="C496" s="89"/>
      <c r="D496" s="89"/>
      <c r="E496" s="89" t="s">
        <v>1501</v>
      </c>
      <c r="F496" s="89"/>
      <c r="G496" s="5"/>
    </row>
    <row r="497" spans="2:7" ht="14.25" customHeight="1">
      <c r="B497" s="88" t="s">
        <v>61</v>
      </c>
      <c r="C497" s="89"/>
      <c r="D497" s="89"/>
      <c r="E497" s="89" t="s">
        <v>1502</v>
      </c>
      <c r="F497" s="89"/>
      <c r="G497" s="5"/>
    </row>
    <row r="498" spans="2:7" ht="14.25" customHeight="1">
      <c r="B498" s="88" t="s">
        <v>61</v>
      </c>
      <c r="C498" s="89"/>
      <c r="D498" s="89"/>
      <c r="E498" s="89" t="s">
        <v>1503</v>
      </c>
      <c r="F498" s="89"/>
      <c r="G498" s="5"/>
    </row>
    <row r="499" spans="2:7" ht="14.25" customHeight="1">
      <c r="B499" s="88" t="s">
        <v>61</v>
      </c>
      <c r="C499" s="89"/>
      <c r="D499" s="90" t="s">
        <v>1018</v>
      </c>
      <c r="E499" s="90" t="s">
        <v>1018</v>
      </c>
      <c r="F499" s="90" t="s">
        <v>1018</v>
      </c>
      <c r="G499" s="90" t="s">
        <v>1018</v>
      </c>
    </row>
    <row r="500" spans="2:7" ht="14.25" customHeight="1">
      <c r="B500" s="88" t="s">
        <v>61</v>
      </c>
      <c r="C500" s="89"/>
      <c r="D500" s="89"/>
      <c r="E500" s="89" t="s">
        <v>1504</v>
      </c>
      <c r="F500" s="89"/>
      <c r="G500" s="5"/>
    </row>
    <row r="501" spans="2:7" ht="14.25" customHeight="1">
      <c r="B501" s="88" t="s">
        <v>61</v>
      </c>
      <c r="C501" s="89"/>
      <c r="D501" s="89"/>
      <c r="E501" s="89" t="s">
        <v>1505</v>
      </c>
      <c r="F501" s="89"/>
      <c r="G501" s="5"/>
    </row>
    <row r="502" spans="2:7" ht="14.25" customHeight="1">
      <c r="B502" s="88" t="s">
        <v>61</v>
      </c>
      <c r="C502" s="89"/>
      <c r="D502" s="89"/>
      <c r="E502" s="89" t="s">
        <v>1506</v>
      </c>
      <c r="F502" s="89"/>
      <c r="G502" s="5"/>
    </row>
    <row r="503" spans="2:7" ht="14.25" customHeight="1">
      <c r="B503" s="88" t="s">
        <v>61</v>
      </c>
      <c r="C503" s="89"/>
      <c r="D503" s="89"/>
      <c r="E503" s="89" t="s">
        <v>1507</v>
      </c>
      <c r="F503" s="89"/>
      <c r="G503" s="5"/>
    </row>
    <row r="504" spans="2:7" ht="14.25" customHeight="1">
      <c r="B504" s="88" t="s">
        <v>61</v>
      </c>
      <c r="C504" s="89"/>
      <c r="D504" s="90" t="s">
        <v>1019</v>
      </c>
      <c r="E504" s="90" t="s">
        <v>1019</v>
      </c>
      <c r="F504" s="90" t="s">
        <v>1019</v>
      </c>
      <c r="G504" s="90" t="s">
        <v>1019</v>
      </c>
    </row>
    <row r="505" spans="2:7" ht="14.25" customHeight="1">
      <c r="B505" s="88" t="s">
        <v>61</v>
      </c>
      <c r="C505" s="89"/>
      <c r="D505" s="89"/>
      <c r="E505" s="89" t="s">
        <v>1508</v>
      </c>
      <c r="F505" s="89"/>
      <c r="G505" s="5"/>
    </row>
    <row r="506" spans="2:7" ht="14.25" customHeight="1">
      <c r="B506" s="88" t="s">
        <v>61</v>
      </c>
      <c r="C506" s="89"/>
      <c r="D506" s="89"/>
      <c r="E506" s="89" t="s">
        <v>1509</v>
      </c>
      <c r="F506" s="89"/>
      <c r="G506" s="5"/>
    </row>
    <row r="507" spans="2:7" ht="14.25" customHeight="1">
      <c r="B507" s="88" t="s">
        <v>61</v>
      </c>
      <c r="C507" s="89"/>
      <c r="D507" s="89"/>
      <c r="E507" s="89" t="s">
        <v>1510</v>
      </c>
      <c r="F507" s="89"/>
      <c r="G507" s="5"/>
    </row>
    <row r="508" spans="2:7" ht="14.25" customHeight="1">
      <c r="B508" s="88" t="s">
        <v>61</v>
      </c>
      <c r="C508" s="89"/>
      <c r="D508" s="89"/>
      <c r="E508" s="89" t="s">
        <v>1511</v>
      </c>
      <c r="F508" s="89"/>
      <c r="G508" s="5"/>
    </row>
    <row r="509" spans="2:7" ht="14.25" customHeight="1">
      <c r="B509" s="88" t="s">
        <v>61</v>
      </c>
      <c r="C509" s="89"/>
      <c r="D509" s="90" t="s">
        <v>1020</v>
      </c>
      <c r="E509" s="90" t="s">
        <v>1020</v>
      </c>
      <c r="F509" s="90" t="s">
        <v>1020</v>
      </c>
      <c r="G509" s="90" t="s">
        <v>1020</v>
      </c>
    </row>
    <row r="510" spans="2:7" ht="14.25" customHeight="1">
      <c r="B510" s="88" t="s">
        <v>61</v>
      </c>
      <c r="C510" s="89"/>
      <c r="D510" s="89"/>
      <c r="E510" s="89" t="s">
        <v>1512</v>
      </c>
      <c r="F510" s="89"/>
      <c r="G510" s="5"/>
    </row>
    <row r="511" spans="2:7" ht="14.25" customHeight="1">
      <c r="B511" s="88" t="s">
        <v>61</v>
      </c>
      <c r="C511" s="89"/>
      <c r="D511" s="89"/>
      <c r="E511" s="89" t="s">
        <v>1513</v>
      </c>
      <c r="F511" s="89"/>
      <c r="G511" s="5"/>
    </row>
    <row r="512" spans="2:7" ht="14.25" customHeight="1">
      <c r="B512" s="88" t="s">
        <v>61</v>
      </c>
      <c r="C512" s="89"/>
      <c r="D512" s="89"/>
      <c r="E512" s="89" t="s">
        <v>1514</v>
      </c>
      <c r="F512" s="89"/>
      <c r="G512" s="5"/>
    </row>
    <row r="513" spans="2:7" ht="14.25" customHeight="1">
      <c r="B513" s="88" t="s">
        <v>61</v>
      </c>
      <c r="C513" s="89"/>
      <c r="D513" s="89"/>
      <c r="E513" s="89" t="s">
        <v>1515</v>
      </c>
      <c r="F513" s="89"/>
      <c r="G513" s="5"/>
    </row>
    <row r="514" spans="2:7" ht="14.25" customHeight="1">
      <c r="B514" s="88" t="s">
        <v>61</v>
      </c>
      <c r="C514" s="89"/>
      <c r="D514" s="90" t="s">
        <v>1021</v>
      </c>
      <c r="E514" s="90" t="s">
        <v>1021</v>
      </c>
      <c r="F514" s="90" t="s">
        <v>1021</v>
      </c>
      <c r="G514" s="90" t="s">
        <v>1021</v>
      </c>
    </row>
    <row r="515" spans="2:7" ht="14.25" customHeight="1">
      <c r="B515" s="88" t="s">
        <v>61</v>
      </c>
      <c r="C515" s="89"/>
      <c r="D515" s="89"/>
      <c r="E515" s="89" t="s">
        <v>1516</v>
      </c>
      <c r="F515" s="89"/>
      <c r="G515" s="5"/>
    </row>
    <row r="516" spans="2:7" ht="14.25" customHeight="1">
      <c r="B516" s="88" t="s">
        <v>61</v>
      </c>
      <c r="C516" s="89"/>
      <c r="D516" s="89"/>
      <c r="E516" s="89" t="s">
        <v>1517</v>
      </c>
      <c r="F516" s="89"/>
      <c r="G516" s="5"/>
    </row>
    <row r="517" spans="2:7" ht="14.25" customHeight="1">
      <c r="B517" s="88" t="s">
        <v>61</v>
      </c>
      <c r="C517" s="89"/>
      <c r="D517" s="89"/>
      <c r="E517" s="89" t="s">
        <v>1518</v>
      </c>
      <c r="F517" s="89"/>
      <c r="G517" s="5"/>
    </row>
    <row r="518" spans="2:7" ht="14.25" customHeight="1">
      <c r="B518" s="88" t="s">
        <v>61</v>
      </c>
      <c r="C518" s="89"/>
      <c r="D518" s="89"/>
      <c r="E518" s="89" t="s">
        <v>1519</v>
      </c>
      <c r="F518" s="89"/>
      <c r="G518" s="5"/>
    </row>
    <row r="519" spans="2:7" ht="14.25" customHeight="1">
      <c r="B519" s="88" t="s">
        <v>61</v>
      </c>
      <c r="C519" s="89"/>
      <c r="D519" s="90" t="s">
        <v>1022</v>
      </c>
      <c r="E519" s="90" t="s">
        <v>1022</v>
      </c>
      <c r="F519" s="90" t="s">
        <v>1022</v>
      </c>
      <c r="G519" s="90" t="s">
        <v>1022</v>
      </c>
    </row>
    <row r="520" spans="2:7" ht="14.25" customHeight="1">
      <c r="B520" s="88" t="s">
        <v>61</v>
      </c>
      <c r="C520" s="89"/>
      <c r="D520" s="89"/>
      <c r="E520" s="89" t="s">
        <v>1520</v>
      </c>
      <c r="F520" s="89"/>
      <c r="G520" s="5"/>
    </row>
    <row r="521" spans="2:7" ht="14.25" customHeight="1">
      <c r="B521" s="88" t="s">
        <v>61</v>
      </c>
      <c r="C521" s="89"/>
      <c r="D521" s="89"/>
      <c r="E521" s="89" t="s">
        <v>1521</v>
      </c>
      <c r="F521" s="89"/>
      <c r="G521" s="5"/>
    </row>
    <row r="522" spans="2:7" ht="14.25" customHeight="1">
      <c r="B522" s="88" t="s">
        <v>61</v>
      </c>
      <c r="C522" s="89"/>
      <c r="D522" s="89"/>
      <c r="E522" s="89" t="s">
        <v>1522</v>
      </c>
      <c r="F522" s="89"/>
      <c r="G522" s="5"/>
    </row>
    <row r="523" spans="2:7" ht="14.25" customHeight="1">
      <c r="B523" s="88" t="s">
        <v>61</v>
      </c>
      <c r="C523" s="89"/>
      <c r="D523" s="89"/>
      <c r="E523" s="89" t="s">
        <v>1523</v>
      </c>
      <c r="F523" s="89"/>
      <c r="G523" s="5"/>
    </row>
    <row r="524" spans="2:7" ht="14.25" customHeight="1">
      <c r="B524" s="88" t="s">
        <v>61</v>
      </c>
      <c r="C524" s="89"/>
      <c r="D524" s="90" t="s">
        <v>1023</v>
      </c>
      <c r="E524" s="90" t="s">
        <v>1023</v>
      </c>
      <c r="F524" s="90" t="s">
        <v>1023</v>
      </c>
      <c r="G524" s="90" t="s">
        <v>1023</v>
      </c>
    </row>
    <row r="525" spans="2:7" ht="14.25" customHeight="1">
      <c r="B525" s="88" t="s">
        <v>61</v>
      </c>
      <c r="C525" s="89"/>
      <c r="D525" s="89"/>
      <c r="E525" s="89" t="s">
        <v>1524</v>
      </c>
      <c r="F525" s="89"/>
      <c r="G525" s="5"/>
    </row>
    <row r="526" spans="2:7" ht="14.25" customHeight="1">
      <c r="B526" s="88" t="s">
        <v>61</v>
      </c>
      <c r="C526" s="89"/>
      <c r="D526" s="89"/>
      <c r="E526" s="89" t="s">
        <v>1525</v>
      </c>
      <c r="F526" s="89"/>
      <c r="G526" s="5"/>
    </row>
    <row r="527" spans="2:7" ht="14.25" customHeight="1">
      <c r="B527" s="88" t="s">
        <v>61</v>
      </c>
      <c r="C527" s="89"/>
      <c r="D527" s="89"/>
      <c r="E527" s="89" t="s">
        <v>1526</v>
      </c>
      <c r="F527" s="89"/>
      <c r="G527" s="5"/>
    </row>
    <row r="528" spans="2:7" ht="14.25" customHeight="1">
      <c r="B528" s="88" t="s">
        <v>61</v>
      </c>
      <c r="C528" s="89"/>
      <c r="D528" s="89"/>
      <c r="E528" s="89" t="s">
        <v>1527</v>
      </c>
      <c r="F528" s="89"/>
      <c r="G528" s="5"/>
    </row>
    <row r="529" spans="2:7" ht="14.25" customHeight="1">
      <c r="B529" s="88" t="s">
        <v>61</v>
      </c>
      <c r="C529" s="89"/>
      <c r="D529" s="90" t="s">
        <v>1024</v>
      </c>
      <c r="E529" s="90" t="s">
        <v>1024</v>
      </c>
      <c r="F529" s="90" t="s">
        <v>1024</v>
      </c>
      <c r="G529" s="90" t="s">
        <v>1024</v>
      </c>
    </row>
    <row r="530" spans="2:7" ht="14.25" customHeight="1">
      <c r="B530" s="88" t="s">
        <v>61</v>
      </c>
      <c r="C530" s="89"/>
      <c r="D530" s="89"/>
      <c r="E530" s="89" t="s">
        <v>1528</v>
      </c>
      <c r="F530" s="89"/>
      <c r="G530" s="5"/>
    </row>
    <row r="531" spans="2:7" ht="14.25" customHeight="1">
      <c r="B531" s="88" t="s">
        <v>61</v>
      </c>
      <c r="C531" s="89"/>
      <c r="D531" s="89"/>
      <c r="E531" s="89" t="s">
        <v>1529</v>
      </c>
      <c r="F531" s="89"/>
      <c r="G531" s="5"/>
    </row>
    <row r="532" spans="2:7" ht="14.25" customHeight="1">
      <c r="B532" s="88" t="s">
        <v>61</v>
      </c>
      <c r="C532" s="89"/>
      <c r="D532" s="89"/>
      <c r="E532" s="89" t="s">
        <v>1530</v>
      </c>
      <c r="F532" s="89"/>
      <c r="G532" s="5"/>
    </row>
    <row r="533" spans="2:7" ht="14.25" customHeight="1">
      <c r="B533" s="88" t="s">
        <v>61</v>
      </c>
      <c r="C533" s="89"/>
      <c r="D533" s="89"/>
      <c r="E533" s="89" t="s">
        <v>1531</v>
      </c>
      <c r="F533" s="89"/>
      <c r="G533" s="5"/>
    </row>
    <row r="534" spans="2:7" ht="14.25" customHeight="1">
      <c r="B534" s="88" t="s">
        <v>61</v>
      </c>
      <c r="C534" s="89"/>
      <c r="D534" s="89"/>
      <c r="E534" s="89" t="s">
        <v>1532</v>
      </c>
      <c r="F534" s="89"/>
      <c r="G534" s="5"/>
    </row>
    <row r="535" spans="2:7" ht="14.25" customHeight="1">
      <c r="B535" s="88" t="s">
        <v>61</v>
      </c>
      <c r="C535" s="89"/>
      <c r="D535" s="89"/>
      <c r="E535" s="89" t="s">
        <v>1533</v>
      </c>
      <c r="F535" s="89"/>
      <c r="G535" s="5"/>
    </row>
    <row r="536" spans="2:7" ht="14.25" customHeight="1">
      <c r="B536" s="88" t="s">
        <v>61</v>
      </c>
      <c r="C536" s="89"/>
      <c r="D536" s="90" t="s">
        <v>1025</v>
      </c>
      <c r="E536" s="90" t="s">
        <v>1025</v>
      </c>
      <c r="F536" s="90" t="s">
        <v>1025</v>
      </c>
      <c r="G536" s="90" t="s">
        <v>1025</v>
      </c>
    </row>
    <row r="537" spans="2:7" ht="14.25" customHeight="1">
      <c r="B537" s="88" t="s">
        <v>61</v>
      </c>
      <c r="C537" s="89"/>
      <c r="D537" s="89"/>
      <c r="E537" s="89" t="s">
        <v>1534</v>
      </c>
      <c r="F537" s="89"/>
      <c r="G537" s="5"/>
    </row>
    <row r="538" spans="2:7" ht="14.25" customHeight="1">
      <c r="B538" s="88" t="s">
        <v>61</v>
      </c>
      <c r="C538" s="89"/>
      <c r="D538" s="89"/>
      <c r="E538" s="89" t="s">
        <v>1535</v>
      </c>
      <c r="F538" s="89"/>
      <c r="G538" s="5"/>
    </row>
    <row r="539" spans="2:7" ht="14.25" customHeight="1">
      <c r="B539" s="88" t="s">
        <v>61</v>
      </c>
      <c r="C539" s="89"/>
      <c r="D539" s="89"/>
      <c r="E539" s="89" t="s">
        <v>1536</v>
      </c>
      <c r="F539" s="89"/>
      <c r="G539" s="5"/>
    </row>
    <row r="540" spans="2:7" ht="14.25" customHeight="1">
      <c r="B540" s="88" t="s">
        <v>61</v>
      </c>
      <c r="C540" s="89"/>
      <c r="D540" s="90" t="s">
        <v>1026</v>
      </c>
      <c r="E540" s="90" t="s">
        <v>1026</v>
      </c>
      <c r="F540" s="90" t="s">
        <v>1026</v>
      </c>
      <c r="G540" s="90" t="s">
        <v>1026</v>
      </c>
    </row>
    <row r="541" spans="2:7" ht="14.25" customHeight="1">
      <c r="B541" s="88" t="s">
        <v>61</v>
      </c>
      <c r="C541" s="89"/>
      <c r="D541" s="89"/>
      <c r="E541" s="89" t="s">
        <v>1537</v>
      </c>
      <c r="F541" s="89"/>
      <c r="G541" s="5"/>
    </row>
    <row r="542" spans="2:7" ht="14.25" customHeight="1">
      <c r="B542" s="88" t="s">
        <v>61</v>
      </c>
      <c r="C542" s="89"/>
      <c r="D542" s="89"/>
      <c r="E542" s="89" t="s">
        <v>1538</v>
      </c>
      <c r="F542" s="89"/>
      <c r="G542" s="5"/>
    </row>
    <row r="543" spans="2:7" ht="14.25" customHeight="1">
      <c r="B543" s="88" t="s">
        <v>61</v>
      </c>
      <c r="C543" s="89"/>
      <c r="D543" s="89"/>
      <c r="E543" s="89" t="s">
        <v>1539</v>
      </c>
      <c r="F543" s="89"/>
      <c r="G543" s="5"/>
    </row>
    <row r="544" spans="2:7" ht="14.25" customHeight="1">
      <c r="B544" s="88" t="s">
        <v>61</v>
      </c>
      <c r="C544" s="89"/>
      <c r="D544" s="90" t="s">
        <v>1027</v>
      </c>
      <c r="E544" s="90" t="s">
        <v>1027</v>
      </c>
      <c r="F544" s="90" t="s">
        <v>1027</v>
      </c>
      <c r="G544" s="90" t="s">
        <v>1027</v>
      </c>
    </row>
    <row r="545" spans="2:7" ht="14.25" customHeight="1">
      <c r="B545" s="88" t="s">
        <v>61</v>
      </c>
      <c r="C545" s="89"/>
      <c r="D545" s="89"/>
      <c r="E545" s="89" t="s">
        <v>1540</v>
      </c>
      <c r="F545" s="89"/>
      <c r="G545" s="5"/>
    </row>
    <row r="546" spans="2:7" ht="14.25" customHeight="1">
      <c r="B546" s="88" t="s">
        <v>61</v>
      </c>
      <c r="C546" s="89"/>
      <c r="D546" s="89"/>
      <c r="E546" s="89" t="s">
        <v>1541</v>
      </c>
      <c r="F546" s="89"/>
      <c r="G546" s="5"/>
    </row>
    <row r="547" spans="2:7" ht="14.25" customHeight="1">
      <c r="B547" s="88" t="s">
        <v>61</v>
      </c>
      <c r="C547" s="89"/>
      <c r="D547" s="89"/>
      <c r="E547" s="89" t="s">
        <v>1542</v>
      </c>
      <c r="F547" s="89"/>
      <c r="G547" s="5"/>
    </row>
    <row r="548" spans="2:7" ht="14.25" customHeight="1">
      <c r="B548" s="88" t="s">
        <v>61</v>
      </c>
      <c r="C548" s="89"/>
      <c r="D548" s="89"/>
      <c r="E548" s="89" t="s">
        <v>1543</v>
      </c>
      <c r="F548" s="89"/>
      <c r="G548" s="5"/>
    </row>
    <row r="549" spans="2:7" ht="14.25" customHeight="1">
      <c r="B549" s="88" t="s">
        <v>61</v>
      </c>
      <c r="C549" s="89"/>
      <c r="D549" s="90" t="s">
        <v>1028</v>
      </c>
      <c r="E549" s="90" t="s">
        <v>1028</v>
      </c>
      <c r="F549" s="90" t="s">
        <v>1028</v>
      </c>
      <c r="G549" s="90" t="s">
        <v>1028</v>
      </c>
    </row>
    <row r="550" spans="2:7" ht="14.25" customHeight="1">
      <c r="B550" s="88" t="s">
        <v>61</v>
      </c>
      <c r="C550" s="89"/>
      <c r="D550" s="89"/>
      <c r="E550" s="89" t="s">
        <v>1544</v>
      </c>
      <c r="F550" s="89"/>
      <c r="G550" s="5"/>
    </row>
    <row r="551" spans="2:7" ht="14.25" customHeight="1">
      <c r="B551" s="88" t="s">
        <v>61</v>
      </c>
      <c r="C551" s="89"/>
      <c r="D551" s="89"/>
      <c r="E551" s="89" t="s">
        <v>1545</v>
      </c>
      <c r="F551" s="89"/>
      <c r="G551" s="5"/>
    </row>
    <row r="552" spans="2:7" ht="14.25" customHeight="1">
      <c r="B552" s="88" t="s">
        <v>61</v>
      </c>
      <c r="C552" s="89"/>
      <c r="D552" s="89"/>
      <c r="E552" s="89" t="s">
        <v>1546</v>
      </c>
      <c r="F552" s="89"/>
      <c r="G552" s="5"/>
    </row>
    <row r="553" spans="2:7" ht="14.25" customHeight="1">
      <c r="B553" s="88" t="s">
        <v>61</v>
      </c>
      <c r="C553" s="89"/>
      <c r="D553" s="89"/>
      <c r="E553" s="89" t="s">
        <v>1547</v>
      </c>
      <c r="F553" s="89"/>
      <c r="G553" s="5"/>
    </row>
    <row r="554" spans="2:7" ht="14.25" customHeight="1">
      <c r="B554" s="88" t="s">
        <v>61</v>
      </c>
      <c r="C554" s="89"/>
      <c r="D554" s="90" t="s">
        <v>1029</v>
      </c>
      <c r="E554" s="90" t="s">
        <v>1029</v>
      </c>
      <c r="F554" s="90" t="s">
        <v>1029</v>
      </c>
      <c r="G554" s="90" t="s">
        <v>1029</v>
      </c>
    </row>
    <row r="555" spans="2:7" ht="14.25" customHeight="1">
      <c r="B555" s="88" t="s">
        <v>61</v>
      </c>
      <c r="C555" s="89"/>
      <c r="D555" s="89"/>
      <c r="E555" s="89" t="s">
        <v>1548</v>
      </c>
      <c r="F555" s="89"/>
      <c r="G555" s="5"/>
    </row>
    <row r="556" spans="2:7" ht="14.25" customHeight="1">
      <c r="B556" s="88" t="s">
        <v>61</v>
      </c>
      <c r="C556" s="89"/>
      <c r="D556" s="89"/>
      <c r="E556" s="89" t="s">
        <v>1549</v>
      </c>
      <c r="F556" s="89"/>
      <c r="G556" s="5"/>
    </row>
    <row r="557" spans="2:7" ht="14.25" customHeight="1">
      <c r="B557" s="88" t="s">
        <v>61</v>
      </c>
      <c r="C557" s="89"/>
      <c r="D557" s="89"/>
      <c r="E557" s="89" t="s">
        <v>1550</v>
      </c>
      <c r="F557" s="89"/>
      <c r="G557" s="5"/>
    </row>
    <row r="558" spans="2:7" ht="14.25" customHeight="1">
      <c r="B558" s="88" t="s">
        <v>61</v>
      </c>
      <c r="C558" s="89"/>
      <c r="D558" s="89"/>
      <c r="E558" s="89" t="s">
        <v>1551</v>
      </c>
      <c r="F558" s="89"/>
      <c r="G558" s="5"/>
    </row>
    <row r="559" spans="2:7" ht="14.25" customHeight="1">
      <c r="B559" s="88" t="s">
        <v>61</v>
      </c>
      <c r="C559" s="89"/>
      <c r="D559" s="90" t="s">
        <v>1030</v>
      </c>
      <c r="E559" s="90" t="s">
        <v>1030</v>
      </c>
      <c r="F559" s="90" t="s">
        <v>1030</v>
      </c>
      <c r="G559" s="90" t="s">
        <v>1030</v>
      </c>
    </row>
    <row r="560" spans="2:7" ht="14.25" customHeight="1">
      <c r="B560" s="88" t="s">
        <v>61</v>
      </c>
      <c r="C560" s="89"/>
      <c r="D560" s="89"/>
      <c r="E560" s="89" t="s">
        <v>1552</v>
      </c>
      <c r="F560" s="89"/>
      <c r="G560" s="5"/>
    </row>
    <row r="561" spans="2:7" ht="14.25" customHeight="1">
      <c r="B561" s="88" t="s">
        <v>61</v>
      </c>
      <c r="C561" s="89"/>
      <c r="D561" s="89"/>
      <c r="E561" s="89" t="s">
        <v>1553</v>
      </c>
      <c r="F561" s="89"/>
      <c r="G561" s="5"/>
    </row>
    <row r="562" spans="2:7" ht="14.25" customHeight="1">
      <c r="B562" s="88" t="s">
        <v>61</v>
      </c>
      <c r="C562" s="89"/>
      <c r="D562" s="89"/>
      <c r="E562" s="89" t="s">
        <v>1554</v>
      </c>
      <c r="F562" s="89"/>
      <c r="G562" s="5"/>
    </row>
    <row r="563" spans="2:7" ht="14.25" customHeight="1">
      <c r="B563" s="88" t="s">
        <v>61</v>
      </c>
      <c r="C563" s="89"/>
      <c r="D563" s="90" t="s">
        <v>1031</v>
      </c>
      <c r="E563" s="90" t="s">
        <v>1031</v>
      </c>
      <c r="F563" s="90" t="s">
        <v>1031</v>
      </c>
      <c r="G563" s="90" t="s">
        <v>1031</v>
      </c>
    </row>
    <row r="564" spans="2:7" ht="14.25" customHeight="1">
      <c r="B564" s="88" t="s">
        <v>61</v>
      </c>
      <c r="C564" s="89"/>
      <c r="D564" s="89"/>
      <c r="E564" s="89" t="s">
        <v>1555</v>
      </c>
      <c r="F564" s="89"/>
      <c r="G564" s="5"/>
    </row>
    <row r="565" spans="2:7" ht="14.25" customHeight="1">
      <c r="B565" s="88" t="s">
        <v>61</v>
      </c>
      <c r="C565" s="89"/>
      <c r="D565" s="89"/>
      <c r="E565" s="89" t="s">
        <v>1556</v>
      </c>
      <c r="F565" s="89"/>
      <c r="G565" s="5"/>
    </row>
    <row r="566" spans="2:7" ht="14.25" customHeight="1">
      <c r="B566" s="88" t="s">
        <v>61</v>
      </c>
      <c r="C566" s="89"/>
      <c r="D566" s="89"/>
      <c r="E566" s="89" t="s">
        <v>1557</v>
      </c>
      <c r="F566" s="89"/>
      <c r="G566" s="5"/>
    </row>
    <row r="567" spans="2:7" ht="14.25" customHeight="1">
      <c r="B567" s="88" t="s">
        <v>61</v>
      </c>
      <c r="C567" s="89"/>
      <c r="D567" s="90" t="s">
        <v>1032</v>
      </c>
      <c r="E567" s="90" t="s">
        <v>1032</v>
      </c>
      <c r="F567" s="90" t="s">
        <v>1032</v>
      </c>
      <c r="G567" s="90" t="s">
        <v>1032</v>
      </c>
    </row>
    <row r="568" spans="2:7" ht="14.25" customHeight="1">
      <c r="B568" s="88" t="s">
        <v>61</v>
      </c>
      <c r="C568" s="89"/>
      <c r="D568" s="89"/>
      <c r="E568" s="89" t="s">
        <v>1558</v>
      </c>
      <c r="F568" s="89"/>
      <c r="G568" s="5"/>
    </row>
    <row r="569" spans="2:7" ht="14.25" customHeight="1">
      <c r="B569" s="88" t="s">
        <v>61</v>
      </c>
      <c r="C569" s="89"/>
      <c r="D569" s="89"/>
      <c r="E569" s="89" t="s">
        <v>1559</v>
      </c>
      <c r="F569" s="89"/>
      <c r="G569" s="5"/>
    </row>
    <row r="570" spans="2:7" ht="14.25" customHeight="1">
      <c r="B570" s="88" t="s">
        <v>61</v>
      </c>
      <c r="C570" s="89"/>
      <c r="D570" s="89"/>
      <c r="E570" s="89" t="s">
        <v>1560</v>
      </c>
      <c r="F570" s="89"/>
      <c r="G570" s="5"/>
    </row>
    <row r="571" spans="2:7" ht="14.25" customHeight="1">
      <c r="B571" s="88" t="s">
        <v>61</v>
      </c>
      <c r="C571" s="89"/>
      <c r="D571" s="90" t="s">
        <v>1033</v>
      </c>
      <c r="E571" s="90" t="s">
        <v>1033</v>
      </c>
      <c r="F571" s="90" t="s">
        <v>1033</v>
      </c>
      <c r="G571" s="90" t="s">
        <v>1033</v>
      </c>
    </row>
    <row r="572" spans="2:7" ht="14.25" customHeight="1">
      <c r="B572" s="88" t="s">
        <v>61</v>
      </c>
      <c r="C572" s="89"/>
      <c r="D572" s="89"/>
      <c r="E572" s="89" t="s">
        <v>1561</v>
      </c>
      <c r="F572" s="89"/>
      <c r="G572" s="5"/>
    </row>
    <row r="573" spans="2:7" ht="14.25" customHeight="1">
      <c r="B573" s="88" t="s">
        <v>61</v>
      </c>
      <c r="C573" s="89"/>
      <c r="D573" s="89"/>
      <c r="E573" s="89" t="s">
        <v>1562</v>
      </c>
      <c r="F573" s="89"/>
      <c r="G573" s="5"/>
    </row>
    <row r="574" spans="2:7" ht="14.25" customHeight="1">
      <c r="B574" s="88" t="s">
        <v>61</v>
      </c>
      <c r="C574" s="89"/>
      <c r="D574" s="89"/>
      <c r="E574" s="89" t="s">
        <v>1563</v>
      </c>
      <c r="F574" s="89"/>
      <c r="G574" s="5"/>
    </row>
    <row r="575" spans="2:7" ht="14.25" customHeight="1">
      <c r="B575" s="88" t="s">
        <v>61</v>
      </c>
      <c r="C575" s="89"/>
      <c r="D575" s="89"/>
      <c r="E575" s="89" t="s">
        <v>1564</v>
      </c>
      <c r="F575" s="89"/>
      <c r="G575" s="5"/>
    </row>
    <row r="576" spans="2:7" ht="14.25" customHeight="1">
      <c r="B576" s="88" t="s">
        <v>61</v>
      </c>
      <c r="C576" s="89"/>
      <c r="D576" s="89"/>
      <c r="E576" s="89" t="s">
        <v>1565</v>
      </c>
      <c r="F576" s="89"/>
      <c r="G576" s="5"/>
    </row>
    <row r="577" spans="2:7" ht="14.25" customHeight="1">
      <c r="B577" s="88" t="s">
        <v>61</v>
      </c>
      <c r="C577" s="89"/>
      <c r="D577" s="89"/>
      <c r="E577" s="89" t="s">
        <v>1566</v>
      </c>
      <c r="F577" s="89"/>
      <c r="G577" s="5"/>
    </row>
    <row r="578" spans="2:7" ht="14.25" customHeight="1">
      <c r="B578" s="88" t="s">
        <v>61</v>
      </c>
      <c r="C578" s="89"/>
      <c r="D578" s="90" t="s">
        <v>68</v>
      </c>
      <c r="E578" s="90" t="s">
        <v>68</v>
      </c>
      <c r="F578" s="90" t="s">
        <v>68</v>
      </c>
      <c r="G578" s="90" t="s">
        <v>68</v>
      </c>
    </row>
    <row r="579" spans="2:7" ht="14.25" customHeight="1">
      <c r="B579" s="88" t="s">
        <v>61</v>
      </c>
      <c r="C579" s="89"/>
      <c r="D579" s="89"/>
      <c r="E579" s="89" t="s">
        <v>1567</v>
      </c>
      <c r="F579" s="89"/>
      <c r="G579" s="5"/>
    </row>
    <row r="580" spans="2:7" ht="14.25" customHeight="1">
      <c r="B580" s="88" t="s">
        <v>61</v>
      </c>
      <c r="C580" s="89"/>
      <c r="D580" s="89"/>
      <c r="E580" s="89" t="s">
        <v>1568</v>
      </c>
      <c r="F580" s="89"/>
      <c r="G580" s="5"/>
    </row>
    <row r="581" spans="2:7" ht="14.25" customHeight="1">
      <c r="B581" s="88" t="s">
        <v>61</v>
      </c>
      <c r="C581" s="89"/>
      <c r="D581" s="89"/>
      <c r="E581" s="89" t="s">
        <v>1569</v>
      </c>
      <c r="F581" s="89"/>
      <c r="G581" s="5"/>
    </row>
    <row r="582" spans="2:7" ht="14.25" customHeight="1">
      <c r="B582" s="88" t="s">
        <v>61</v>
      </c>
      <c r="C582" s="89"/>
      <c r="D582" s="90" t="s">
        <v>1034</v>
      </c>
      <c r="E582" s="90" t="s">
        <v>1034</v>
      </c>
      <c r="F582" s="90" t="s">
        <v>1034</v>
      </c>
      <c r="G582" s="90" t="s">
        <v>1034</v>
      </c>
    </row>
    <row r="583" spans="2:7" ht="14.25" customHeight="1">
      <c r="B583" s="88" t="s">
        <v>61</v>
      </c>
      <c r="C583" s="89"/>
      <c r="D583" s="89"/>
      <c r="E583" s="89" t="s">
        <v>1570</v>
      </c>
      <c r="F583" s="89"/>
      <c r="G583" s="5"/>
    </row>
    <row r="584" spans="2:7" ht="14.25" customHeight="1">
      <c r="B584" s="88" t="s">
        <v>61</v>
      </c>
      <c r="C584" s="89"/>
      <c r="D584" s="89"/>
      <c r="E584" s="89" t="s">
        <v>1571</v>
      </c>
      <c r="F584" s="89"/>
      <c r="G584" s="5"/>
    </row>
    <row r="585" spans="2:7" ht="14.25" customHeight="1">
      <c r="B585" s="88" t="s">
        <v>61</v>
      </c>
      <c r="C585" s="89"/>
      <c r="D585" s="89"/>
      <c r="E585" s="89" t="s">
        <v>1572</v>
      </c>
      <c r="F585" s="89"/>
      <c r="G585" s="5"/>
    </row>
    <row r="586" spans="2:7" ht="14.25" customHeight="1">
      <c r="B586" s="88" t="s">
        <v>61</v>
      </c>
      <c r="C586" s="89"/>
      <c r="D586" s="90" t="s">
        <v>1035</v>
      </c>
      <c r="E586" s="90" t="s">
        <v>1035</v>
      </c>
      <c r="F586" s="90" t="s">
        <v>1035</v>
      </c>
      <c r="G586" s="90" t="s">
        <v>1035</v>
      </c>
    </row>
    <row r="587" spans="2:7" ht="14.25" customHeight="1">
      <c r="B587" s="88" t="s">
        <v>61</v>
      </c>
      <c r="C587" s="89"/>
      <c r="D587" s="89"/>
      <c r="E587" s="89" t="s">
        <v>1573</v>
      </c>
      <c r="F587" s="89"/>
      <c r="G587" s="5"/>
    </row>
    <row r="588" spans="2:7" ht="14.25" customHeight="1">
      <c r="B588" s="88" t="s">
        <v>61</v>
      </c>
      <c r="C588" s="89"/>
      <c r="D588" s="89"/>
      <c r="E588" s="89" t="s">
        <v>1574</v>
      </c>
      <c r="F588" s="89"/>
      <c r="G588" s="5"/>
    </row>
    <row r="589" spans="2:7" ht="14.25" customHeight="1">
      <c r="B589" s="88" t="s">
        <v>61</v>
      </c>
      <c r="C589" s="89"/>
      <c r="D589" s="89"/>
      <c r="E589" s="89" t="s">
        <v>1575</v>
      </c>
      <c r="F589" s="89"/>
      <c r="G589" s="5"/>
    </row>
    <row r="590" spans="2:7" ht="14.25" customHeight="1">
      <c r="B590" s="88" t="s">
        <v>61</v>
      </c>
      <c r="C590" s="89"/>
      <c r="D590" s="90" t="s">
        <v>1036</v>
      </c>
      <c r="E590" s="90" t="s">
        <v>1036</v>
      </c>
      <c r="F590" s="90" t="s">
        <v>1036</v>
      </c>
      <c r="G590" s="90" t="s">
        <v>1036</v>
      </c>
    </row>
    <row r="591" spans="2:7" ht="14.25" customHeight="1">
      <c r="B591" s="88" t="s">
        <v>61</v>
      </c>
      <c r="C591" s="89"/>
      <c r="D591" s="89"/>
      <c r="E591" s="89" t="s">
        <v>1576</v>
      </c>
      <c r="F591" s="89"/>
      <c r="G591" s="5"/>
    </row>
    <row r="592" spans="2:7" ht="14.25" customHeight="1">
      <c r="B592" s="88" t="s">
        <v>61</v>
      </c>
      <c r="C592" s="89"/>
      <c r="D592" s="89"/>
      <c r="E592" s="89" t="s">
        <v>1577</v>
      </c>
      <c r="F592" s="89"/>
      <c r="G592" s="5"/>
    </row>
    <row r="593" spans="2:7" ht="14.25" customHeight="1">
      <c r="B593" s="88" t="s">
        <v>61</v>
      </c>
      <c r="C593" s="89"/>
      <c r="D593" s="89"/>
      <c r="E593" s="89" t="s">
        <v>1578</v>
      </c>
      <c r="F593" s="89"/>
      <c r="G593" s="5"/>
    </row>
    <row r="594" spans="2:7" ht="14.25" customHeight="1">
      <c r="B594" s="88" t="s">
        <v>61</v>
      </c>
      <c r="C594" s="89"/>
      <c r="D594" s="89"/>
      <c r="E594" s="89" t="s">
        <v>1579</v>
      </c>
      <c r="F594" s="89"/>
      <c r="G594" s="5"/>
    </row>
    <row r="595" spans="2:7" ht="14.25" customHeight="1">
      <c r="B595" s="88" t="s">
        <v>61</v>
      </c>
      <c r="C595" s="89"/>
      <c r="D595" s="89"/>
      <c r="E595" s="89" t="s">
        <v>1580</v>
      </c>
      <c r="F595" s="89"/>
      <c r="G595" s="5"/>
    </row>
    <row r="596" spans="2:7" ht="14.25" customHeight="1">
      <c r="B596" s="88" t="s">
        <v>61</v>
      </c>
      <c r="C596" s="89"/>
      <c r="D596" s="89"/>
      <c r="E596" s="89" t="s">
        <v>1581</v>
      </c>
      <c r="F596" s="89"/>
      <c r="G596" s="5"/>
    </row>
    <row r="597" spans="2:7" ht="14.25" customHeight="1">
      <c r="B597" s="88" t="s">
        <v>61</v>
      </c>
      <c r="C597" s="89"/>
      <c r="D597" s="90" t="s">
        <v>1037</v>
      </c>
      <c r="E597" s="90" t="s">
        <v>1037</v>
      </c>
      <c r="F597" s="90" t="s">
        <v>1037</v>
      </c>
      <c r="G597" s="90" t="s">
        <v>1037</v>
      </c>
    </row>
    <row r="598" spans="2:7" ht="14.25" customHeight="1">
      <c r="B598" s="88" t="s">
        <v>61</v>
      </c>
      <c r="C598" s="89"/>
      <c r="D598" s="89"/>
      <c r="E598" s="89" t="s">
        <v>1582</v>
      </c>
      <c r="F598" s="89"/>
      <c r="G598" s="5"/>
    </row>
    <row r="599" spans="2:7" ht="14.25" customHeight="1">
      <c r="B599" s="88" t="s">
        <v>61</v>
      </c>
      <c r="C599" s="89"/>
      <c r="D599" s="89"/>
      <c r="E599" s="89" t="s">
        <v>1583</v>
      </c>
      <c r="F599" s="89"/>
      <c r="G599" s="5"/>
    </row>
    <row r="600" spans="2:7" ht="14.25" customHeight="1">
      <c r="B600" s="88" t="s">
        <v>61</v>
      </c>
      <c r="C600" s="89"/>
      <c r="D600" s="89"/>
      <c r="E600" s="89" t="s">
        <v>1584</v>
      </c>
      <c r="F600" s="89"/>
      <c r="G600" s="5"/>
    </row>
    <row r="601" spans="2:7" ht="14.25" customHeight="1">
      <c r="B601" s="88" t="s">
        <v>61</v>
      </c>
      <c r="C601" s="89"/>
      <c r="D601" s="90" t="s">
        <v>1038</v>
      </c>
      <c r="E601" s="90" t="s">
        <v>1038</v>
      </c>
      <c r="F601" s="90" t="s">
        <v>1038</v>
      </c>
      <c r="G601" s="90" t="s">
        <v>1038</v>
      </c>
    </row>
    <row r="602" spans="2:7" ht="14.25" customHeight="1">
      <c r="B602" s="88" t="s">
        <v>61</v>
      </c>
      <c r="C602" s="89"/>
      <c r="D602" s="89"/>
      <c r="E602" s="89" t="s">
        <v>1585</v>
      </c>
      <c r="F602" s="89"/>
      <c r="G602" s="5"/>
    </row>
    <row r="603" spans="2:7" ht="14.25" customHeight="1">
      <c r="B603" s="88" t="s">
        <v>61</v>
      </c>
      <c r="C603" s="89"/>
      <c r="D603" s="89"/>
      <c r="E603" s="89" t="s">
        <v>1586</v>
      </c>
      <c r="F603" s="89"/>
      <c r="G603" s="5"/>
    </row>
    <row r="604" spans="2:7" ht="14.25" customHeight="1">
      <c r="B604" s="88" t="s">
        <v>61</v>
      </c>
      <c r="C604" s="89"/>
      <c r="D604" s="89"/>
      <c r="E604" s="89" t="s">
        <v>1587</v>
      </c>
      <c r="F604" s="89"/>
      <c r="G604" s="5"/>
    </row>
    <row r="605" spans="2:7" ht="14.25" customHeight="1">
      <c r="B605" s="88" t="s">
        <v>61</v>
      </c>
      <c r="C605" s="89"/>
      <c r="D605" s="89"/>
      <c r="E605" s="89" t="s">
        <v>1588</v>
      </c>
      <c r="F605" s="89"/>
      <c r="G605" s="5"/>
    </row>
    <row r="606" spans="2:7" ht="14.25" customHeight="1">
      <c r="B606" s="88" t="s">
        <v>61</v>
      </c>
      <c r="C606" s="89"/>
      <c r="D606" s="89"/>
      <c r="E606" s="89" t="s">
        <v>1589</v>
      </c>
      <c r="F606" s="89"/>
      <c r="G606" s="5"/>
    </row>
    <row r="607" spans="2:7" ht="14.25" customHeight="1">
      <c r="B607" s="88" t="s">
        <v>61</v>
      </c>
      <c r="C607" s="89"/>
      <c r="D607" s="89"/>
      <c r="E607" s="89" t="s">
        <v>1590</v>
      </c>
      <c r="F607" s="89"/>
      <c r="G607" s="5"/>
    </row>
    <row r="608" spans="2:7" ht="14.25" customHeight="1">
      <c r="B608" s="88" t="s">
        <v>61</v>
      </c>
      <c r="C608" s="89"/>
      <c r="D608" s="89"/>
      <c r="E608" s="89" t="s">
        <v>1591</v>
      </c>
      <c r="F608" s="89"/>
      <c r="G608" s="5"/>
    </row>
    <row r="609" spans="2:7" ht="14.25" customHeight="1">
      <c r="B609" s="88" t="s">
        <v>61</v>
      </c>
      <c r="C609" s="89"/>
      <c r="D609" s="89"/>
      <c r="E609" s="89" t="s">
        <v>1592</v>
      </c>
      <c r="F609" s="89"/>
      <c r="G609" s="5"/>
    </row>
    <row r="610" spans="2:7" ht="14.25" customHeight="1">
      <c r="B610" s="88" t="s">
        <v>61</v>
      </c>
      <c r="C610" s="89"/>
      <c r="D610" s="90" t="s">
        <v>1039</v>
      </c>
      <c r="E610" s="90" t="s">
        <v>1039</v>
      </c>
      <c r="F610" s="90" t="s">
        <v>1039</v>
      </c>
      <c r="G610" s="90" t="s">
        <v>1039</v>
      </c>
    </row>
    <row r="611" spans="2:7" ht="14.25" customHeight="1">
      <c r="B611" s="88" t="s">
        <v>61</v>
      </c>
      <c r="C611" s="89"/>
      <c r="D611" s="89"/>
      <c r="E611" s="89" t="s">
        <v>1593</v>
      </c>
      <c r="F611" s="89"/>
      <c r="G611" s="5"/>
    </row>
    <row r="612" spans="2:7" ht="14.25" customHeight="1">
      <c r="B612" s="88" t="s">
        <v>61</v>
      </c>
      <c r="C612" s="89"/>
      <c r="D612" s="89"/>
      <c r="E612" s="89" t="s">
        <v>1594</v>
      </c>
      <c r="F612" s="89"/>
      <c r="G612" s="5"/>
    </row>
    <row r="613" spans="2:7" ht="14.25" customHeight="1">
      <c r="B613" s="88" t="s">
        <v>61</v>
      </c>
      <c r="C613" s="89"/>
      <c r="D613" s="89"/>
      <c r="E613" s="89" t="s">
        <v>1595</v>
      </c>
      <c r="F613" s="89"/>
      <c r="G613" s="5"/>
    </row>
    <row r="614" spans="2:7" ht="14.25" customHeight="1">
      <c r="B614" s="88" t="s">
        <v>61</v>
      </c>
      <c r="C614" s="89"/>
      <c r="D614" s="89"/>
      <c r="E614" s="89" t="s">
        <v>1596</v>
      </c>
      <c r="F614" s="89"/>
      <c r="G614" s="5"/>
    </row>
    <row r="615" spans="2:7" ht="14.25" customHeight="1">
      <c r="B615" s="88" t="s">
        <v>61</v>
      </c>
      <c r="C615" s="89"/>
      <c r="D615" s="90" t="s">
        <v>1040</v>
      </c>
      <c r="E615" s="90" t="s">
        <v>1040</v>
      </c>
      <c r="F615" s="90" t="s">
        <v>1040</v>
      </c>
      <c r="G615" s="90" t="s">
        <v>1040</v>
      </c>
    </row>
    <row r="616" spans="2:7" ht="14.25" customHeight="1">
      <c r="B616" s="88" t="s">
        <v>61</v>
      </c>
      <c r="C616" s="89"/>
      <c r="D616" s="89"/>
      <c r="E616" s="89" t="s">
        <v>1597</v>
      </c>
      <c r="F616" s="89"/>
      <c r="G616" s="5"/>
    </row>
    <row r="617" spans="2:7" ht="14.25" customHeight="1">
      <c r="B617" s="88" t="s">
        <v>61</v>
      </c>
      <c r="C617" s="89"/>
      <c r="D617" s="89"/>
      <c r="E617" s="89" t="s">
        <v>1598</v>
      </c>
      <c r="F617" s="89"/>
      <c r="G617" s="5"/>
    </row>
    <row r="618" spans="2:7" ht="14.25" customHeight="1">
      <c r="B618" s="88" t="s">
        <v>61</v>
      </c>
      <c r="C618" s="89"/>
      <c r="D618" s="89"/>
      <c r="E618" s="89" t="s">
        <v>1599</v>
      </c>
      <c r="F618" s="89"/>
      <c r="G618" s="5"/>
    </row>
    <row r="619" spans="2:7" ht="14.25" customHeight="1">
      <c r="B619" s="88" t="s">
        <v>61</v>
      </c>
      <c r="C619" s="89"/>
      <c r="D619" s="89"/>
      <c r="E619" s="89" t="s">
        <v>1600</v>
      </c>
      <c r="F619" s="89"/>
      <c r="G619" s="5"/>
    </row>
    <row r="620" spans="2:7" ht="14.25" customHeight="1">
      <c r="B620" s="88" t="s">
        <v>61</v>
      </c>
      <c r="C620" s="89"/>
      <c r="D620" s="90" t="s">
        <v>1041</v>
      </c>
      <c r="E620" s="90" t="s">
        <v>1041</v>
      </c>
      <c r="F620" s="90" t="s">
        <v>1041</v>
      </c>
      <c r="G620" s="90" t="s">
        <v>1041</v>
      </c>
    </row>
    <row r="621" spans="2:7" ht="14.25" customHeight="1">
      <c r="B621" s="88" t="s">
        <v>61</v>
      </c>
      <c r="C621" s="89"/>
      <c r="D621" s="89"/>
      <c r="E621" s="89" t="s">
        <v>1601</v>
      </c>
      <c r="F621" s="89"/>
      <c r="G621" s="5"/>
    </row>
    <row r="622" spans="2:7" ht="14.25" customHeight="1">
      <c r="B622" s="88" t="s">
        <v>61</v>
      </c>
      <c r="C622" s="89"/>
      <c r="D622" s="89"/>
      <c r="E622" s="89" t="s">
        <v>1602</v>
      </c>
      <c r="F622" s="89"/>
      <c r="G622" s="5"/>
    </row>
    <row r="623" spans="2:7" ht="14.25" customHeight="1">
      <c r="B623" s="88" t="s">
        <v>61</v>
      </c>
      <c r="C623" s="89"/>
      <c r="D623" s="89"/>
      <c r="E623" s="89" t="s">
        <v>1603</v>
      </c>
      <c r="F623" s="89"/>
      <c r="G623" s="5"/>
    </row>
    <row r="624" spans="2:7" ht="14.25" customHeight="1">
      <c r="B624" s="88" t="s">
        <v>61</v>
      </c>
      <c r="C624" s="89"/>
      <c r="D624" s="89"/>
      <c r="E624" s="89" t="s">
        <v>1604</v>
      </c>
      <c r="F624" s="89"/>
      <c r="G624" s="5"/>
    </row>
    <row r="625" spans="2:7" ht="14.25" customHeight="1">
      <c r="B625" s="88" t="s">
        <v>61</v>
      </c>
      <c r="C625" s="89"/>
      <c r="D625" s="90" t="s">
        <v>1042</v>
      </c>
      <c r="E625" s="90" t="s">
        <v>1042</v>
      </c>
      <c r="F625" s="90" t="s">
        <v>1042</v>
      </c>
      <c r="G625" s="90" t="s">
        <v>1042</v>
      </c>
    </row>
    <row r="626" spans="2:7" ht="14.25" customHeight="1">
      <c r="B626" s="88" t="s">
        <v>61</v>
      </c>
      <c r="C626" s="89"/>
      <c r="D626" s="89"/>
      <c r="E626" s="89" t="s">
        <v>1605</v>
      </c>
      <c r="F626" s="89"/>
      <c r="G626" s="5"/>
    </row>
    <row r="627" spans="2:7" ht="14.25" customHeight="1">
      <c r="B627" s="88" t="s">
        <v>61</v>
      </c>
      <c r="C627" s="89"/>
      <c r="D627" s="89"/>
      <c r="E627" s="89" t="s">
        <v>1606</v>
      </c>
      <c r="F627" s="89"/>
      <c r="G627" s="5"/>
    </row>
    <row r="628" spans="2:7" ht="14.25" customHeight="1">
      <c r="B628" s="88" t="s">
        <v>61</v>
      </c>
      <c r="C628" s="89"/>
      <c r="D628" s="89"/>
      <c r="E628" s="89" t="s">
        <v>1607</v>
      </c>
      <c r="F628" s="89"/>
      <c r="G628" s="5"/>
    </row>
    <row r="629" spans="2:7" ht="14.25" customHeight="1">
      <c r="B629" s="88" t="s">
        <v>61</v>
      </c>
      <c r="C629" s="89"/>
      <c r="D629" s="89"/>
      <c r="E629" s="89" t="s">
        <v>1608</v>
      </c>
      <c r="F629" s="89"/>
      <c r="G629" s="5"/>
    </row>
    <row r="630" spans="2:7" ht="14.25" customHeight="1">
      <c r="B630" s="88" t="s">
        <v>61</v>
      </c>
      <c r="C630" s="89"/>
      <c r="D630" s="90" t="s">
        <v>1043</v>
      </c>
      <c r="E630" s="90" t="s">
        <v>1043</v>
      </c>
      <c r="F630" s="90" t="s">
        <v>1043</v>
      </c>
      <c r="G630" s="90" t="s">
        <v>1043</v>
      </c>
    </row>
    <row r="631" spans="2:7" ht="14.25" customHeight="1">
      <c r="B631" s="88" t="s">
        <v>61</v>
      </c>
      <c r="C631" s="89"/>
      <c r="D631" s="89"/>
      <c r="E631" s="89" t="s">
        <v>1609</v>
      </c>
      <c r="F631" s="89"/>
      <c r="G631" s="5"/>
    </row>
    <row r="632" spans="2:7" ht="14.25" customHeight="1">
      <c r="B632" s="88" t="s">
        <v>61</v>
      </c>
      <c r="C632" s="89"/>
      <c r="D632" s="89"/>
      <c r="E632" s="89" t="s">
        <v>1610</v>
      </c>
      <c r="F632" s="89"/>
      <c r="G632" s="5"/>
    </row>
    <row r="633" spans="2:7" ht="14.25" customHeight="1">
      <c r="B633" s="88" t="s">
        <v>61</v>
      </c>
      <c r="C633" s="89"/>
      <c r="D633" s="89"/>
      <c r="E633" s="89" t="s">
        <v>1611</v>
      </c>
      <c r="F633" s="89"/>
      <c r="G633" s="5"/>
    </row>
    <row r="634" spans="2:7" ht="14.25" customHeight="1">
      <c r="B634" s="88" t="s">
        <v>61</v>
      </c>
      <c r="C634" s="89"/>
      <c r="D634" s="89"/>
      <c r="E634" s="89" t="s">
        <v>1612</v>
      </c>
      <c r="F634" s="89"/>
      <c r="G634" s="5"/>
    </row>
    <row r="635" spans="2:7" ht="14.25" customHeight="1">
      <c r="B635" s="88" t="s">
        <v>61</v>
      </c>
      <c r="C635" s="89"/>
      <c r="D635" s="90" t="s">
        <v>1044</v>
      </c>
      <c r="E635" s="90" t="s">
        <v>1044</v>
      </c>
      <c r="F635" s="90" t="s">
        <v>1044</v>
      </c>
      <c r="G635" s="90" t="s">
        <v>1044</v>
      </c>
    </row>
    <row r="636" spans="2:7" ht="14.25" customHeight="1">
      <c r="B636" s="88" t="s">
        <v>61</v>
      </c>
      <c r="C636" s="89"/>
      <c r="D636" s="89"/>
      <c r="E636" s="89" t="s">
        <v>1613</v>
      </c>
      <c r="F636" s="89"/>
      <c r="G636" s="5"/>
    </row>
    <row r="637" spans="2:7" ht="14.25" customHeight="1">
      <c r="B637" s="88" t="s">
        <v>61</v>
      </c>
      <c r="C637" s="89"/>
      <c r="D637" s="89"/>
      <c r="E637" s="89" t="s">
        <v>1614</v>
      </c>
      <c r="F637" s="89"/>
      <c r="G637" s="5"/>
    </row>
    <row r="638" spans="2:7" ht="14.25" customHeight="1">
      <c r="B638" s="88" t="s">
        <v>61</v>
      </c>
      <c r="C638" s="89"/>
      <c r="D638" s="89"/>
      <c r="E638" s="89" t="s">
        <v>1615</v>
      </c>
      <c r="F638" s="89"/>
      <c r="G638" s="5"/>
    </row>
    <row r="639" spans="2:7" ht="14.25" customHeight="1">
      <c r="B639" s="88" t="s">
        <v>61</v>
      </c>
      <c r="C639" s="89"/>
      <c r="D639" s="89"/>
      <c r="E639" s="89" t="s">
        <v>1616</v>
      </c>
      <c r="F639" s="89"/>
      <c r="G639" s="5"/>
    </row>
    <row r="640" spans="2:7" ht="14.25" customHeight="1">
      <c r="B640" s="88" t="s">
        <v>61</v>
      </c>
      <c r="C640" s="89"/>
      <c r="D640" s="90" t="s">
        <v>1045</v>
      </c>
      <c r="E640" s="90" t="s">
        <v>1045</v>
      </c>
      <c r="F640" s="90" t="s">
        <v>1045</v>
      </c>
      <c r="G640" s="90" t="s">
        <v>1045</v>
      </c>
    </row>
    <row r="641" spans="2:7" ht="14.25" customHeight="1">
      <c r="B641" s="88" t="s">
        <v>61</v>
      </c>
      <c r="C641" s="89"/>
      <c r="D641" s="89"/>
      <c r="E641" s="89" t="s">
        <v>1617</v>
      </c>
      <c r="F641" s="89"/>
      <c r="G641" s="5"/>
    </row>
    <row r="642" spans="2:7" ht="14.25" customHeight="1">
      <c r="B642" s="88" t="s">
        <v>61</v>
      </c>
      <c r="C642" s="89"/>
      <c r="D642" s="89"/>
      <c r="E642" s="89" t="s">
        <v>1618</v>
      </c>
      <c r="F642" s="89"/>
      <c r="G642" s="5"/>
    </row>
    <row r="643" spans="2:7" ht="14.25" customHeight="1">
      <c r="B643" s="88" t="s">
        <v>61</v>
      </c>
      <c r="C643" s="89"/>
      <c r="D643" s="89"/>
      <c r="E643" s="89" t="s">
        <v>1619</v>
      </c>
      <c r="F643" s="89"/>
      <c r="G643" s="5"/>
    </row>
    <row r="644" spans="2:7" ht="14.25" customHeight="1">
      <c r="B644" s="88" t="s">
        <v>61</v>
      </c>
      <c r="C644" s="89"/>
      <c r="D644" s="89"/>
      <c r="E644" s="89" t="s">
        <v>1620</v>
      </c>
      <c r="F644" s="89"/>
      <c r="G644" s="5"/>
    </row>
    <row r="645" spans="2:7" ht="14.25" customHeight="1">
      <c r="B645" s="88" t="s">
        <v>61</v>
      </c>
      <c r="C645" s="89"/>
      <c r="D645" s="90" t="s">
        <v>1046</v>
      </c>
      <c r="E645" s="90" t="s">
        <v>1046</v>
      </c>
      <c r="F645" s="90" t="s">
        <v>1046</v>
      </c>
      <c r="G645" s="90" t="s">
        <v>1046</v>
      </c>
    </row>
    <row r="646" spans="2:7" ht="14.25" customHeight="1">
      <c r="B646" s="88" t="s">
        <v>61</v>
      </c>
      <c r="C646" s="89"/>
      <c r="D646" s="89"/>
      <c r="E646" s="89" t="s">
        <v>1621</v>
      </c>
      <c r="F646" s="89"/>
      <c r="G646" s="5"/>
    </row>
    <row r="647" spans="2:7" ht="14.25" customHeight="1">
      <c r="B647" s="88" t="s">
        <v>61</v>
      </c>
      <c r="C647" s="89"/>
      <c r="D647" s="89"/>
      <c r="E647" s="89" t="s">
        <v>1622</v>
      </c>
      <c r="F647" s="89"/>
      <c r="G647" s="5"/>
    </row>
    <row r="648" spans="2:7" ht="14.25" customHeight="1">
      <c r="B648" s="88" t="s">
        <v>61</v>
      </c>
      <c r="C648" s="89"/>
      <c r="D648" s="89"/>
      <c r="E648" s="89" t="s">
        <v>1623</v>
      </c>
      <c r="F648" s="89"/>
      <c r="G648" s="5"/>
    </row>
    <row r="649" spans="2:7" ht="14.25" customHeight="1">
      <c r="B649" s="88" t="s">
        <v>61</v>
      </c>
      <c r="C649" s="89"/>
      <c r="D649" s="89"/>
      <c r="E649" s="89" t="s">
        <v>1624</v>
      </c>
      <c r="F649" s="89"/>
      <c r="G649" s="5"/>
    </row>
    <row r="650" spans="2:7" ht="14.25" customHeight="1">
      <c r="B650" s="88" t="s">
        <v>61</v>
      </c>
      <c r="C650" s="89"/>
      <c r="D650" s="90" t="s">
        <v>1047</v>
      </c>
      <c r="E650" s="90" t="s">
        <v>1047</v>
      </c>
      <c r="F650" s="90" t="s">
        <v>1047</v>
      </c>
      <c r="G650" s="90" t="s">
        <v>1047</v>
      </c>
    </row>
    <row r="651" spans="2:7" ht="14.25" customHeight="1">
      <c r="B651" s="88" t="s">
        <v>61</v>
      </c>
      <c r="C651" s="89"/>
      <c r="D651" s="89"/>
      <c r="E651" s="89" t="s">
        <v>1625</v>
      </c>
      <c r="F651" s="89"/>
      <c r="G651" s="5"/>
    </row>
    <row r="652" spans="2:7" ht="14.25" customHeight="1">
      <c r="B652" s="88" t="s">
        <v>61</v>
      </c>
      <c r="C652" s="89"/>
      <c r="D652" s="89"/>
      <c r="E652" s="89" t="s">
        <v>1626</v>
      </c>
      <c r="F652" s="89"/>
      <c r="G652" s="5"/>
    </row>
    <row r="653" spans="2:7" ht="14.25" customHeight="1">
      <c r="B653" s="88" t="s">
        <v>61</v>
      </c>
      <c r="C653" s="89"/>
      <c r="D653" s="89"/>
      <c r="E653" s="89" t="s">
        <v>1627</v>
      </c>
      <c r="F653" s="89"/>
      <c r="G653" s="5"/>
    </row>
    <row r="654" spans="2:7" ht="14.25" customHeight="1">
      <c r="B654" s="88" t="s">
        <v>61</v>
      </c>
      <c r="C654" s="89"/>
      <c r="D654" s="89"/>
      <c r="E654" s="89" t="s">
        <v>1628</v>
      </c>
      <c r="F654" s="89"/>
      <c r="G654" s="5"/>
    </row>
    <row r="655" spans="2:7" ht="14.25" customHeight="1">
      <c r="B655" s="88" t="s">
        <v>61</v>
      </c>
      <c r="C655" s="89"/>
      <c r="D655" s="90" t="s">
        <v>1048</v>
      </c>
      <c r="E655" s="90" t="s">
        <v>1048</v>
      </c>
      <c r="F655" s="90" t="s">
        <v>1048</v>
      </c>
      <c r="G655" s="90" t="s">
        <v>1048</v>
      </c>
    </row>
    <row r="656" spans="2:7" ht="14.25" customHeight="1">
      <c r="B656" s="88" t="s">
        <v>61</v>
      </c>
      <c r="C656" s="89"/>
      <c r="D656" s="89"/>
      <c r="E656" s="89" t="s">
        <v>1629</v>
      </c>
      <c r="F656" s="89"/>
      <c r="G656" s="5"/>
    </row>
    <row r="657" spans="2:7" ht="14.25" customHeight="1">
      <c r="B657" s="88" t="s">
        <v>61</v>
      </c>
      <c r="C657" s="89"/>
      <c r="D657" s="89"/>
      <c r="E657" s="89" t="s">
        <v>1630</v>
      </c>
      <c r="F657" s="89"/>
      <c r="G657" s="5"/>
    </row>
    <row r="658" spans="2:7" ht="14.25" customHeight="1">
      <c r="B658" s="88" t="s">
        <v>61</v>
      </c>
      <c r="C658" s="89"/>
      <c r="D658" s="89"/>
      <c r="E658" s="89" t="s">
        <v>1631</v>
      </c>
      <c r="F658" s="89"/>
      <c r="G658" s="5"/>
    </row>
    <row r="659" spans="2:7" ht="14.25" customHeight="1">
      <c r="B659" s="88" t="s">
        <v>61</v>
      </c>
      <c r="C659" s="89"/>
      <c r="D659" s="89"/>
      <c r="E659" s="89" t="s">
        <v>1632</v>
      </c>
      <c r="F659" s="89"/>
      <c r="G659" s="5"/>
    </row>
    <row r="660" spans="2:7" ht="14.25" customHeight="1">
      <c r="B660" s="88" t="s">
        <v>61</v>
      </c>
      <c r="C660" s="89"/>
      <c r="D660" s="90" t="s">
        <v>1049</v>
      </c>
      <c r="E660" s="90" t="s">
        <v>1049</v>
      </c>
      <c r="F660" s="90" t="s">
        <v>1049</v>
      </c>
      <c r="G660" s="90" t="s">
        <v>1049</v>
      </c>
    </row>
    <row r="661" spans="2:7" ht="14.25" customHeight="1">
      <c r="B661" s="88" t="s">
        <v>61</v>
      </c>
      <c r="C661" s="89"/>
      <c r="D661" s="89"/>
      <c r="E661" s="89" t="s">
        <v>1633</v>
      </c>
      <c r="F661" s="89"/>
      <c r="G661" s="5"/>
    </row>
    <row r="662" spans="2:7" ht="14.25" customHeight="1">
      <c r="B662" s="88" t="s">
        <v>61</v>
      </c>
      <c r="C662" s="89"/>
      <c r="D662" s="89"/>
      <c r="E662" s="89" t="s">
        <v>1634</v>
      </c>
      <c r="F662" s="89"/>
      <c r="G662" s="5"/>
    </row>
    <row r="663" spans="2:7" ht="14.25" customHeight="1">
      <c r="B663" s="88" t="s">
        <v>61</v>
      </c>
      <c r="C663" s="89"/>
      <c r="D663" s="89"/>
      <c r="E663" s="89" t="s">
        <v>1635</v>
      </c>
      <c r="F663" s="89"/>
      <c r="G663" s="5"/>
    </row>
    <row r="664" spans="2:7" ht="14.25" customHeight="1">
      <c r="B664" s="88" t="s">
        <v>61</v>
      </c>
      <c r="C664" s="89"/>
      <c r="D664" s="89"/>
      <c r="E664" s="89" t="s">
        <v>1636</v>
      </c>
      <c r="F664" s="89"/>
      <c r="G664" s="5"/>
    </row>
    <row r="665" spans="2:7" ht="14.25" customHeight="1">
      <c r="B665" s="88" t="s">
        <v>61</v>
      </c>
      <c r="C665" s="89"/>
      <c r="D665" s="90" t="s">
        <v>1050</v>
      </c>
      <c r="E665" s="90" t="s">
        <v>1050</v>
      </c>
      <c r="F665" s="90" t="s">
        <v>1050</v>
      </c>
      <c r="G665" s="90" t="s">
        <v>1050</v>
      </c>
    </row>
    <row r="666" spans="2:7" ht="14.25" customHeight="1">
      <c r="B666" s="88" t="s">
        <v>61</v>
      </c>
      <c r="C666" s="89"/>
      <c r="D666" s="89"/>
      <c r="E666" s="89" t="s">
        <v>1637</v>
      </c>
      <c r="F666" s="89"/>
      <c r="G666" s="5"/>
    </row>
    <row r="667" spans="2:7" ht="14.25" customHeight="1">
      <c r="B667" s="88" t="s">
        <v>61</v>
      </c>
      <c r="C667" s="89"/>
      <c r="D667" s="89"/>
      <c r="E667" s="89" t="s">
        <v>1638</v>
      </c>
      <c r="F667" s="89"/>
      <c r="G667" s="5"/>
    </row>
    <row r="668" spans="2:7" ht="14.25" customHeight="1">
      <c r="B668" s="88" t="s">
        <v>61</v>
      </c>
      <c r="C668" s="89"/>
      <c r="D668" s="89"/>
      <c r="E668" s="89" t="s">
        <v>1639</v>
      </c>
      <c r="F668" s="89"/>
      <c r="G668" s="5"/>
    </row>
    <row r="669" spans="2:7" ht="14.25" customHeight="1">
      <c r="B669" s="88" t="s">
        <v>61</v>
      </c>
      <c r="C669" s="89"/>
      <c r="D669" s="89"/>
      <c r="E669" s="89" t="s">
        <v>1640</v>
      </c>
      <c r="F669" s="89"/>
      <c r="G669" s="5"/>
    </row>
    <row r="670" spans="2:7" ht="14.25" customHeight="1">
      <c r="B670" s="88" t="s">
        <v>61</v>
      </c>
      <c r="C670" s="89"/>
      <c r="D670" s="90" t="s">
        <v>1051</v>
      </c>
      <c r="E670" s="90" t="s">
        <v>1051</v>
      </c>
      <c r="F670" s="90" t="s">
        <v>1051</v>
      </c>
      <c r="G670" s="90" t="s">
        <v>1051</v>
      </c>
    </row>
    <row r="671" spans="2:7" ht="14.25" customHeight="1">
      <c r="B671" s="88" t="s">
        <v>61</v>
      </c>
      <c r="C671" s="89"/>
      <c r="D671" s="89"/>
      <c r="E671" s="89" t="s">
        <v>1641</v>
      </c>
      <c r="F671" s="89"/>
      <c r="G671" s="5"/>
    </row>
    <row r="672" spans="2:7" ht="14.25" customHeight="1">
      <c r="B672" s="88" t="s">
        <v>61</v>
      </c>
      <c r="C672" s="89"/>
      <c r="D672" s="89"/>
      <c r="E672" s="89" t="s">
        <v>1642</v>
      </c>
      <c r="F672" s="89"/>
      <c r="G672" s="5"/>
    </row>
    <row r="673" spans="2:7" ht="14.25" customHeight="1">
      <c r="B673" s="88" t="s">
        <v>61</v>
      </c>
      <c r="C673" s="89"/>
      <c r="D673" s="89"/>
      <c r="E673" s="89" t="s">
        <v>1643</v>
      </c>
      <c r="F673" s="89"/>
      <c r="G673" s="5"/>
    </row>
    <row r="674" spans="2:7" ht="14.25" customHeight="1">
      <c r="B674" s="88" t="s">
        <v>61</v>
      </c>
      <c r="C674" s="89"/>
      <c r="D674" s="89"/>
      <c r="E674" s="89" t="s">
        <v>1644</v>
      </c>
      <c r="F674" s="89"/>
      <c r="G674" s="5"/>
    </row>
    <row r="675" spans="2:7" ht="14.25" customHeight="1">
      <c r="B675" s="88" t="s">
        <v>61</v>
      </c>
      <c r="C675" s="89"/>
      <c r="D675" s="90" t="s">
        <v>1052</v>
      </c>
      <c r="E675" s="90" t="s">
        <v>1052</v>
      </c>
      <c r="F675" s="90" t="s">
        <v>1052</v>
      </c>
      <c r="G675" s="90" t="s">
        <v>1052</v>
      </c>
    </row>
    <row r="676" spans="2:7" ht="14.25" customHeight="1">
      <c r="B676" s="88" t="s">
        <v>61</v>
      </c>
      <c r="C676" s="89"/>
      <c r="D676" s="89"/>
      <c r="E676" s="89" t="s">
        <v>1645</v>
      </c>
      <c r="F676" s="89"/>
      <c r="G676" s="5"/>
    </row>
    <row r="677" spans="2:7" ht="14.25" customHeight="1">
      <c r="B677" s="88" t="s">
        <v>61</v>
      </c>
      <c r="C677" s="89"/>
      <c r="D677" s="89"/>
      <c r="E677" s="89" t="s">
        <v>1646</v>
      </c>
      <c r="F677" s="89"/>
      <c r="G677" s="5"/>
    </row>
    <row r="678" spans="2:7" ht="14.25" customHeight="1">
      <c r="B678" s="88" t="s">
        <v>61</v>
      </c>
      <c r="C678" s="89"/>
      <c r="D678" s="89"/>
      <c r="E678" s="89" t="s">
        <v>1647</v>
      </c>
      <c r="F678" s="89"/>
      <c r="G678" s="5"/>
    </row>
    <row r="679" spans="2:7" ht="14.25" customHeight="1">
      <c r="B679" s="88" t="s">
        <v>61</v>
      </c>
      <c r="C679" s="89"/>
      <c r="D679" s="89"/>
      <c r="E679" s="89" t="s">
        <v>1648</v>
      </c>
      <c r="F679" s="89"/>
      <c r="G679" s="5"/>
    </row>
    <row r="680" spans="2:7" ht="14.25" customHeight="1">
      <c r="B680" s="88" t="s">
        <v>61</v>
      </c>
      <c r="C680" s="89"/>
      <c r="D680" s="90" t="s">
        <v>1053</v>
      </c>
      <c r="E680" s="90" t="s">
        <v>1053</v>
      </c>
      <c r="F680" s="90" t="s">
        <v>1053</v>
      </c>
      <c r="G680" s="90" t="s">
        <v>1053</v>
      </c>
    </row>
    <row r="681" spans="2:7" ht="14.25" customHeight="1">
      <c r="B681" s="88" t="s">
        <v>61</v>
      </c>
      <c r="C681" s="89"/>
      <c r="D681" s="89"/>
      <c r="E681" s="89" t="s">
        <v>1649</v>
      </c>
      <c r="F681" s="89"/>
      <c r="G681" s="5"/>
    </row>
    <row r="682" spans="2:7" ht="14.25" customHeight="1">
      <c r="B682" s="88" t="s">
        <v>61</v>
      </c>
      <c r="C682" s="89"/>
      <c r="D682" s="89"/>
      <c r="E682" s="89" t="s">
        <v>1650</v>
      </c>
      <c r="F682" s="89"/>
      <c r="G682" s="5"/>
    </row>
    <row r="683" spans="2:7" ht="14.25" customHeight="1">
      <c r="B683" s="88" t="s">
        <v>61</v>
      </c>
      <c r="C683" s="89"/>
      <c r="D683" s="89"/>
      <c r="E683" s="89" t="s">
        <v>1651</v>
      </c>
      <c r="F683" s="89"/>
      <c r="G683" s="5"/>
    </row>
    <row r="684" spans="2:7" ht="14.25" customHeight="1">
      <c r="B684" s="88" t="s">
        <v>61</v>
      </c>
      <c r="C684" s="89"/>
      <c r="D684" s="89"/>
      <c r="E684" s="89" t="s">
        <v>1652</v>
      </c>
      <c r="F684" s="89"/>
      <c r="G684" s="5"/>
    </row>
    <row r="685" spans="2:7" ht="14.25" customHeight="1">
      <c r="B685" s="88" t="s">
        <v>61</v>
      </c>
      <c r="C685" s="89"/>
      <c r="D685" s="90" t="s">
        <v>1054</v>
      </c>
      <c r="E685" s="90" t="s">
        <v>1054</v>
      </c>
      <c r="F685" s="90" t="s">
        <v>1054</v>
      </c>
      <c r="G685" s="90" t="s">
        <v>1054</v>
      </c>
    </row>
    <row r="686" spans="2:7" ht="14.25" customHeight="1">
      <c r="B686" s="88" t="s">
        <v>61</v>
      </c>
      <c r="C686" s="89"/>
      <c r="D686" s="89"/>
      <c r="E686" s="89" t="s">
        <v>1653</v>
      </c>
      <c r="F686" s="89"/>
      <c r="G686" s="5"/>
    </row>
    <row r="687" spans="2:7" ht="14.25" customHeight="1">
      <c r="B687" s="88" t="s">
        <v>61</v>
      </c>
      <c r="C687" s="89"/>
      <c r="D687" s="89"/>
      <c r="E687" s="89" t="s">
        <v>1654</v>
      </c>
      <c r="F687" s="89"/>
      <c r="G687" s="5"/>
    </row>
    <row r="688" spans="2:7" ht="14.25" customHeight="1">
      <c r="B688" s="88" t="s">
        <v>61</v>
      </c>
      <c r="C688" s="89"/>
      <c r="D688" s="89"/>
      <c r="E688" s="89" t="s">
        <v>1655</v>
      </c>
      <c r="F688" s="89"/>
      <c r="G688" s="5"/>
    </row>
    <row r="689" spans="2:7" ht="14.25" customHeight="1">
      <c r="B689" s="88" t="s">
        <v>61</v>
      </c>
      <c r="C689" s="89"/>
      <c r="D689" s="89"/>
      <c r="E689" s="89" t="s">
        <v>1656</v>
      </c>
      <c r="F689" s="89"/>
      <c r="G689" s="5"/>
    </row>
    <row r="690" spans="2:7" ht="14.25" customHeight="1">
      <c r="B690" s="88" t="s">
        <v>61</v>
      </c>
      <c r="C690" s="89"/>
      <c r="D690" s="90" t="s">
        <v>1055</v>
      </c>
      <c r="E690" s="90" t="s">
        <v>1055</v>
      </c>
      <c r="F690" s="90" t="s">
        <v>1055</v>
      </c>
      <c r="G690" s="90" t="s">
        <v>1055</v>
      </c>
    </row>
    <row r="691" spans="2:7" ht="14.25" customHeight="1">
      <c r="B691" s="88" t="s">
        <v>61</v>
      </c>
      <c r="C691" s="89"/>
      <c r="D691" s="89"/>
      <c r="E691" s="89" t="s">
        <v>1657</v>
      </c>
      <c r="F691" s="89"/>
      <c r="G691" s="5"/>
    </row>
    <row r="692" spans="2:7" ht="14.25" customHeight="1">
      <c r="B692" s="88" t="s">
        <v>61</v>
      </c>
      <c r="C692" s="89"/>
      <c r="D692" s="89"/>
      <c r="E692" s="89" t="s">
        <v>1658</v>
      </c>
      <c r="F692" s="89"/>
      <c r="G692" s="5"/>
    </row>
    <row r="693" spans="2:7" ht="14.25" customHeight="1">
      <c r="B693" s="88" t="s">
        <v>61</v>
      </c>
      <c r="C693" s="89"/>
      <c r="D693" s="89"/>
      <c r="E693" s="89" t="s">
        <v>1659</v>
      </c>
      <c r="F693" s="89"/>
      <c r="G693" s="5"/>
    </row>
    <row r="694" spans="2:7" ht="14.25" customHeight="1">
      <c r="B694" s="88" t="s">
        <v>61</v>
      </c>
      <c r="C694" s="89"/>
      <c r="D694" s="89"/>
      <c r="E694" s="89" t="s">
        <v>1660</v>
      </c>
      <c r="F694" s="89"/>
      <c r="G694" s="5"/>
    </row>
    <row r="695" spans="2:7" ht="14.25" customHeight="1">
      <c r="B695" s="88" t="s">
        <v>61</v>
      </c>
      <c r="C695" s="89"/>
      <c r="D695" s="90" t="s">
        <v>1056</v>
      </c>
      <c r="E695" s="90" t="s">
        <v>1056</v>
      </c>
      <c r="F695" s="90" t="s">
        <v>1056</v>
      </c>
      <c r="G695" s="90" t="s">
        <v>1056</v>
      </c>
    </row>
    <row r="696" spans="2:7" ht="14.25" customHeight="1">
      <c r="B696" s="88" t="s">
        <v>61</v>
      </c>
      <c r="C696" s="89"/>
      <c r="D696" s="89"/>
      <c r="E696" s="89" t="s">
        <v>1661</v>
      </c>
      <c r="F696" s="89"/>
      <c r="G696" s="5"/>
    </row>
    <row r="697" spans="2:7" ht="14.25" customHeight="1">
      <c r="B697" s="88" t="s">
        <v>61</v>
      </c>
      <c r="C697" s="89"/>
      <c r="D697" s="89"/>
      <c r="E697" s="89" t="s">
        <v>1662</v>
      </c>
      <c r="F697" s="89"/>
      <c r="G697" s="5"/>
    </row>
    <row r="698" spans="2:7" ht="14.25" customHeight="1">
      <c r="B698" s="88" t="s">
        <v>61</v>
      </c>
      <c r="C698" s="89"/>
      <c r="D698" s="89"/>
      <c r="E698" s="89" t="s">
        <v>1663</v>
      </c>
      <c r="F698" s="89"/>
      <c r="G698" s="5"/>
    </row>
    <row r="699" spans="2:7" ht="14.25" customHeight="1">
      <c r="B699" s="88" t="s">
        <v>61</v>
      </c>
      <c r="C699" s="89"/>
      <c r="D699" s="89"/>
      <c r="E699" s="89" t="s">
        <v>1664</v>
      </c>
      <c r="F699" s="89"/>
      <c r="G699" s="5"/>
    </row>
    <row r="700" spans="2:7" ht="14.25" customHeight="1">
      <c r="B700" s="88" t="s">
        <v>61</v>
      </c>
      <c r="C700" s="89"/>
      <c r="D700" s="90" t="s">
        <v>1057</v>
      </c>
      <c r="E700" s="90" t="s">
        <v>1057</v>
      </c>
      <c r="F700" s="90" t="s">
        <v>1057</v>
      </c>
      <c r="G700" s="90" t="s">
        <v>1057</v>
      </c>
    </row>
    <row r="701" spans="2:7" ht="14.25" customHeight="1">
      <c r="B701" s="88" t="s">
        <v>61</v>
      </c>
      <c r="C701" s="89"/>
      <c r="D701" s="89"/>
      <c r="E701" s="89" t="s">
        <v>1665</v>
      </c>
      <c r="F701" s="89"/>
      <c r="G701" s="5"/>
    </row>
    <row r="702" spans="2:7" ht="14.25" customHeight="1">
      <c r="B702" s="88" t="s">
        <v>61</v>
      </c>
      <c r="C702" s="89"/>
      <c r="D702" s="89"/>
      <c r="E702" s="89" t="s">
        <v>1666</v>
      </c>
      <c r="F702" s="89"/>
      <c r="G702" s="5"/>
    </row>
    <row r="703" spans="2:7" ht="14.25" customHeight="1">
      <c r="B703" s="88" t="s">
        <v>61</v>
      </c>
      <c r="C703" s="89"/>
      <c r="D703" s="89"/>
      <c r="E703" s="89" t="s">
        <v>1667</v>
      </c>
      <c r="F703" s="89"/>
      <c r="G703" s="5"/>
    </row>
    <row r="704" spans="2:7" ht="14.25" customHeight="1">
      <c r="B704" s="88" t="s">
        <v>61</v>
      </c>
      <c r="C704" s="89"/>
      <c r="D704" s="89"/>
      <c r="E704" s="89" t="s">
        <v>1668</v>
      </c>
      <c r="F704" s="89"/>
      <c r="G704" s="5"/>
    </row>
    <row r="705" spans="2:7" ht="14.25" customHeight="1">
      <c r="B705" s="88" t="s">
        <v>61</v>
      </c>
      <c r="C705" s="89"/>
      <c r="D705" s="90" t="s">
        <v>1058</v>
      </c>
      <c r="E705" s="90" t="s">
        <v>1058</v>
      </c>
      <c r="F705" s="90" t="s">
        <v>1058</v>
      </c>
      <c r="G705" s="90" t="s">
        <v>1058</v>
      </c>
    </row>
    <row r="706" spans="2:7" ht="14.25" customHeight="1">
      <c r="B706" s="88" t="s">
        <v>61</v>
      </c>
      <c r="C706" s="89"/>
      <c r="D706" s="89"/>
      <c r="E706" s="89" t="s">
        <v>1669</v>
      </c>
      <c r="F706" s="89"/>
      <c r="G706" s="5"/>
    </row>
    <row r="707" spans="2:7" ht="14.25" customHeight="1">
      <c r="B707" s="88" t="s">
        <v>61</v>
      </c>
      <c r="C707" s="89"/>
      <c r="D707" s="89"/>
      <c r="E707" s="89" t="s">
        <v>1670</v>
      </c>
      <c r="F707" s="89"/>
      <c r="G707" s="5"/>
    </row>
    <row r="708" spans="2:7" ht="14.25" customHeight="1">
      <c r="B708" s="88" t="s">
        <v>61</v>
      </c>
      <c r="C708" s="89"/>
      <c r="D708" s="89"/>
      <c r="E708" s="89" t="s">
        <v>1671</v>
      </c>
      <c r="F708" s="89"/>
      <c r="G708" s="5"/>
    </row>
    <row r="709" spans="2:7" ht="14.25" customHeight="1">
      <c r="B709" s="88" t="s">
        <v>61</v>
      </c>
      <c r="C709" s="89"/>
      <c r="D709" s="89"/>
      <c r="E709" s="89" t="s">
        <v>1672</v>
      </c>
      <c r="F709" s="89"/>
      <c r="G709" s="5"/>
    </row>
    <row r="710" spans="2:7" ht="14.25" customHeight="1">
      <c r="B710" s="88" t="s">
        <v>61</v>
      </c>
      <c r="C710" s="89"/>
      <c r="D710" s="90" t="s">
        <v>1059</v>
      </c>
      <c r="E710" s="90" t="s">
        <v>1059</v>
      </c>
      <c r="F710" s="90" t="s">
        <v>1059</v>
      </c>
      <c r="G710" s="90" t="s">
        <v>1059</v>
      </c>
    </row>
    <row r="711" spans="2:7" ht="14.25" customHeight="1">
      <c r="B711" s="88" t="s">
        <v>61</v>
      </c>
      <c r="C711" s="89"/>
      <c r="D711" s="89"/>
      <c r="E711" s="89" t="s">
        <v>1673</v>
      </c>
      <c r="F711" s="89"/>
      <c r="G711" s="5"/>
    </row>
    <row r="712" spans="2:7" ht="14.25" customHeight="1">
      <c r="B712" s="88" t="s">
        <v>61</v>
      </c>
      <c r="C712" s="89"/>
      <c r="D712" s="89"/>
      <c r="E712" s="89" t="s">
        <v>1674</v>
      </c>
      <c r="F712" s="89"/>
      <c r="G712" s="5"/>
    </row>
    <row r="713" spans="2:7" ht="14.25" customHeight="1">
      <c r="B713" s="88" t="s">
        <v>61</v>
      </c>
      <c r="C713" s="89"/>
      <c r="D713" s="89"/>
      <c r="E713" s="89" t="s">
        <v>1675</v>
      </c>
      <c r="F713" s="89"/>
      <c r="G713" s="5"/>
    </row>
    <row r="714" spans="2:7" ht="14.25" customHeight="1">
      <c r="B714" s="88" t="s">
        <v>61</v>
      </c>
      <c r="C714" s="89"/>
      <c r="D714" s="89"/>
      <c r="E714" s="89" t="s">
        <v>1676</v>
      </c>
      <c r="F714" s="89"/>
      <c r="G714" s="5"/>
    </row>
    <row r="715" spans="2:7" ht="14.25" customHeight="1">
      <c r="B715" s="88" t="s">
        <v>61</v>
      </c>
      <c r="C715" s="89"/>
      <c r="D715" s="89"/>
      <c r="E715" s="89" t="s">
        <v>1677</v>
      </c>
      <c r="F715" s="89"/>
      <c r="G715" s="5"/>
    </row>
    <row r="716" spans="2:7" ht="14.25" customHeight="1">
      <c r="B716" s="88" t="s">
        <v>61</v>
      </c>
      <c r="C716" s="89"/>
      <c r="D716" s="89"/>
      <c r="E716" s="89" t="s">
        <v>1678</v>
      </c>
      <c r="F716" s="89"/>
      <c r="G716" s="5"/>
    </row>
    <row r="717" spans="2:7" ht="14.25" customHeight="1">
      <c r="B717" s="88" t="s">
        <v>61</v>
      </c>
      <c r="C717" s="89"/>
      <c r="D717" s="90" t="s">
        <v>1060</v>
      </c>
      <c r="E717" s="90" t="s">
        <v>1060</v>
      </c>
      <c r="F717" s="90" t="s">
        <v>1060</v>
      </c>
      <c r="G717" s="90" t="s">
        <v>1060</v>
      </c>
    </row>
    <row r="718" spans="2:7" ht="14.25" customHeight="1">
      <c r="B718" s="88" t="s">
        <v>61</v>
      </c>
      <c r="C718" s="89"/>
      <c r="D718" s="89"/>
      <c r="E718" s="89" t="s">
        <v>1679</v>
      </c>
      <c r="F718" s="89"/>
      <c r="G718" s="5"/>
    </row>
    <row r="719" spans="2:7" ht="14.25" customHeight="1">
      <c r="B719" s="88" t="s">
        <v>61</v>
      </c>
      <c r="C719" s="89"/>
      <c r="D719" s="89"/>
      <c r="E719" s="89" t="s">
        <v>1680</v>
      </c>
      <c r="F719" s="89"/>
      <c r="G719" s="5"/>
    </row>
    <row r="720" spans="2:7" ht="14.25" customHeight="1">
      <c r="B720" s="88" t="s">
        <v>61</v>
      </c>
      <c r="C720" s="89"/>
      <c r="D720" s="89"/>
      <c r="E720" s="89" t="s">
        <v>1681</v>
      </c>
      <c r="F720" s="89"/>
      <c r="G720" s="5"/>
    </row>
    <row r="721" spans="2:7" ht="14.25" customHeight="1">
      <c r="B721" s="88" t="s">
        <v>61</v>
      </c>
      <c r="C721" s="89"/>
      <c r="D721" s="90" t="s">
        <v>1061</v>
      </c>
      <c r="E721" s="90" t="s">
        <v>1061</v>
      </c>
      <c r="F721" s="90" t="s">
        <v>1061</v>
      </c>
      <c r="G721" s="90" t="s">
        <v>1061</v>
      </c>
    </row>
    <row r="722" spans="2:7" ht="14.25" customHeight="1">
      <c r="B722" s="88" t="s">
        <v>61</v>
      </c>
      <c r="C722" s="89"/>
      <c r="D722" s="89"/>
      <c r="E722" s="89" t="s">
        <v>1682</v>
      </c>
      <c r="F722" s="89"/>
      <c r="G722" s="5"/>
    </row>
    <row r="723" spans="2:7" ht="14.25" customHeight="1">
      <c r="B723" s="88" t="s">
        <v>61</v>
      </c>
      <c r="C723" s="89"/>
      <c r="D723" s="89"/>
      <c r="E723" s="89" t="s">
        <v>1683</v>
      </c>
      <c r="F723" s="89"/>
      <c r="G723" s="5"/>
    </row>
    <row r="724" spans="2:7" ht="14.25" customHeight="1">
      <c r="B724" s="88" t="s">
        <v>61</v>
      </c>
      <c r="C724" s="89"/>
      <c r="D724" s="89"/>
      <c r="E724" s="89" t="s">
        <v>1684</v>
      </c>
      <c r="F724" s="89"/>
      <c r="G724" s="5"/>
    </row>
    <row r="725" spans="2:7" ht="14.25" customHeight="1">
      <c r="B725" s="88" t="s">
        <v>61</v>
      </c>
      <c r="C725" s="89"/>
      <c r="D725" s="90" t="s">
        <v>1062</v>
      </c>
      <c r="E725" s="90" t="s">
        <v>1062</v>
      </c>
      <c r="F725" s="90" t="s">
        <v>1062</v>
      </c>
      <c r="G725" s="90" t="s">
        <v>1062</v>
      </c>
    </row>
    <row r="726" spans="2:7" ht="14.25" customHeight="1">
      <c r="B726" s="88" t="s">
        <v>61</v>
      </c>
      <c r="C726" s="89"/>
      <c r="D726" s="89"/>
      <c r="E726" s="89" t="s">
        <v>1685</v>
      </c>
      <c r="F726" s="89"/>
      <c r="G726" s="5"/>
    </row>
    <row r="727" spans="2:7" ht="14.25" customHeight="1">
      <c r="B727" s="88" t="s">
        <v>61</v>
      </c>
      <c r="C727" s="89"/>
      <c r="D727" s="89"/>
      <c r="E727" s="89" t="s">
        <v>1686</v>
      </c>
      <c r="F727" s="89"/>
      <c r="G727" s="5"/>
    </row>
    <row r="728" spans="2:7" ht="14.25" customHeight="1">
      <c r="B728" s="88" t="s">
        <v>61</v>
      </c>
      <c r="C728" s="89"/>
      <c r="D728" s="89"/>
      <c r="E728" s="89" t="s">
        <v>1687</v>
      </c>
      <c r="F728" s="89"/>
      <c r="G728" s="5"/>
    </row>
    <row r="729" spans="2:7" ht="14.25" customHeight="1">
      <c r="B729" s="88" t="s">
        <v>61</v>
      </c>
      <c r="C729" s="89"/>
      <c r="D729" s="89"/>
      <c r="E729" s="89" t="s">
        <v>1688</v>
      </c>
      <c r="F729" s="89"/>
      <c r="G729" s="5"/>
    </row>
    <row r="730" spans="2:7" ht="14.25" customHeight="1">
      <c r="B730" s="88" t="s">
        <v>61</v>
      </c>
      <c r="C730" s="89"/>
      <c r="D730" s="90" t="s">
        <v>1063</v>
      </c>
      <c r="E730" s="90" t="s">
        <v>1063</v>
      </c>
      <c r="F730" s="90" t="s">
        <v>1063</v>
      </c>
      <c r="G730" s="90" t="s">
        <v>1063</v>
      </c>
    </row>
    <row r="731" spans="2:7" ht="14.25" customHeight="1">
      <c r="B731" s="88" t="s">
        <v>61</v>
      </c>
      <c r="C731" s="89"/>
      <c r="D731" s="89"/>
      <c r="E731" s="89" t="s">
        <v>1689</v>
      </c>
      <c r="F731" s="89"/>
      <c r="G731" s="5"/>
    </row>
    <row r="732" spans="2:7" ht="14.25" customHeight="1">
      <c r="B732" s="88" t="s">
        <v>61</v>
      </c>
      <c r="C732" s="89"/>
      <c r="D732" s="89"/>
      <c r="E732" s="89" t="s">
        <v>1690</v>
      </c>
      <c r="F732" s="89"/>
      <c r="G732" s="5"/>
    </row>
    <row r="733" spans="2:7" ht="14.25" customHeight="1">
      <c r="B733" s="88" t="s">
        <v>61</v>
      </c>
      <c r="C733" s="89"/>
      <c r="D733" s="89"/>
      <c r="E733" s="89" t="s">
        <v>1691</v>
      </c>
      <c r="F733" s="89"/>
      <c r="G733" s="5"/>
    </row>
    <row r="734" spans="2:7" ht="14.25" customHeight="1">
      <c r="B734" s="88" t="s">
        <v>61</v>
      </c>
      <c r="C734" s="89"/>
      <c r="D734" s="89"/>
      <c r="E734" s="89" t="s">
        <v>1692</v>
      </c>
      <c r="F734" s="89"/>
      <c r="G734" s="5"/>
    </row>
    <row r="735" spans="2:7" ht="14.25" customHeight="1">
      <c r="B735" s="88" t="s">
        <v>61</v>
      </c>
      <c r="C735" s="89"/>
      <c r="D735" s="90" t="s">
        <v>1064</v>
      </c>
      <c r="E735" s="90" t="s">
        <v>1064</v>
      </c>
      <c r="F735" s="90" t="s">
        <v>1064</v>
      </c>
      <c r="G735" s="90" t="s">
        <v>1064</v>
      </c>
    </row>
    <row r="736" spans="2:7" ht="14.25" customHeight="1">
      <c r="B736" s="88" t="s">
        <v>61</v>
      </c>
      <c r="C736" s="89"/>
      <c r="D736" s="89"/>
      <c r="E736" s="89" t="s">
        <v>1693</v>
      </c>
      <c r="F736" s="89"/>
      <c r="G736" s="5"/>
    </row>
    <row r="737" spans="2:7" ht="14.25" customHeight="1">
      <c r="B737" s="88" t="s">
        <v>61</v>
      </c>
      <c r="C737" s="89"/>
      <c r="D737" s="89"/>
      <c r="E737" s="89" t="s">
        <v>1694</v>
      </c>
      <c r="F737" s="89"/>
      <c r="G737" s="5"/>
    </row>
    <row r="738" spans="2:7" ht="14.25" customHeight="1">
      <c r="B738" s="88" t="s">
        <v>61</v>
      </c>
      <c r="C738" s="89"/>
      <c r="D738" s="89"/>
      <c r="E738" s="89" t="s">
        <v>1695</v>
      </c>
      <c r="F738" s="89"/>
      <c r="G738" s="5"/>
    </row>
    <row r="739" spans="2:7" ht="14.25" customHeight="1">
      <c r="B739" s="88" t="s">
        <v>61</v>
      </c>
      <c r="C739" s="89"/>
      <c r="D739" s="89"/>
      <c r="E739" s="89" t="s">
        <v>1696</v>
      </c>
      <c r="F739" s="89"/>
      <c r="G739" s="5"/>
    </row>
    <row r="740" spans="2:7" ht="14.25" customHeight="1">
      <c r="B740" s="88" t="s">
        <v>61</v>
      </c>
      <c r="C740" s="89"/>
      <c r="D740" s="90" t="s">
        <v>1082</v>
      </c>
      <c r="E740" s="90" t="s">
        <v>1082</v>
      </c>
      <c r="F740" s="90" t="s">
        <v>1082</v>
      </c>
      <c r="G740" s="90" t="s">
        <v>1082</v>
      </c>
    </row>
    <row r="741" spans="2:7" ht="14.25" customHeight="1">
      <c r="B741" s="88" t="s">
        <v>61</v>
      </c>
      <c r="C741" s="89"/>
      <c r="D741" s="89"/>
      <c r="E741" s="89" t="s">
        <v>1697</v>
      </c>
      <c r="F741" s="89"/>
      <c r="G741" s="5"/>
    </row>
    <row r="742" spans="2:7" ht="14.25" customHeight="1">
      <c r="B742" s="88" t="s">
        <v>61</v>
      </c>
      <c r="C742" s="89"/>
      <c r="D742" s="89"/>
      <c r="E742" s="89" t="s">
        <v>1698</v>
      </c>
      <c r="F742" s="89"/>
      <c r="G742" s="5"/>
    </row>
    <row r="743" spans="2:7" ht="14.25" customHeight="1">
      <c r="B743" s="88" t="s">
        <v>61</v>
      </c>
      <c r="C743" s="89"/>
      <c r="D743" s="89"/>
      <c r="E743" s="89" t="s">
        <v>1699</v>
      </c>
      <c r="F743" s="89"/>
      <c r="G743" s="5"/>
    </row>
    <row r="744" spans="2:7" ht="14.25" customHeight="1">
      <c r="B744" s="88" t="s">
        <v>61</v>
      </c>
      <c r="C744" s="89"/>
      <c r="D744" s="89"/>
      <c r="E744" s="89" t="s">
        <v>1700</v>
      </c>
      <c r="F744" s="89"/>
      <c r="G744" s="5"/>
    </row>
    <row r="745" spans="2:7" ht="14.25" customHeight="1">
      <c r="B745" s="88" t="s">
        <v>61</v>
      </c>
      <c r="C745" s="89"/>
      <c r="D745" s="90" t="s">
        <v>1083</v>
      </c>
      <c r="E745" s="90" t="s">
        <v>1083</v>
      </c>
      <c r="F745" s="90" t="s">
        <v>1083</v>
      </c>
      <c r="G745" s="90" t="s">
        <v>1083</v>
      </c>
    </row>
    <row r="746" spans="2:7" ht="14.25" customHeight="1">
      <c r="B746" s="88" t="s">
        <v>61</v>
      </c>
      <c r="C746" s="89"/>
      <c r="D746" s="89"/>
      <c r="E746" s="89" t="s">
        <v>1701</v>
      </c>
      <c r="F746" s="89"/>
      <c r="G746" s="5"/>
    </row>
    <row r="747" spans="2:7" ht="14.25" customHeight="1">
      <c r="B747" s="88" t="s">
        <v>61</v>
      </c>
      <c r="C747" s="89"/>
      <c r="D747" s="89"/>
      <c r="E747" s="89" t="s">
        <v>1702</v>
      </c>
      <c r="F747" s="89"/>
      <c r="G747" s="5"/>
    </row>
    <row r="748" spans="2:7" ht="14.25" customHeight="1">
      <c r="B748" s="88" t="s">
        <v>61</v>
      </c>
      <c r="C748" s="89"/>
      <c r="D748" s="89"/>
      <c r="E748" s="89" t="s">
        <v>1703</v>
      </c>
      <c r="F748" s="89"/>
      <c r="G748" s="5"/>
    </row>
    <row r="749" spans="2:7" ht="14.25" customHeight="1">
      <c r="B749" s="88" t="s">
        <v>61</v>
      </c>
      <c r="C749" s="89"/>
      <c r="D749" s="89"/>
      <c r="E749" s="89" t="s">
        <v>1704</v>
      </c>
      <c r="F749" s="89"/>
      <c r="G749" s="5"/>
    </row>
    <row r="750" spans="2:7" ht="14.25" customHeight="1">
      <c r="B750" s="88" t="s">
        <v>61</v>
      </c>
      <c r="C750" s="89"/>
      <c r="D750" s="90" t="s">
        <v>1084</v>
      </c>
      <c r="E750" s="90" t="s">
        <v>1084</v>
      </c>
      <c r="F750" s="90" t="s">
        <v>1084</v>
      </c>
      <c r="G750" s="90" t="s">
        <v>1084</v>
      </c>
    </row>
    <row r="751" spans="2:7" ht="14.25" customHeight="1">
      <c r="B751" s="88" t="s">
        <v>61</v>
      </c>
      <c r="C751" s="89"/>
      <c r="D751" s="89"/>
      <c r="E751" s="89" t="s">
        <v>1705</v>
      </c>
      <c r="F751" s="89"/>
      <c r="G751" s="5"/>
    </row>
    <row r="752" spans="2:7" ht="14.25" customHeight="1">
      <c r="B752" s="88" t="s">
        <v>61</v>
      </c>
      <c r="C752" s="89"/>
      <c r="D752" s="89"/>
      <c r="E752" s="89" t="s">
        <v>1706</v>
      </c>
      <c r="F752" s="89"/>
      <c r="G752" s="5"/>
    </row>
    <row r="753" spans="2:7" ht="14.25" customHeight="1">
      <c r="B753" s="88" t="s">
        <v>61</v>
      </c>
      <c r="C753" s="89"/>
      <c r="D753" s="89"/>
      <c r="E753" s="89" t="s">
        <v>1707</v>
      </c>
      <c r="F753" s="89"/>
      <c r="G753" s="5"/>
    </row>
    <row r="754" spans="2:7" ht="14.25" customHeight="1">
      <c r="B754" s="88" t="s">
        <v>61</v>
      </c>
      <c r="C754" s="89"/>
      <c r="D754" s="89"/>
      <c r="E754" s="89" t="s">
        <v>1708</v>
      </c>
      <c r="F754" s="89"/>
      <c r="G754" s="5"/>
    </row>
    <row r="755" spans="2:7" ht="14.25" customHeight="1">
      <c r="B755" s="88" t="s">
        <v>61</v>
      </c>
      <c r="C755" s="89"/>
      <c r="D755" s="90" t="s">
        <v>1085</v>
      </c>
      <c r="E755" s="90" t="s">
        <v>1085</v>
      </c>
      <c r="F755" s="90" t="s">
        <v>1085</v>
      </c>
      <c r="G755" s="90" t="s">
        <v>1085</v>
      </c>
    </row>
    <row r="756" spans="2:7" ht="14.25" customHeight="1">
      <c r="B756" s="88" t="s">
        <v>61</v>
      </c>
      <c r="C756" s="89"/>
      <c r="D756" s="89"/>
      <c r="E756" s="89" t="s">
        <v>1709</v>
      </c>
      <c r="F756" s="89"/>
      <c r="G756" s="5"/>
    </row>
    <row r="757" spans="2:7" ht="14.25" customHeight="1">
      <c r="B757" s="88" t="s">
        <v>61</v>
      </c>
      <c r="C757" s="89"/>
      <c r="D757" s="89"/>
      <c r="E757" s="89" t="s">
        <v>1710</v>
      </c>
      <c r="F757" s="89"/>
      <c r="G757" s="5"/>
    </row>
    <row r="758" spans="2:7" ht="14.25" customHeight="1">
      <c r="B758" s="88" t="s">
        <v>61</v>
      </c>
      <c r="C758" s="89"/>
      <c r="D758" s="89"/>
      <c r="E758" s="89" t="s">
        <v>1711</v>
      </c>
      <c r="F758" s="89"/>
      <c r="G758" s="5"/>
    </row>
    <row r="759" spans="2:7" ht="14.25" customHeight="1">
      <c r="B759" s="88" t="s">
        <v>61</v>
      </c>
      <c r="C759" s="89"/>
      <c r="D759" s="89"/>
      <c r="E759" s="89" t="s">
        <v>1712</v>
      </c>
      <c r="F759" s="89"/>
      <c r="G759" s="5"/>
    </row>
    <row r="760" spans="2:7" ht="14.25" customHeight="1">
      <c r="B760" s="88" t="s">
        <v>61</v>
      </c>
      <c r="C760" s="89"/>
      <c r="D760" s="90" t="s">
        <v>1086</v>
      </c>
      <c r="E760" s="90" t="s">
        <v>1086</v>
      </c>
      <c r="F760" s="90" t="s">
        <v>1086</v>
      </c>
      <c r="G760" s="90" t="s">
        <v>1086</v>
      </c>
    </row>
    <row r="761" spans="2:7" ht="14.25" customHeight="1">
      <c r="B761" s="88" t="s">
        <v>61</v>
      </c>
      <c r="C761" s="89"/>
      <c r="D761" s="89"/>
      <c r="E761" s="89" t="s">
        <v>1713</v>
      </c>
      <c r="F761" s="89"/>
      <c r="G761" s="5"/>
    </row>
    <row r="762" spans="2:7" ht="14.25" customHeight="1">
      <c r="B762" s="88" t="s">
        <v>61</v>
      </c>
      <c r="C762" s="89"/>
      <c r="D762" s="89"/>
      <c r="E762" s="89" t="s">
        <v>1714</v>
      </c>
      <c r="F762" s="89"/>
      <c r="G762" s="5"/>
    </row>
    <row r="763" spans="2:7" ht="14.25" customHeight="1">
      <c r="B763" s="88" t="s">
        <v>61</v>
      </c>
      <c r="C763" s="89"/>
      <c r="D763" s="89"/>
      <c r="E763" s="89" t="s">
        <v>1715</v>
      </c>
      <c r="F763" s="89"/>
      <c r="G763" s="5"/>
    </row>
    <row r="764" spans="2:7" ht="14.25" customHeight="1">
      <c r="B764" s="88" t="s">
        <v>61</v>
      </c>
      <c r="C764" s="89"/>
      <c r="D764" s="89"/>
      <c r="E764" s="89" t="s">
        <v>1716</v>
      </c>
      <c r="F764" s="89"/>
      <c r="G764" s="5"/>
    </row>
    <row r="765" spans="2:7" ht="14.25" customHeight="1">
      <c r="B765" s="88" t="s">
        <v>61</v>
      </c>
      <c r="C765" s="89"/>
      <c r="D765" s="90" t="s">
        <v>1087</v>
      </c>
      <c r="E765" s="90" t="s">
        <v>1087</v>
      </c>
      <c r="F765" s="90" t="s">
        <v>1087</v>
      </c>
      <c r="G765" s="90" t="s">
        <v>1087</v>
      </c>
    </row>
    <row r="766" spans="2:7" ht="14.25" customHeight="1">
      <c r="B766" s="88" t="s">
        <v>61</v>
      </c>
      <c r="C766" s="89"/>
      <c r="D766" s="89"/>
      <c r="E766" s="89" t="s">
        <v>1717</v>
      </c>
      <c r="F766" s="89"/>
      <c r="G766" s="5"/>
    </row>
    <row r="767" spans="2:7" ht="14.25" customHeight="1">
      <c r="B767" s="88" t="s">
        <v>61</v>
      </c>
      <c r="C767" s="89"/>
      <c r="D767" s="89"/>
      <c r="E767" s="89" t="s">
        <v>1718</v>
      </c>
      <c r="F767" s="89"/>
      <c r="G767" s="5"/>
    </row>
    <row r="768" spans="2:7" ht="14.25" customHeight="1">
      <c r="B768" s="88" t="s">
        <v>61</v>
      </c>
      <c r="C768" s="89"/>
      <c r="D768" s="89"/>
      <c r="E768" s="89" t="s">
        <v>1719</v>
      </c>
      <c r="F768" s="89"/>
      <c r="G768" s="5"/>
    </row>
    <row r="769" spans="2:7" ht="14.25" customHeight="1">
      <c r="B769" s="88" t="s">
        <v>61</v>
      </c>
      <c r="C769" s="89"/>
      <c r="D769" s="89"/>
      <c r="E769" s="89" t="s">
        <v>1720</v>
      </c>
      <c r="F769" s="89"/>
      <c r="G769" s="5"/>
    </row>
    <row r="770" spans="2:7" ht="14.25" customHeight="1">
      <c r="B770" s="88" t="s">
        <v>61</v>
      </c>
      <c r="C770" s="89"/>
      <c r="D770" s="90" t="s">
        <v>1100</v>
      </c>
      <c r="E770" s="90" t="s">
        <v>1100</v>
      </c>
      <c r="F770" s="90" t="s">
        <v>1100</v>
      </c>
      <c r="G770" s="90" t="s">
        <v>1100</v>
      </c>
    </row>
    <row r="771" spans="2:7" ht="14.25" customHeight="1">
      <c r="B771" s="88" t="s">
        <v>61</v>
      </c>
      <c r="C771" s="89"/>
      <c r="D771" s="89"/>
      <c r="E771" s="89" t="s">
        <v>1721</v>
      </c>
      <c r="F771" s="89"/>
      <c r="G771" s="5"/>
    </row>
    <row r="772" spans="2:7" ht="14.25" customHeight="1">
      <c r="B772" s="88" t="s">
        <v>61</v>
      </c>
      <c r="C772" s="89"/>
      <c r="D772" s="89"/>
      <c r="E772" s="89" t="s">
        <v>1722</v>
      </c>
      <c r="F772" s="89"/>
      <c r="G772" s="5"/>
    </row>
    <row r="773" spans="2:7" ht="14.25" customHeight="1">
      <c r="B773" s="88" t="s">
        <v>61</v>
      </c>
      <c r="C773" s="89"/>
      <c r="D773" s="89"/>
      <c r="E773" s="89" t="s">
        <v>1723</v>
      </c>
      <c r="F773" s="89"/>
      <c r="G773" s="5"/>
    </row>
    <row r="774" spans="2:7" ht="14.25" customHeight="1">
      <c r="B774" s="88" t="s">
        <v>61</v>
      </c>
      <c r="C774" s="89"/>
      <c r="D774" s="89"/>
      <c r="E774" s="89" t="s">
        <v>1724</v>
      </c>
      <c r="F774" s="89"/>
      <c r="G774" s="5"/>
    </row>
    <row r="775" spans="2:7" ht="14.25" customHeight="1">
      <c r="B775" s="88" t="s">
        <v>61</v>
      </c>
      <c r="C775" s="89"/>
      <c r="D775" s="90" t="s">
        <v>1101</v>
      </c>
      <c r="E775" s="90" t="s">
        <v>1101</v>
      </c>
      <c r="F775" s="90" t="s">
        <v>1101</v>
      </c>
      <c r="G775" s="90" t="s">
        <v>1101</v>
      </c>
    </row>
    <row r="776" spans="2:7" ht="14.25" customHeight="1">
      <c r="B776" s="88" t="s">
        <v>61</v>
      </c>
      <c r="C776" s="89"/>
      <c r="D776" s="89"/>
      <c r="E776" s="89" t="s">
        <v>1725</v>
      </c>
      <c r="F776" s="89"/>
      <c r="G776" s="5"/>
    </row>
    <row r="777" spans="2:7" ht="14.25" customHeight="1">
      <c r="B777" s="88" t="s">
        <v>61</v>
      </c>
      <c r="C777" s="89"/>
      <c r="D777" s="89"/>
      <c r="E777" s="89" t="s">
        <v>1726</v>
      </c>
      <c r="F777" s="89"/>
      <c r="G777" s="5"/>
    </row>
    <row r="778" spans="2:7" ht="14.25" customHeight="1">
      <c r="B778" s="88" t="s">
        <v>61</v>
      </c>
      <c r="C778" s="89"/>
      <c r="D778" s="89"/>
      <c r="E778" s="89" t="s">
        <v>1727</v>
      </c>
      <c r="F778" s="89"/>
      <c r="G778" s="5"/>
    </row>
    <row r="779" spans="2:7" ht="14.25" customHeight="1">
      <c r="B779" s="88" t="s">
        <v>61</v>
      </c>
      <c r="C779" s="89"/>
      <c r="D779" s="89"/>
      <c r="E779" s="89" t="s">
        <v>1728</v>
      </c>
      <c r="F779" s="89"/>
      <c r="G779" s="5"/>
    </row>
    <row r="780" spans="2:7" ht="14.25" customHeight="1">
      <c r="B780" s="88" t="s">
        <v>61</v>
      </c>
      <c r="C780" s="89"/>
      <c r="D780" s="90" t="s">
        <v>1102</v>
      </c>
      <c r="E780" s="90" t="s">
        <v>1102</v>
      </c>
      <c r="F780" s="90" t="s">
        <v>1102</v>
      </c>
      <c r="G780" s="90" t="s">
        <v>1102</v>
      </c>
    </row>
    <row r="781" spans="2:7" ht="14.25" customHeight="1">
      <c r="B781" s="88" t="s">
        <v>61</v>
      </c>
      <c r="C781" s="89"/>
      <c r="D781" s="89"/>
      <c r="E781" s="89" t="s">
        <v>1729</v>
      </c>
      <c r="F781" s="89"/>
      <c r="G781" s="5"/>
    </row>
    <row r="782" spans="2:7" ht="14.25" customHeight="1">
      <c r="B782" s="88" t="s">
        <v>61</v>
      </c>
      <c r="C782" s="89"/>
      <c r="D782" s="89"/>
      <c r="E782" s="89" t="s">
        <v>1730</v>
      </c>
      <c r="F782" s="89"/>
      <c r="G782" s="5"/>
    </row>
    <row r="783" spans="2:7" ht="14.25" customHeight="1">
      <c r="B783" s="88" t="s">
        <v>61</v>
      </c>
      <c r="C783" s="89"/>
      <c r="D783" s="89"/>
      <c r="E783" s="89" t="s">
        <v>1731</v>
      </c>
      <c r="F783" s="89"/>
      <c r="G783" s="5"/>
    </row>
    <row r="784" spans="2:7" ht="14.25" customHeight="1">
      <c r="B784" s="88" t="s">
        <v>61</v>
      </c>
      <c r="C784" s="89"/>
      <c r="D784" s="89"/>
      <c r="E784" s="89" t="s">
        <v>1732</v>
      </c>
      <c r="F784" s="89"/>
      <c r="G784" s="5"/>
    </row>
    <row r="785" spans="2:7" ht="14.25" customHeight="1">
      <c r="B785" s="88" t="s">
        <v>61</v>
      </c>
      <c r="C785" s="89"/>
      <c r="D785" s="90" t="s">
        <v>1103</v>
      </c>
      <c r="E785" s="90" t="s">
        <v>1103</v>
      </c>
      <c r="F785" s="90" t="s">
        <v>1103</v>
      </c>
      <c r="G785" s="90" t="s">
        <v>1103</v>
      </c>
    </row>
    <row r="786" spans="2:7" ht="14.25" customHeight="1">
      <c r="B786" s="88" t="s">
        <v>61</v>
      </c>
      <c r="C786" s="89"/>
      <c r="D786" s="89"/>
      <c r="E786" s="89" t="s">
        <v>1733</v>
      </c>
      <c r="F786" s="89"/>
      <c r="G786" s="5"/>
    </row>
    <row r="787" spans="2:7" ht="14.25" customHeight="1">
      <c r="B787" s="88" t="s">
        <v>61</v>
      </c>
      <c r="C787" s="89"/>
      <c r="D787" s="89"/>
      <c r="E787" s="89" t="s">
        <v>1734</v>
      </c>
      <c r="F787" s="89"/>
      <c r="G787" s="5"/>
    </row>
    <row r="788" spans="2:7" ht="14.25" customHeight="1">
      <c r="B788" s="88" t="s">
        <v>61</v>
      </c>
      <c r="C788" s="89"/>
      <c r="D788" s="89"/>
      <c r="E788" s="89" t="s">
        <v>1735</v>
      </c>
      <c r="F788" s="89"/>
      <c r="G788" s="5"/>
    </row>
    <row r="789" spans="2:7" ht="14.25" customHeight="1">
      <c r="B789" s="88" t="s">
        <v>61</v>
      </c>
      <c r="C789" s="89"/>
      <c r="D789" s="89"/>
      <c r="E789" s="89" t="s">
        <v>1736</v>
      </c>
      <c r="F789" s="89"/>
      <c r="G789" s="5"/>
    </row>
    <row r="790" spans="2:7" ht="14.25" customHeight="1">
      <c r="B790" s="88" t="s">
        <v>61</v>
      </c>
      <c r="C790" s="89"/>
      <c r="D790" s="90" t="s">
        <v>1104</v>
      </c>
      <c r="E790" s="90" t="s">
        <v>1104</v>
      </c>
      <c r="F790" s="90" t="s">
        <v>1104</v>
      </c>
      <c r="G790" s="90" t="s">
        <v>1104</v>
      </c>
    </row>
    <row r="791" spans="2:7" ht="14.25" customHeight="1">
      <c r="B791" s="88" t="s">
        <v>61</v>
      </c>
      <c r="C791" s="89"/>
      <c r="D791" s="89"/>
      <c r="E791" s="89" t="s">
        <v>1737</v>
      </c>
      <c r="F791" s="89"/>
      <c r="G791" s="5"/>
    </row>
    <row r="792" spans="2:7" ht="14.25" customHeight="1">
      <c r="B792" s="88" t="s">
        <v>61</v>
      </c>
      <c r="C792" s="89"/>
      <c r="D792" s="89"/>
      <c r="E792" s="89" t="s">
        <v>1738</v>
      </c>
      <c r="F792" s="89"/>
      <c r="G792" s="5"/>
    </row>
    <row r="793" spans="2:7" ht="14.25" customHeight="1">
      <c r="B793" s="88" t="s">
        <v>61</v>
      </c>
      <c r="C793" s="89"/>
      <c r="D793" s="89"/>
      <c r="E793" s="89" t="s">
        <v>1739</v>
      </c>
      <c r="F793" s="89"/>
      <c r="G793" s="5"/>
    </row>
    <row r="794" spans="2:7" ht="14.25" customHeight="1">
      <c r="B794" s="88" t="s">
        <v>61</v>
      </c>
      <c r="C794" s="89"/>
      <c r="D794" s="89"/>
      <c r="E794" s="89" t="s">
        <v>1740</v>
      </c>
      <c r="F794" s="89"/>
      <c r="G794" s="5"/>
    </row>
    <row r="795" spans="2:7" ht="14.25" customHeight="1">
      <c r="B795" s="88" t="s">
        <v>61</v>
      </c>
      <c r="C795" s="89"/>
      <c r="D795" s="90" t="s">
        <v>1105</v>
      </c>
      <c r="E795" s="90" t="s">
        <v>1105</v>
      </c>
      <c r="F795" s="90" t="s">
        <v>1105</v>
      </c>
      <c r="G795" s="90" t="s">
        <v>1105</v>
      </c>
    </row>
    <row r="796" spans="2:7" ht="14.25" customHeight="1">
      <c r="B796" s="88" t="s">
        <v>61</v>
      </c>
      <c r="C796" s="89"/>
      <c r="D796" s="89"/>
      <c r="E796" s="89" t="s">
        <v>1741</v>
      </c>
      <c r="F796" s="89"/>
      <c r="G796" s="5"/>
    </row>
    <row r="797" spans="2:7" ht="14.25" customHeight="1">
      <c r="B797" s="88" t="s">
        <v>61</v>
      </c>
      <c r="C797" s="89"/>
      <c r="D797" s="89"/>
      <c r="E797" s="89" t="s">
        <v>1742</v>
      </c>
      <c r="F797" s="89"/>
      <c r="G797" s="5"/>
    </row>
    <row r="798" spans="2:7" ht="14.25" customHeight="1">
      <c r="B798" s="88" t="s">
        <v>61</v>
      </c>
      <c r="C798" s="89"/>
      <c r="D798" s="89"/>
      <c r="E798" s="89" t="s">
        <v>1743</v>
      </c>
      <c r="F798" s="89"/>
      <c r="G798" s="5"/>
    </row>
    <row r="799" spans="2:7" ht="14.25" customHeight="1">
      <c r="B799" s="88" t="s">
        <v>61</v>
      </c>
      <c r="C799" s="89"/>
      <c r="D799" s="89"/>
      <c r="E799" s="89" t="s">
        <v>1744</v>
      </c>
      <c r="F799" s="89"/>
      <c r="G799" s="5"/>
    </row>
    <row r="800" spans="2:7" ht="14.25" customHeight="1">
      <c r="B800" s="88" t="s">
        <v>61</v>
      </c>
      <c r="C800" s="89"/>
      <c r="D800" s="90" t="s">
        <v>1106</v>
      </c>
      <c r="E800" s="90" t="s">
        <v>1106</v>
      </c>
      <c r="F800" s="90" t="s">
        <v>1106</v>
      </c>
      <c r="G800" s="90" t="s">
        <v>1106</v>
      </c>
    </row>
    <row r="801" spans="2:7" ht="14.25" customHeight="1">
      <c r="B801" s="88" t="s">
        <v>61</v>
      </c>
      <c r="C801" s="89"/>
      <c r="D801" s="89"/>
      <c r="E801" s="89" t="s">
        <v>1745</v>
      </c>
      <c r="F801" s="89"/>
      <c r="G801" s="5"/>
    </row>
    <row r="802" spans="2:7" ht="14.25" customHeight="1">
      <c r="B802" s="88" t="s">
        <v>61</v>
      </c>
      <c r="C802" s="89"/>
      <c r="D802" s="89"/>
      <c r="E802" s="89" t="s">
        <v>1746</v>
      </c>
      <c r="F802" s="89"/>
      <c r="G802" s="5"/>
    </row>
    <row r="803" spans="2:7" ht="14.25" customHeight="1">
      <c r="B803" s="88" t="s">
        <v>61</v>
      </c>
      <c r="C803" s="89"/>
      <c r="D803" s="89"/>
      <c r="E803" s="89" t="s">
        <v>1747</v>
      </c>
      <c r="F803" s="89"/>
      <c r="G803" s="5"/>
    </row>
    <row r="804" spans="2:7" ht="14.25" customHeight="1">
      <c r="B804" s="88" t="s">
        <v>61</v>
      </c>
      <c r="C804" s="89"/>
      <c r="D804" s="89"/>
      <c r="E804" s="89" t="s">
        <v>1748</v>
      </c>
      <c r="F804" s="89"/>
      <c r="G804" s="5"/>
    </row>
    <row r="805" spans="2:7" ht="14.25" customHeight="1">
      <c r="B805" s="88" t="s">
        <v>61</v>
      </c>
      <c r="C805" s="89"/>
      <c r="D805" s="90" t="s">
        <v>1107</v>
      </c>
      <c r="E805" s="90" t="s">
        <v>1107</v>
      </c>
      <c r="F805" s="90" t="s">
        <v>1107</v>
      </c>
      <c r="G805" s="90" t="s">
        <v>1107</v>
      </c>
    </row>
    <row r="806" spans="2:7" ht="14.25" customHeight="1">
      <c r="B806" s="88" t="s">
        <v>61</v>
      </c>
      <c r="C806" s="89"/>
      <c r="D806" s="89"/>
      <c r="E806" s="89" t="s">
        <v>1749</v>
      </c>
      <c r="F806" s="89"/>
      <c r="G806" s="5"/>
    </row>
    <row r="807" spans="2:7" ht="14.25" customHeight="1">
      <c r="B807" s="88" t="s">
        <v>61</v>
      </c>
      <c r="C807" s="89"/>
      <c r="D807" s="89"/>
      <c r="E807" s="89" t="s">
        <v>1750</v>
      </c>
      <c r="F807" s="89"/>
      <c r="G807" s="5"/>
    </row>
    <row r="808" spans="2:7" ht="14.25" customHeight="1">
      <c r="B808" s="88" t="s">
        <v>61</v>
      </c>
      <c r="C808" s="89"/>
      <c r="D808" s="89"/>
      <c r="E808" s="89" t="s">
        <v>1751</v>
      </c>
      <c r="F808" s="89"/>
      <c r="G808" s="5"/>
    </row>
    <row r="809" spans="2:7" ht="14.25" customHeight="1">
      <c r="B809" s="88" t="s">
        <v>61</v>
      </c>
      <c r="C809" s="89"/>
      <c r="D809" s="89"/>
      <c r="E809" s="89" t="s">
        <v>1752</v>
      </c>
      <c r="F809" s="89"/>
      <c r="G809" s="5"/>
    </row>
    <row r="810" spans="2:7" ht="14.25" customHeight="1">
      <c r="B810" s="2" t="s">
        <v>105</v>
      </c>
      <c r="C810" s="90" t="s">
        <v>1753</v>
      </c>
      <c r="D810" s="90" t="s">
        <v>708</v>
      </c>
      <c r="E810" s="90" t="s">
        <v>708</v>
      </c>
      <c r="F810" s="90" t="s">
        <v>708</v>
      </c>
      <c r="G810" s="90" t="s">
        <v>708</v>
      </c>
    </row>
    <row r="811" spans="2:7" ht="14.25" customHeight="1">
      <c r="B811" s="2" t="s">
        <v>105</v>
      </c>
      <c r="C811" s="90"/>
      <c r="D811" s="89"/>
      <c r="E811" s="89" t="s">
        <v>1754</v>
      </c>
      <c r="F811" s="89"/>
      <c r="G811" s="89"/>
    </row>
    <row r="812" spans="2:7" ht="14.25" customHeight="1">
      <c r="B812" s="2" t="s">
        <v>105</v>
      </c>
      <c r="C812" s="90"/>
      <c r="D812" s="89"/>
      <c r="E812" s="89" t="s">
        <v>1755</v>
      </c>
      <c r="F812" s="89"/>
      <c r="G812" s="89"/>
    </row>
    <row r="813" spans="2:7" ht="14.25" customHeight="1">
      <c r="B813" s="2" t="s">
        <v>105</v>
      </c>
      <c r="C813" s="90"/>
      <c r="D813" s="89"/>
      <c r="E813" s="89" t="s">
        <v>1756</v>
      </c>
      <c r="F813" s="89"/>
      <c r="G813" s="89"/>
    </row>
    <row r="814" spans="2:7" ht="14.25" customHeight="1">
      <c r="B814" s="2" t="s">
        <v>105</v>
      </c>
      <c r="C814" s="90" t="s">
        <v>1753</v>
      </c>
      <c r="D814" s="90" t="s">
        <v>709</v>
      </c>
      <c r="E814" s="90" t="s">
        <v>709</v>
      </c>
      <c r="F814" s="90" t="s">
        <v>709</v>
      </c>
      <c r="G814" s="90" t="s">
        <v>709</v>
      </c>
    </row>
    <row r="815" spans="2:7" ht="14.25" customHeight="1">
      <c r="B815" s="2" t="s">
        <v>105</v>
      </c>
      <c r="C815" s="90"/>
      <c r="D815" s="89"/>
      <c r="E815" s="89" t="s">
        <v>1757</v>
      </c>
      <c r="F815" s="89"/>
      <c r="G815" s="89"/>
    </row>
    <row r="816" spans="2:7" ht="14.25" customHeight="1">
      <c r="B816" s="2" t="s">
        <v>105</v>
      </c>
      <c r="C816" s="90"/>
      <c r="D816" s="89"/>
      <c r="E816" s="89" t="s">
        <v>1758</v>
      </c>
      <c r="F816" s="89"/>
      <c r="G816" s="89"/>
    </row>
    <row r="817" spans="2:7" ht="14.25" customHeight="1">
      <c r="B817" s="2" t="s">
        <v>105</v>
      </c>
      <c r="C817" s="90"/>
      <c r="D817" s="89"/>
      <c r="E817" s="89" t="s">
        <v>1759</v>
      </c>
      <c r="F817" s="89"/>
      <c r="G817" s="89"/>
    </row>
    <row r="818" spans="2:7" ht="14.25" customHeight="1">
      <c r="B818" s="2" t="s">
        <v>105</v>
      </c>
      <c r="C818" s="90" t="s">
        <v>1753</v>
      </c>
      <c r="D818" s="90" t="s">
        <v>711</v>
      </c>
      <c r="E818" s="90" t="s">
        <v>711</v>
      </c>
      <c r="F818" s="90" t="s">
        <v>711</v>
      </c>
      <c r="G818" s="90" t="s">
        <v>711</v>
      </c>
    </row>
    <row r="819" spans="2:7" ht="14.25" customHeight="1">
      <c r="B819" s="2" t="s">
        <v>105</v>
      </c>
      <c r="C819" s="90"/>
      <c r="D819" s="89"/>
      <c r="E819" s="89" t="s">
        <v>1760</v>
      </c>
      <c r="F819" s="89"/>
      <c r="G819" s="89"/>
    </row>
    <row r="820" spans="2:7" ht="14.25" customHeight="1">
      <c r="B820" s="2" t="s">
        <v>105</v>
      </c>
      <c r="C820" s="90"/>
      <c r="D820" s="89"/>
      <c r="E820" s="89" t="s">
        <v>1761</v>
      </c>
      <c r="F820" s="89"/>
      <c r="G820" s="89"/>
    </row>
    <row r="821" spans="2:7" ht="14.25" customHeight="1">
      <c r="B821" s="2" t="s">
        <v>105</v>
      </c>
      <c r="C821" s="90"/>
      <c r="D821" s="89"/>
      <c r="E821" s="89" t="s">
        <v>1762</v>
      </c>
      <c r="F821" s="89"/>
      <c r="G821" s="89"/>
    </row>
    <row r="822" spans="2:7" ht="14.25" customHeight="1">
      <c r="B822" s="2" t="s">
        <v>105</v>
      </c>
      <c r="C822" s="90"/>
      <c r="D822" s="89"/>
      <c r="E822" s="89" t="s">
        <v>1763</v>
      </c>
      <c r="F822" s="89"/>
      <c r="G822" s="89"/>
    </row>
    <row r="823" spans="2:7" ht="14.25" customHeight="1">
      <c r="B823" s="2" t="s">
        <v>105</v>
      </c>
      <c r="C823" s="90" t="s">
        <v>1764</v>
      </c>
      <c r="D823" s="90" t="s">
        <v>712</v>
      </c>
      <c r="E823" s="90" t="s">
        <v>712</v>
      </c>
      <c r="F823" s="90" t="s">
        <v>712</v>
      </c>
      <c r="G823" s="90" t="s">
        <v>712</v>
      </c>
    </row>
    <row r="824" spans="2:7" ht="14.25" customHeight="1">
      <c r="B824" s="2" t="s">
        <v>105</v>
      </c>
      <c r="C824" s="90"/>
      <c r="D824" s="89"/>
      <c r="E824" s="89" t="s">
        <v>1765</v>
      </c>
      <c r="F824" s="89"/>
      <c r="G824" s="89"/>
    </row>
    <row r="825" spans="2:7" ht="14.25" customHeight="1">
      <c r="B825" s="2" t="s">
        <v>105</v>
      </c>
      <c r="C825" s="90"/>
      <c r="D825" s="89"/>
      <c r="E825" s="89" t="s">
        <v>1766</v>
      </c>
      <c r="F825" s="89"/>
      <c r="G825" s="89"/>
    </row>
    <row r="826" spans="2:7" ht="14.25" customHeight="1">
      <c r="B826" s="2" t="s">
        <v>105</v>
      </c>
      <c r="C826" s="90"/>
      <c r="D826" s="89"/>
      <c r="E826" s="89" t="s">
        <v>1767</v>
      </c>
      <c r="F826" s="89"/>
      <c r="G826" s="89"/>
    </row>
    <row r="827" spans="2:7" ht="14.25" customHeight="1">
      <c r="B827" s="2" t="s">
        <v>105</v>
      </c>
      <c r="C827" s="90"/>
      <c r="D827" s="89"/>
      <c r="E827" s="89" t="s">
        <v>1768</v>
      </c>
      <c r="F827" s="89"/>
      <c r="G827" s="89"/>
    </row>
    <row r="828" spans="2:7" ht="14.25" customHeight="1">
      <c r="B828" s="2" t="s">
        <v>105</v>
      </c>
      <c r="C828" s="90"/>
      <c r="D828" s="89"/>
      <c r="E828" s="89" t="s">
        <v>1769</v>
      </c>
      <c r="F828" s="89"/>
      <c r="G828" s="89"/>
    </row>
    <row r="829" spans="2:7" ht="14.25" customHeight="1">
      <c r="B829" s="2" t="s">
        <v>105</v>
      </c>
      <c r="C829" s="90"/>
      <c r="D829" s="89"/>
      <c r="E829" s="89" t="s">
        <v>1770</v>
      </c>
      <c r="F829" s="89"/>
      <c r="G829" s="89"/>
    </row>
    <row r="830" spans="2:7" ht="14.25" customHeight="1">
      <c r="B830" s="2" t="s">
        <v>105</v>
      </c>
      <c r="C830" s="90"/>
      <c r="D830" s="89"/>
      <c r="E830" s="89" t="s">
        <v>1771</v>
      </c>
      <c r="F830" s="89"/>
      <c r="G830" s="89"/>
    </row>
    <row r="831" spans="2:7" ht="14.25" customHeight="1">
      <c r="B831" s="2" t="s">
        <v>105</v>
      </c>
      <c r="C831" s="90"/>
      <c r="D831" s="89"/>
      <c r="E831" s="89" t="s">
        <v>1772</v>
      </c>
      <c r="F831" s="89"/>
      <c r="G831" s="89"/>
    </row>
    <row r="832" spans="2:7" ht="14.25" customHeight="1">
      <c r="B832" s="2" t="s">
        <v>105</v>
      </c>
      <c r="C832" s="90" t="s">
        <v>1764</v>
      </c>
      <c r="D832" s="90" t="s">
        <v>713</v>
      </c>
      <c r="E832" s="90" t="s">
        <v>713</v>
      </c>
      <c r="F832" s="90" t="s">
        <v>713</v>
      </c>
      <c r="G832" s="90" t="s">
        <v>713</v>
      </c>
    </row>
    <row r="833" spans="2:7" ht="14.25" customHeight="1">
      <c r="B833" s="2" t="s">
        <v>105</v>
      </c>
      <c r="C833" s="90"/>
      <c r="D833" s="89"/>
      <c r="E833" s="89" t="s">
        <v>1773</v>
      </c>
      <c r="F833" s="89"/>
      <c r="G833" s="89"/>
    </row>
    <row r="834" spans="2:7" ht="14.25" customHeight="1">
      <c r="B834" s="2" t="s">
        <v>105</v>
      </c>
      <c r="C834" s="90"/>
      <c r="D834" s="89"/>
      <c r="E834" s="89" t="s">
        <v>1774</v>
      </c>
      <c r="F834" s="89"/>
      <c r="G834" s="89"/>
    </row>
    <row r="835" spans="2:7" ht="14.25" customHeight="1">
      <c r="B835" s="2" t="s">
        <v>105</v>
      </c>
      <c r="C835" s="90"/>
      <c r="D835" s="89"/>
      <c r="E835" s="89" t="s">
        <v>1775</v>
      </c>
      <c r="F835" s="89"/>
      <c r="G835" s="89"/>
    </row>
    <row r="836" spans="2:7" ht="14.25" customHeight="1">
      <c r="B836" s="2" t="s">
        <v>105</v>
      </c>
      <c r="C836" s="90"/>
      <c r="D836" s="89"/>
      <c r="E836" s="89" t="s">
        <v>1776</v>
      </c>
      <c r="F836" s="89"/>
      <c r="G836" s="89"/>
    </row>
    <row r="837" spans="2:7" ht="14.25" customHeight="1">
      <c r="B837" s="2" t="s">
        <v>105</v>
      </c>
      <c r="C837" s="90"/>
      <c r="D837" s="89"/>
      <c r="E837" s="89" t="s">
        <v>1777</v>
      </c>
      <c r="F837" s="89"/>
      <c r="G837" s="89"/>
    </row>
    <row r="838" spans="2:7" ht="14.25" customHeight="1">
      <c r="B838" s="2" t="s">
        <v>105</v>
      </c>
      <c r="C838" s="90"/>
      <c r="D838" s="89"/>
      <c r="E838" s="89" t="s">
        <v>1778</v>
      </c>
      <c r="F838" s="89"/>
      <c r="G838" s="89"/>
    </row>
    <row r="839" spans="2:7" ht="14.25" customHeight="1">
      <c r="B839" s="2" t="s">
        <v>105</v>
      </c>
      <c r="C839" s="90"/>
      <c r="D839" s="89"/>
      <c r="E839" s="89" t="s">
        <v>1779</v>
      </c>
      <c r="F839" s="89"/>
      <c r="G839" s="89"/>
    </row>
    <row r="840" spans="2:7" ht="14.25" customHeight="1">
      <c r="B840" s="2" t="s">
        <v>105</v>
      </c>
      <c r="C840" s="90"/>
      <c r="D840" s="89"/>
      <c r="E840" s="89" t="s">
        <v>1780</v>
      </c>
      <c r="F840" s="89"/>
      <c r="G840" s="89"/>
    </row>
    <row r="841" spans="2:7" ht="14.25" customHeight="1">
      <c r="B841" s="2" t="s">
        <v>105</v>
      </c>
      <c r="C841" s="90" t="s">
        <v>1764</v>
      </c>
      <c r="D841" s="90" t="s">
        <v>714</v>
      </c>
      <c r="E841" s="90" t="s">
        <v>714</v>
      </c>
      <c r="F841" s="90" t="s">
        <v>714</v>
      </c>
      <c r="G841" s="90" t="s">
        <v>714</v>
      </c>
    </row>
    <row r="842" spans="2:7" ht="14.25" customHeight="1">
      <c r="B842" s="2" t="s">
        <v>105</v>
      </c>
      <c r="C842" s="90"/>
      <c r="D842" s="89"/>
      <c r="E842" s="89" t="s">
        <v>1781</v>
      </c>
      <c r="F842" s="89"/>
      <c r="G842" s="89"/>
    </row>
    <row r="843" spans="2:7" ht="14.25" customHeight="1">
      <c r="B843" s="2" t="s">
        <v>105</v>
      </c>
      <c r="C843" s="90"/>
      <c r="D843" s="89"/>
      <c r="E843" s="89" t="s">
        <v>1782</v>
      </c>
      <c r="F843" s="89"/>
      <c r="G843" s="89"/>
    </row>
    <row r="844" spans="2:7" ht="14.25" customHeight="1">
      <c r="B844" s="2" t="s">
        <v>105</v>
      </c>
      <c r="C844" s="90"/>
      <c r="D844" s="89"/>
      <c r="E844" s="89" t="s">
        <v>1783</v>
      </c>
      <c r="F844" s="89"/>
      <c r="G844" s="89"/>
    </row>
    <row r="845" spans="2:7" ht="14.25" customHeight="1">
      <c r="B845" s="2" t="s">
        <v>105</v>
      </c>
      <c r="C845" s="90"/>
      <c r="D845" s="89"/>
      <c r="E845" s="89" t="s">
        <v>1784</v>
      </c>
      <c r="F845" s="89"/>
      <c r="G845" s="89"/>
    </row>
    <row r="846" spans="2:7" ht="14.25" customHeight="1">
      <c r="B846" s="2" t="s">
        <v>105</v>
      </c>
      <c r="C846" s="90"/>
      <c r="D846" s="89"/>
      <c r="E846" s="89" t="s">
        <v>1785</v>
      </c>
      <c r="F846" s="89"/>
      <c r="G846" s="89"/>
    </row>
    <row r="847" spans="2:7" ht="14.25" customHeight="1">
      <c r="B847" s="2" t="s">
        <v>105</v>
      </c>
      <c r="C847" s="90"/>
      <c r="D847" s="89"/>
      <c r="E847" s="89" t="s">
        <v>1786</v>
      </c>
      <c r="F847" s="89"/>
      <c r="G847" s="89"/>
    </row>
    <row r="848" spans="2:7" ht="14.25" customHeight="1">
      <c r="B848" s="2" t="s">
        <v>105</v>
      </c>
      <c r="C848" s="90"/>
      <c r="D848" s="89"/>
      <c r="E848" s="89" t="s">
        <v>1787</v>
      </c>
      <c r="F848" s="89"/>
      <c r="G848" s="89"/>
    </row>
    <row r="849" spans="2:7" ht="14.25" customHeight="1">
      <c r="B849" s="2" t="s">
        <v>105</v>
      </c>
      <c r="C849" s="90"/>
      <c r="D849" s="89"/>
      <c r="E849" s="89" t="s">
        <v>1788</v>
      </c>
      <c r="F849" s="89"/>
      <c r="G849" s="89"/>
    </row>
    <row r="850" spans="2:7" ht="14.25" customHeight="1">
      <c r="B850" s="2" t="s">
        <v>105</v>
      </c>
      <c r="C850" s="90" t="s">
        <v>1789</v>
      </c>
      <c r="D850" s="90" t="s">
        <v>715</v>
      </c>
      <c r="E850" s="90" t="s">
        <v>715</v>
      </c>
      <c r="F850" s="90" t="s">
        <v>715</v>
      </c>
      <c r="G850" s="90" t="s">
        <v>715</v>
      </c>
    </row>
    <row r="851" spans="2:7" ht="14.25" customHeight="1">
      <c r="B851" s="2" t="s">
        <v>105</v>
      </c>
      <c r="C851" s="90"/>
      <c r="D851" s="89"/>
      <c r="E851" s="89" t="s">
        <v>1790</v>
      </c>
      <c r="F851" s="89"/>
      <c r="G851" s="89"/>
    </row>
    <row r="852" spans="2:7" ht="14.25" customHeight="1">
      <c r="B852" s="2" t="s">
        <v>105</v>
      </c>
      <c r="C852" s="90"/>
      <c r="D852" s="89"/>
      <c r="E852" s="89" t="s">
        <v>1791</v>
      </c>
      <c r="F852" s="89"/>
      <c r="G852" s="89"/>
    </row>
    <row r="853" spans="2:7" ht="14.25" customHeight="1">
      <c r="B853" s="2" t="s">
        <v>105</v>
      </c>
      <c r="C853" s="90"/>
      <c r="D853" s="89"/>
      <c r="E853" s="89" t="s">
        <v>1792</v>
      </c>
      <c r="F853" s="89"/>
      <c r="G853" s="89"/>
    </row>
    <row r="854" spans="2:7" ht="14.25" customHeight="1">
      <c r="B854" s="2" t="s">
        <v>105</v>
      </c>
      <c r="C854" s="90"/>
      <c r="D854" s="89"/>
      <c r="E854" s="89" t="s">
        <v>1793</v>
      </c>
      <c r="F854" s="89"/>
      <c r="G854" s="89"/>
    </row>
    <row r="855" spans="2:7" ht="14.25" customHeight="1">
      <c r="B855" s="2" t="s">
        <v>105</v>
      </c>
      <c r="C855" s="90" t="s">
        <v>1789</v>
      </c>
      <c r="D855" s="90" t="s">
        <v>716</v>
      </c>
      <c r="E855" s="90" t="s">
        <v>716</v>
      </c>
      <c r="F855" s="90" t="s">
        <v>716</v>
      </c>
      <c r="G855" s="90" t="s">
        <v>716</v>
      </c>
    </row>
    <row r="856" spans="2:7" ht="14.25" customHeight="1">
      <c r="B856" s="2" t="s">
        <v>105</v>
      </c>
      <c r="C856" s="90"/>
      <c r="D856" s="89"/>
      <c r="E856" s="89" t="s">
        <v>1794</v>
      </c>
      <c r="F856" s="89"/>
      <c r="G856" s="89"/>
    </row>
    <row r="857" spans="2:7" ht="14.25" customHeight="1">
      <c r="B857" s="2" t="s">
        <v>105</v>
      </c>
      <c r="C857" s="90"/>
      <c r="D857" s="89"/>
      <c r="E857" s="89" t="s">
        <v>1795</v>
      </c>
      <c r="F857" s="89"/>
      <c r="G857" s="89"/>
    </row>
    <row r="858" spans="2:7" ht="14.25" customHeight="1">
      <c r="B858" s="2" t="s">
        <v>105</v>
      </c>
      <c r="C858" s="90"/>
      <c r="D858" s="89"/>
      <c r="E858" s="89" t="s">
        <v>1796</v>
      </c>
      <c r="F858" s="89"/>
      <c r="G858" s="89"/>
    </row>
    <row r="859" spans="2:7" ht="14.25" customHeight="1">
      <c r="B859" s="2" t="s">
        <v>105</v>
      </c>
      <c r="C859" s="90"/>
      <c r="D859" s="89"/>
      <c r="E859" s="89" t="s">
        <v>1797</v>
      </c>
      <c r="F859" s="89"/>
      <c r="G859" s="89"/>
    </row>
    <row r="860" spans="2:7" ht="14.25" customHeight="1">
      <c r="B860" s="2" t="s">
        <v>105</v>
      </c>
      <c r="C860" s="90" t="s">
        <v>1798</v>
      </c>
      <c r="D860" s="90" t="s">
        <v>717</v>
      </c>
      <c r="E860" s="90" t="s">
        <v>717</v>
      </c>
      <c r="F860" s="90" t="s">
        <v>717</v>
      </c>
      <c r="G860" s="90" t="s">
        <v>717</v>
      </c>
    </row>
    <row r="861" spans="2:7" ht="14.25" customHeight="1">
      <c r="B861" s="2" t="s">
        <v>105</v>
      </c>
      <c r="C861" s="90"/>
      <c r="D861" s="89"/>
      <c r="E861" s="89" t="s">
        <v>1799</v>
      </c>
      <c r="F861" s="89"/>
      <c r="G861" s="89"/>
    </row>
    <row r="862" spans="2:7" ht="14.25" customHeight="1">
      <c r="B862" s="2" t="s">
        <v>105</v>
      </c>
      <c r="C862" s="90"/>
      <c r="D862" s="89"/>
      <c r="E862" s="89" t="s">
        <v>1800</v>
      </c>
      <c r="F862" s="89"/>
      <c r="G862" s="89"/>
    </row>
    <row r="863" spans="2:7" ht="14.25" customHeight="1">
      <c r="B863" s="2" t="s">
        <v>105</v>
      </c>
      <c r="C863" s="90"/>
      <c r="D863" s="89"/>
      <c r="E863" s="89" t="s">
        <v>1801</v>
      </c>
      <c r="F863" s="89"/>
      <c r="G863" s="89"/>
    </row>
    <row r="864" spans="2:7" ht="14.25" customHeight="1">
      <c r="B864" s="2" t="s">
        <v>105</v>
      </c>
      <c r="C864" s="90"/>
      <c r="D864" s="89"/>
      <c r="E864" s="89" t="s">
        <v>1802</v>
      </c>
      <c r="F864" s="89"/>
      <c r="G864" s="89"/>
    </row>
    <row r="865" spans="2:7" ht="14.25" customHeight="1">
      <c r="B865" s="2" t="s">
        <v>105</v>
      </c>
      <c r="C865" s="90" t="s">
        <v>1798</v>
      </c>
      <c r="D865" s="90" t="s">
        <v>718</v>
      </c>
      <c r="E865" s="90" t="s">
        <v>718</v>
      </c>
      <c r="F865" s="90" t="s">
        <v>718</v>
      </c>
      <c r="G865" s="90" t="s">
        <v>718</v>
      </c>
    </row>
    <row r="866" spans="2:7" ht="14.25" customHeight="1">
      <c r="B866" s="2" t="s">
        <v>105</v>
      </c>
      <c r="C866" s="90"/>
      <c r="D866" s="89"/>
      <c r="E866" s="89" t="s">
        <v>1803</v>
      </c>
      <c r="F866" s="89"/>
      <c r="G866" s="89"/>
    </row>
    <row r="867" spans="2:7" ht="14.25" customHeight="1">
      <c r="B867" s="2" t="s">
        <v>105</v>
      </c>
      <c r="C867" s="90"/>
      <c r="D867" s="89"/>
      <c r="E867" s="89" t="s">
        <v>1804</v>
      </c>
      <c r="F867" s="89"/>
      <c r="G867" s="89"/>
    </row>
    <row r="868" spans="2:7" ht="14.25" customHeight="1">
      <c r="B868" s="2" t="s">
        <v>105</v>
      </c>
      <c r="C868" s="90"/>
      <c r="D868" s="89"/>
      <c r="E868" s="89" t="s">
        <v>1805</v>
      </c>
      <c r="F868" s="89"/>
      <c r="G868" s="89"/>
    </row>
    <row r="869" spans="2:7" ht="14.25" customHeight="1">
      <c r="B869" s="2" t="s">
        <v>105</v>
      </c>
      <c r="C869" s="90"/>
      <c r="D869" s="89"/>
      <c r="E869" s="89" t="s">
        <v>1806</v>
      </c>
      <c r="F869" s="89"/>
      <c r="G869" s="89"/>
    </row>
    <row r="870" spans="2:7" ht="14.25" customHeight="1">
      <c r="B870" s="2" t="s">
        <v>105</v>
      </c>
      <c r="C870" s="90" t="s">
        <v>1807</v>
      </c>
      <c r="D870" s="90" t="s">
        <v>719</v>
      </c>
      <c r="E870" s="90" t="s">
        <v>719</v>
      </c>
      <c r="F870" s="90" t="s">
        <v>719</v>
      </c>
      <c r="G870" s="90" t="s">
        <v>719</v>
      </c>
    </row>
    <row r="871" spans="2:7" ht="14.25" customHeight="1">
      <c r="B871" s="2" t="s">
        <v>105</v>
      </c>
      <c r="C871" s="90"/>
      <c r="D871" s="89" t="s">
        <v>1808</v>
      </c>
      <c r="E871" s="89" t="s">
        <v>1808</v>
      </c>
      <c r="F871" s="89"/>
      <c r="G871" s="89"/>
    </row>
    <row r="872" spans="2:7" ht="14.25" customHeight="1">
      <c r="B872" s="2" t="s">
        <v>105</v>
      </c>
      <c r="C872" s="90"/>
      <c r="D872" s="89" t="s">
        <v>1809</v>
      </c>
      <c r="E872" s="89" t="s">
        <v>1809</v>
      </c>
      <c r="F872" s="89"/>
      <c r="G872" s="89"/>
    </row>
    <row r="873" spans="2:7" ht="14.25" customHeight="1">
      <c r="B873" s="2" t="s">
        <v>105</v>
      </c>
      <c r="C873" s="90"/>
      <c r="D873" s="89"/>
      <c r="E873" s="89" t="s">
        <v>1810</v>
      </c>
      <c r="F873" s="89"/>
      <c r="G873" s="89"/>
    </row>
    <row r="874" spans="2:7" ht="14.25" customHeight="1">
      <c r="B874" s="2" t="s">
        <v>105</v>
      </c>
      <c r="C874" s="90"/>
      <c r="D874" s="89"/>
      <c r="E874" s="89" t="s">
        <v>1811</v>
      </c>
      <c r="F874" s="89"/>
      <c r="G874" s="89"/>
    </row>
    <row r="875" spans="2:7" ht="14.25" customHeight="1">
      <c r="B875" s="2" t="s">
        <v>105</v>
      </c>
      <c r="C875" s="90"/>
      <c r="D875" s="89"/>
      <c r="E875" s="89" t="s">
        <v>1812</v>
      </c>
      <c r="F875" s="89"/>
      <c r="G875" s="89"/>
    </row>
    <row r="876" spans="2:7" ht="14.25" customHeight="1">
      <c r="B876" s="2" t="s">
        <v>105</v>
      </c>
      <c r="C876" s="90"/>
      <c r="D876" s="89"/>
      <c r="E876" s="89" t="s">
        <v>1813</v>
      </c>
      <c r="F876" s="89"/>
      <c r="G876" s="89"/>
    </row>
    <row r="877" spans="2:7" ht="14.25" customHeight="1">
      <c r="B877" s="2" t="s">
        <v>105</v>
      </c>
      <c r="C877" s="90" t="s">
        <v>1807</v>
      </c>
      <c r="D877" s="90" t="s">
        <v>720</v>
      </c>
      <c r="E877" s="90" t="s">
        <v>720</v>
      </c>
      <c r="F877" s="90" t="s">
        <v>720</v>
      </c>
      <c r="G877" s="90" t="s">
        <v>720</v>
      </c>
    </row>
    <row r="878" spans="2:7" ht="14.25" customHeight="1">
      <c r="B878" s="2" t="s">
        <v>105</v>
      </c>
      <c r="C878" s="90"/>
      <c r="D878" s="89" t="s">
        <v>1814</v>
      </c>
      <c r="E878" s="89" t="s">
        <v>1814</v>
      </c>
      <c r="F878" s="89"/>
      <c r="G878" s="89"/>
    </row>
    <row r="879" spans="2:7" ht="14.25" customHeight="1">
      <c r="B879" s="2" t="s">
        <v>105</v>
      </c>
      <c r="C879" s="90"/>
      <c r="D879" s="89" t="s">
        <v>1815</v>
      </c>
      <c r="E879" s="89" t="s">
        <v>1815</v>
      </c>
      <c r="F879" s="89"/>
      <c r="G879" s="89"/>
    </row>
    <row r="880" spans="2:7" ht="14.25" customHeight="1">
      <c r="B880" s="2" t="s">
        <v>105</v>
      </c>
      <c r="C880" s="90"/>
      <c r="D880" s="89"/>
      <c r="E880" s="89" t="s">
        <v>1816</v>
      </c>
      <c r="F880" s="89"/>
      <c r="G880" s="89"/>
    </row>
    <row r="881" spans="2:7" ht="14.25" customHeight="1">
      <c r="B881" s="2" t="s">
        <v>105</v>
      </c>
      <c r="C881" s="90"/>
      <c r="D881" s="89"/>
      <c r="E881" s="89" t="s">
        <v>1817</v>
      </c>
      <c r="F881" s="89"/>
      <c r="G881" s="89"/>
    </row>
    <row r="882" spans="2:7" ht="14.25" customHeight="1">
      <c r="B882" s="2" t="s">
        <v>105</v>
      </c>
      <c r="C882" s="90"/>
      <c r="D882" s="89"/>
      <c r="E882" s="89" t="s">
        <v>1818</v>
      </c>
      <c r="F882" s="89"/>
      <c r="G882" s="89"/>
    </row>
    <row r="883" spans="2:7" ht="14.25" customHeight="1">
      <c r="B883" s="2" t="s">
        <v>105</v>
      </c>
      <c r="C883" s="90"/>
      <c r="D883" s="89"/>
      <c r="E883" s="89" t="s">
        <v>1819</v>
      </c>
      <c r="F883" s="89"/>
      <c r="G883" s="89"/>
    </row>
    <row r="884" spans="2:7" ht="14.25" customHeight="1">
      <c r="B884" s="2" t="s">
        <v>105</v>
      </c>
      <c r="C884" s="90" t="s">
        <v>1807</v>
      </c>
      <c r="D884" s="90" t="s">
        <v>721</v>
      </c>
      <c r="E884" s="90" t="s">
        <v>721</v>
      </c>
      <c r="F884" s="90" t="s">
        <v>721</v>
      </c>
      <c r="G884" s="90" t="s">
        <v>721</v>
      </c>
    </row>
    <row r="885" spans="2:7" ht="14.25" customHeight="1">
      <c r="B885" s="2" t="s">
        <v>105</v>
      </c>
      <c r="C885" s="90"/>
      <c r="D885" s="89" t="str">
        <f t="shared" ref="D885:D886" si="0">E885</f>
        <v>PL11-1</v>
      </c>
      <c r="E885" s="89" t="s">
        <v>1820</v>
      </c>
      <c r="F885" s="89"/>
      <c r="G885" s="89"/>
    </row>
    <row r="886" spans="2:7" ht="14.25" customHeight="1">
      <c r="B886" s="2" t="s">
        <v>105</v>
      </c>
      <c r="C886" s="90"/>
      <c r="D886" s="89" t="str">
        <f t="shared" si="0"/>
        <v>PL11-2</v>
      </c>
      <c r="E886" s="89" t="s">
        <v>1821</v>
      </c>
      <c r="F886" s="89"/>
      <c r="G886" s="89"/>
    </row>
    <row r="887" spans="2:7" ht="14.25" customHeight="1">
      <c r="B887" s="2" t="s">
        <v>105</v>
      </c>
      <c r="C887" s="90"/>
      <c r="D887" s="89"/>
      <c r="E887" s="89" t="s">
        <v>1822</v>
      </c>
      <c r="F887" s="89"/>
      <c r="G887" s="89"/>
    </row>
    <row r="888" spans="2:7" ht="14.25" customHeight="1">
      <c r="B888" s="2" t="s">
        <v>105</v>
      </c>
      <c r="C888" s="90"/>
      <c r="D888" s="89"/>
      <c r="E888" s="89" t="s">
        <v>1823</v>
      </c>
      <c r="F888" s="89"/>
      <c r="G888" s="89"/>
    </row>
    <row r="889" spans="2:7" ht="14.25" customHeight="1">
      <c r="B889" s="2" t="s">
        <v>105</v>
      </c>
      <c r="C889" s="90"/>
      <c r="D889" s="89"/>
      <c r="E889" s="89" t="s">
        <v>1824</v>
      </c>
      <c r="F889" s="89"/>
      <c r="G889" s="89"/>
    </row>
    <row r="890" spans="2:7" ht="14.25" customHeight="1">
      <c r="B890" s="2" t="s">
        <v>105</v>
      </c>
      <c r="C890" s="90"/>
      <c r="D890" s="89"/>
      <c r="E890" s="89" t="s">
        <v>1825</v>
      </c>
      <c r="F890" s="89"/>
      <c r="G890" s="89"/>
    </row>
    <row r="891" spans="2:7" ht="14.25" customHeight="1">
      <c r="B891" s="2" t="s">
        <v>105</v>
      </c>
      <c r="C891" s="90" t="s">
        <v>1807</v>
      </c>
      <c r="D891" s="90" t="s">
        <v>722</v>
      </c>
      <c r="E891" s="90" t="s">
        <v>722</v>
      </c>
      <c r="F891" s="90" t="s">
        <v>722</v>
      </c>
      <c r="G891" s="90" t="s">
        <v>722</v>
      </c>
    </row>
    <row r="892" spans="2:7" ht="14.25" customHeight="1">
      <c r="B892" s="2" t="s">
        <v>105</v>
      </c>
      <c r="C892" s="90"/>
      <c r="D892" s="89" t="str">
        <f t="shared" ref="D892:D893" si="1">E892</f>
        <v>PL12-1</v>
      </c>
      <c r="E892" s="89" t="s">
        <v>1826</v>
      </c>
      <c r="F892" s="89"/>
      <c r="G892" s="89"/>
    </row>
    <row r="893" spans="2:7" ht="14.25" customHeight="1">
      <c r="B893" s="2" t="s">
        <v>105</v>
      </c>
      <c r="C893" s="90"/>
      <c r="D893" s="89" t="str">
        <f t="shared" si="1"/>
        <v>PL12-2</v>
      </c>
      <c r="E893" s="89" t="s">
        <v>1827</v>
      </c>
      <c r="F893" s="89"/>
      <c r="G893" s="89"/>
    </row>
    <row r="894" spans="2:7" ht="14.25" customHeight="1">
      <c r="B894" s="2" t="s">
        <v>105</v>
      </c>
      <c r="C894" s="90"/>
      <c r="D894" s="89"/>
      <c r="E894" s="89" t="s">
        <v>1828</v>
      </c>
      <c r="F894" s="89"/>
      <c r="G894" s="89"/>
    </row>
    <row r="895" spans="2:7" ht="14.25" customHeight="1">
      <c r="B895" s="2" t="s">
        <v>105</v>
      </c>
      <c r="C895" s="90"/>
      <c r="D895" s="89"/>
      <c r="E895" s="89" t="s">
        <v>1829</v>
      </c>
      <c r="F895" s="89"/>
      <c r="G895" s="89"/>
    </row>
    <row r="896" spans="2:7" ht="14.25" customHeight="1">
      <c r="B896" s="2" t="s">
        <v>105</v>
      </c>
      <c r="C896" s="90"/>
      <c r="D896" s="89"/>
      <c r="E896" s="89" t="s">
        <v>1830</v>
      </c>
      <c r="F896" s="89"/>
      <c r="G896" s="89"/>
    </row>
    <row r="897" spans="2:7" ht="14.25" customHeight="1">
      <c r="B897" s="2" t="s">
        <v>105</v>
      </c>
      <c r="C897" s="90"/>
      <c r="D897" s="89"/>
      <c r="E897" s="89" t="s">
        <v>1831</v>
      </c>
      <c r="F897" s="89"/>
      <c r="G897" s="89"/>
    </row>
    <row r="898" spans="2:7" ht="14.25" customHeight="1">
      <c r="B898" s="2" t="s">
        <v>105</v>
      </c>
      <c r="C898" s="90" t="s">
        <v>1807</v>
      </c>
      <c r="D898" s="90" t="s">
        <v>723</v>
      </c>
      <c r="E898" s="90" t="s">
        <v>723</v>
      </c>
      <c r="F898" s="90" t="s">
        <v>723</v>
      </c>
      <c r="G898" s="90" t="s">
        <v>723</v>
      </c>
    </row>
    <row r="899" spans="2:7" ht="14.25" customHeight="1">
      <c r="B899" s="2" t="s">
        <v>105</v>
      </c>
      <c r="C899" s="90"/>
      <c r="D899" s="89" t="str">
        <f t="shared" ref="D899:D900" si="2">E899</f>
        <v>PL13-1</v>
      </c>
      <c r="E899" s="89" t="s">
        <v>1832</v>
      </c>
      <c r="F899" s="89"/>
      <c r="G899" s="89"/>
    </row>
    <row r="900" spans="2:7" ht="14.25" customHeight="1">
      <c r="B900" s="2" t="s">
        <v>105</v>
      </c>
      <c r="C900" s="90"/>
      <c r="D900" s="89" t="str">
        <f t="shared" si="2"/>
        <v>PL13-2</v>
      </c>
      <c r="E900" s="89" t="s">
        <v>1833</v>
      </c>
      <c r="F900" s="89"/>
      <c r="G900" s="89"/>
    </row>
    <row r="901" spans="2:7" ht="14.25" customHeight="1">
      <c r="B901" s="2" t="s">
        <v>105</v>
      </c>
      <c r="C901" s="90"/>
      <c r="D901" s="89"/>
      <c r="E901" s="89" t="s">
        <v>1834</v>
      </c>
      <c r="F901" s="89"/>
      <c r="G901" s="89"/>
    </row>
    <row r="902" spans="2:7" ht="14.25" customHeight="1">
      <c r="B902" s="2" t="s">
        <v>105</v>
      </c>
      <c r="C902" s="90"/>
      <c r="D902" s="89"/>
      <c r="E902" s="89" t="s">
        <v>1835</v>
      </c>
      <c r="F902" s="89"/>
      <c r="G902" s="89"/>
    </row>
    <row r="903" spans="2:7" ht="14.25" customHeight="1">
      <c r="B903" s="2" t="s">
        <v>105</v>
      </c>
      <c r="C903" s="90"/>
      <c r="D903" s="89"/>
      <c r="E903" s="89" t="s">
        <v>1836</v>
      </c>
      <c r="F903" s="89"/>
      <c r="G903" s="89"/>
    </row>
    <row r="904" spans="2:7" ht="14.25" customHeight="1">
      <c r="B904" s="2" t="s">
        <v>105</v>
      </c>
      <c r="C904" s="90"/>
      <c r="D904" s="89"/>
      <c r="E904" s="89" t="s">
        <v>1837</v>
      </c>
      <c r="F904" s="89"/>
      <c r="G904" s="89"/>
    </row>
    <row r="905" spans="2:7" ht="14.25" customHeight="1">
      <c r="B905" s="2" t="s">
        <v>105</v>
      </c>
      <c r="C905" s="90" t="s">
        <v>1807</v>
      </c>
      <c r="D905" s="90" t="s">
        <v>724</v>
      </c>
      <c r="E905" s="90" t="s">
        <v>724</v>
      </c>
      <c r="F905" s="90" t="s">
        <v>724</v>
      </c>
      <c r="G905" s="90" t="s">
        <v>724</v>
      </c>
    </row>
    <row r="906" spans="2:7" ht="14.25" customHeight="1">
      <c r="B906" s="2" t="s">
        <v>105</v>
      </c>
      <c r="C906" s="90"/>
      <c r="D906" s="89" t="str">
        <f t="shared" ref="D906:D907" si="3">E906</f>
        <v>PL14-1</v>
      </c>
      <c r="E906" s="89" t="s">
        <v>1838</v>
      </c>
      <c r="F906" s="89"/>
      <c r="G906" s="89"/>
    </row>
    <row r="907" spans="2:7" ht="14.25" customHeight="1">
      <c r="B907" s="2" t="s">
        <v>105</v>
      </c>
      <c r="C907" s="90"/>
      <c r="D907" s="89" t="str">
        <f t="shared" si="3"/>
        <v>PL14-2</v>
      </c>
      <c r="E907" s="89" t="s">
        <v>1839</v>
      </c>
      <c r="F907" s="89"/>
      <c r="G907" s="89"/>
    </row>
    <row r="908" spans="2:7" ht="14.25" customHeight="1">
      <c r="B908" s="2" t="s">
        <v>105</v>
      </c>
      <c r="C908" s="90"/>
      <c r="D908" s="89"/>
      <c r="E908" s="89" t="s">
        <v>1840</v>
      </c>
      <c r="F908" s="89"/>
      <c r="G908" s="89"/>
    </row>
    <row r="909" spans="2:7" ht="14.25" customHeight="1">
      <c r="B909" s="2" t="s">
        <v>105</v>
      </c>
      <c r="C909" s="90"/>
      <c r="D909" s="89"/>
      <c r="E909" s="89" t="s">
        <v>1841</v>
      </c>
      <c r="F909" s="89"/>
      <c r="G909" s="89"/>
    </row>
    <row r="910" spans="2:7" ht="14.25" customHeight="1">
      <c r="B910" s="2" t="s">
        <v>105</v>
      </c>
      <c r="C910" s="90"/>
      <c r="D910" s="89"/>
      <c r="E910" s="89" t="s">
        <v>1842</v>
      </c>
      <c r="F910" s="89"/>
      <c r="G910" s="89"/>
    </row>
    <row r="911" spans="2:7" ht="14.25" customHeight="1">
      <c r="B911" s="2" t="s">
        <v>105</v>
      </c>
      <c r="C911" s="90"/>
      <c r="D911" s="89"/>
      <c r="E911" s="89" t="s">
        <v>1843</v>
      </c>
      <c r="F911" s="89"/>
      <c r="G911" s="89"/>
    </row>
    <row r="912" spans="2:7" ht="14.25" customHeight="1">
      <c r="B912" s="2" t="s">
        <v>105</v>
      </c>
      <c r="C912" s="90" t="s">
        <v>1844</v>
      </c>
      <c r="D912" s="90" t="s">
        <v>725</v>
      </c>
      <c r="E912" s="90" t="s">
        <v>725</v>
      </c>
      <c r="F912" s="90" t="s">
        <v>725</v>
      </c>
      <c r="G912" s="90" t="s">
        <v>725</v>
      </c>
    </row>
    <row r="913" spans="2:7" ht="14.25" customHeight="1">
      <c r="B913" s="2" t="s">
        <v>105</v>
      </c>
      <c r="C913" s="90"/>
      <c r="D913" s="89"/>
      <c r="E913" s="89" t="s">
        <v>1845</v>
      </c>
      <c r="F913" s="89"/>
      <c r="G913" s="89"/>
    </row>
    <row r="914" spans="2:7" ht="14.25" customHeight="1">
      <c r="B914" s="2" t="s">
        <v>105</v>
      </c>
      <c r="C914" s="90"/>
      <c r="D914" s="89"/>
      <c r="E914" s="89" t="s">
        <v>1846</v>
      </c>
      <c r="F914" s="89"/>
      <c r="G914" s="89"/>
    </row>
    <row r="915" spans="2:7" ht="14.25" customHeight="1">
      <c r="B915" s="2" t="s">
        <v>105</v>
      </c>
      <c r="C915" s="90"/>
      <c r="D915" s="89"/>
      <c r="E915" s="89" t="s">
        <v>1847</v>
      </c>
      <c r="F915" s="89"/>
      <c r="G915" s="89"/>
    </row>
    <row r="916" spans="2:7" ht="14.25" customHeight="1">
      <c r="B916" s="2" t="s">
        <v>105</v>
      </c>
      <c r="C916" s="90"/>
      <c r="D916" s="89"/>
      <c r="E916" s="89" t="s">
        <v>1848</v>
      </c>
      <c r="F916" s="89"/>
      <c r="G916" s="89"/>
    </row>
    <row r="917" spans="2:7" ht="14.25" customHeight="1">
      <c r="B917" s="2" t="s">
        <v>105</v>
      </c>
      <c r="C917" s="90" t="s">
        <v>1844</v>
      </c>
      <c r="D917" s="90" t="s">
        <v>726</v>
      </c>
      <c r="E917" s="90" t="s">
        <v>726</v>
      </c>
      <c r="F917" s="90" t="s">
        <v>726</v>
      </c>
      <c r="G917" s="90" t="s">
        <v>726</v>
      </c>
    </row>
    <row r="918" spans="2:7" ht="14.25" customHeight="1">
      <c r="B918" s="2" t="s">
        <v>105</v>
      </c>
      <c r="C918" s="90"/>
      <c r="D918" s="89"/>
      <c r="E918" s="89" t="s">
        <v>1849</v>
      </c>
      <c r="F918" s="89"/>
      <c r="G918" s="89"/>
    </row>
    <row r="919" spans="2:7" ht="14.25" customHeight="1">
      <c r="B919" s="2" t="s">
        <v>105</v>
      </c>
      <c r="C919" s="90"/>
      <c r="D919" s="89"/>
      <c r="E919" s="89" t="s">
        <v>1850</v>
      </c>
      <c r="F919" s="89"/>
      <c r="G919" s="89"/>
    </row>
    <row r="920" spans="2:7" ht="14.25" customHeight="1">
      <c r="B920" s="2" t="s">
        <v>105</v>
      </c>
      <c r="C920" s="90"/>
      <c r="D920" s="89"/>
      <c r="E920" s="89" t="s">
        <v>1851</v>
      </c>
      <c r="F920" s="89"/>
      <c r="G920" s="89"/>
    </row>
    <row r="921" spans="2:7" ht="14.25" customHeight="1">
      <c r="B921" s="2" t="s">
        <v>105</v>
      </c>
      <c r="C921" s="90"/>
      <c r="D921" s="89"/>
      <c r="E921" s="89" t="s">
        <v>1852</v>
      </c>
      <c r="F921" s="89"/>
      <c r="G921" s="89"/>
    </row>
    <row r="922" spans="2:7" ht="14.25" customHeight="1">
      <c r="B922" s="2" t="s">
        <v>105</v>
      </c>
      <c r="C922" s="90" t="s">
        <v>1844</v>
      </c>
      <c r="D922" s="90" t="s">
        <v>727</v>
      </c>
      <c r="E922" s="90" t="s">
        <v>727</v>
      </c>
      <c r="F922" s="90" t="s">
        <v>727</v>
      </c>
      <c r="G922" s="90" t="s">
        <v>727</v>
      </c>
    </row>
    <row r="923" spans="2:7" ht="14.25" customHeight="1">
      <c r="B923" s="2" t="s">
        <v>105</v>
      </c>
      <c r="C923" s="90"/>
      <c r="D923" s="89"/>
      <c r="E923" s="89" t="s">
        <v>1853</v>
      </c>
      <c r="F923" s="89"/>
      <c r="G923" s="89"/>
    </row>
    <row r="924" spans="2:7" ht="14.25" customHeight="1">
      <c r="B924" s="2" t="s">
        <v>105</v>
      </c>
      <c r="C924" s="90"/>
      <c r="D924" s="89"/>
      <c r="E924" s="89" t="s">
        <v>1854</v>
      </c>
      <c r="F924" s="89"/>
      <c r="G924" s="89"/>
    </row>
    <row r="925" spans="2:7" ht="14.25" customHeight="1">
      <c r="B925" s="2" t="s">
        <v>105</v>
      </c>
      <c r="C925" s="90"/>
      <c r="D925" s="89"/>
      <c r="E925" s="89" t="s">
        <v>1855</v>
      </c>
      <c r="F925" s="89"/>
      <c r="G925" s="89"/>
    </row>
    <row r="926" spans="2:7" ht="14.25" customHeight="1">
      <c r="B926" s="2" t="s">
        <v>105</v>
      </c>
      <c r="C926" s="90"/>
      <c r="D926" s="89"/>
      <c r="E926" s="89" t="s">
        <v>1856</v>
      </c>
      <c r="F926" s="89"/>
      <c r="G926" s="89"/>
    </row>
    <row r="927" spans="2:7" ht="14.25" customHeight="1">
      <c r="B927" s="2" t="s">
        <v>105</v>
      </c>
      <c r="C927" s="90" t="s">
        <v>1857</v>
      </c>
      <c r="D927" s="90" t="s">
        <v>728</v>
      </c>
      <c r="E927" s="90" t="s">
        <v>728</v>
      </c>
      <c r="F927" s="90" t="s">
        <v>728</v>
      </c>
      <c r="G927" s="90" t="s">
        <v>728</v>
      </c>
    </row>
    <row r="928" spans="2:7" ht="14.25" customHeight="1">
      <c r="B928" s="2" t="s">
        <v>105</v>
      </c>
      <c r="C928" s="90"/>
      <c r="D928" s="89"/>
      <c r="E928" s="89" t="s">
        <v>1858</v>
      </c>
      <c r="F928" s="89"/>
      <c r="G928" s="89"/>
    </row>
    <row r="929" spans="2:7" ht="14.25" customHeight="1">
      <c r="B929" s="2" t="s">
        <v>105</v>
      </c>
      <c r="C929" s="90"/>
      <c r="D929" s="89"/>
      <c r="E929" s="89" t="s">
        <v>1859</v>
      </c>
      <c r="F929" s="89"/>
      <c r="G929" s="89"/>
    </row>
    <row r="930" spans="2:7" ht="14.25" customHeight="1">
      <c r="B930" s="2" t="s">
        <v>105</v>
      </c>
      <c r="C930" s="90"/>
      <c r="D930" s="89"/>
      <c r="E930" s="89" t="s">
        <v>1860</v>
      </c>
      <c r="F930" s="89"/>
      <c r="G930" s="89"/>
    </row>
    <row r="931" spans="2:7" ht="14.25" customHeight="1">
      <c r="B931" s="2" t="s">
        <v>105</v>
      </c>
      <c r="C931" s="90"/>
      <c r="D931" s="89"/>
      <c r="E931" s="89" t="s">
        <v>1861</v>
      </c>
      <c r="F931" s="89"/>
      <c r="G931" s="89"/>
    </row>
    <row r="932" spans="2:7" ht="14.25" customHeight="1">
      <c r="B932" s="2" t="s">
        <v>105</v>
      </c>
      <c r="C932" s="90" t="s">
        <v>1857</v>
      </c>
      <c r="D932" s="90" t="s">
        <v>729</v>
      </c>
      <c r="E932" s="90" t="s">
        <v>729</v>
      </c>
      <c r="F932" s="90" t="s">
        <v>729</v>
      </c>
      <c r="G932" s="90" t="s">
        <v>729</v>
      </c>
    </row>
    <row r="933" spans="2:7" ht="14.25" customHeight="1">
      <c r="B933" s="2" t="s">
        <v>105</v>
      </c>
      <c r="C933" s="90"/>
      <c r="D933" s="89"/>
      <c r="E933" s="89" t="s">
        <v>1862</v>
      </c>
      <c r="F933" s="89"/>
      <c r="G933" s="89"/>
    </row>
    <row r="934" spans="2:7" ht="14.25" customHeight="1">
      <c r="B934" s="2" t="s">
        <v>105</v>
      </c>
      <c r="C934" s="90"/>
      <c r="D934" s="89"/>
      <c r="E934" s="89" t="s">
        <v>1863</v>
      </c>
      <c r="F934" s="89"/>
      <c r="G934" s="89"/>
    </row>
    <row r="935" spans="2:7" ht="14.25" customHeight="1">
      <c r="B935" s="2" t="s">
        <v>105</v>
      </c>
      <c r="C935" s="90"/>
      <c r="D935" s="89"/>
      <c r="E935" s="89" t="s">
        <v>1864</v>
      </c>
      <c r="F935" s="89"/>
      <c r="G935" s="89"/>
    </row>
    <row r="936" spans="2:7" ht="14.25" customHeight="1">
      <c r="B936" s="2" t="s">
        <v>105</v>
      </c>
      <c r="C936" s="90"/>
      <c r="D936" s="89"/>
      <c r="E936" s="89" t="s">
        <v>1865</v>
      </c>
      <c r="F936" s="89"/>
      <c r="G936" s="89"/>
    </row>
    <row r="937" spans="2:7" ht="14.25" customHeight="1">
      <c r="B937" s="2" t="s">
        <v>105</v>
      </c>
      <c r="C937" s="90" t="s">
        <v>1857</v>
      </c>
      <c r="D937" s="90" t="s">
        <v>730</v>
      </c>
      <c r="E937" s="90" t="s">
        <v>730</v>
      </c>
      <c r="F937" s="90" t="s">
        <v>730</v>
      </c>
      <c r="G937" s="90" t="s">
        <v>730</v>
      </c>
    </row>
    <row r="938" spans="2:7" ht="14.25" customHeight="1">
      <c r="B938" s="2" t="s">
        <v>105</v>
      </c>
      <c r="C938" s="90"/>
      <c r="D938" s="89"/>
      <c r="E938" s="89" t="s">
        <v>1866</v>
      </c>
      <c r="F938" s="89"/>
      <c r="G938" s="89"/>
    </row>
    <row r="939" spans="2:7" ht="14.25" customHeight="1">
      <c r="B939" s="2" t="s">
        <v>105</v>
      </c>
      <c r="C939" s="90"/>
      <c r="D939" s="89"/>
      <c r="E939" s="89" t="s">
        <v>1867</v>
      </c>
      <c r="F939" s="89"/>
      <c r="G939" s="89"/>
    </row>
    <row r="940" spans="2:7" ht="14.25" customHeight="1">
      <c r="B940" s="2" t="s">
        <v>105</v>
      </c>
      <c r="C940" s="90"/>
      <c r="D940" s="89"/>
      <c r="E940" s="89" t="s">
        <v>1868</v>
      </c>
      <c r="F940" s="89"/>
      <c r="G940" s="89"/>
    </row>
    <row r="941" spans="2:7" ht="14.25" customHeight="1">
      <c r="B941" s="2" t="s">
        <v>105</v>
      </c>
      <c r="C941" s="90"/>
      <c r="D941" s="89"/>
      <c r="E941" s="89" t="s">
        <v>1869</v>
      </c>
      <c r="F941" s="89"/>
      <c r="G941" s="89"/>
    </row>
    <row r="942" spans="2:7" ht="14.25" customHeight="1">
      <c r="B942" s="2" t="s">
        <v>105</v>
      </c>
      <c r="C942" s="90" t="s">
        <v>1857</v>
      </c>
      <c r="D942" s="90" t="s">
        <v>731</v>
      </c>
      <c r="E942" s="90" t="s">
        <v>731</v>
      </c>
      <c r="F942" s="90" t="s">
        <v>731</v>
      </c>
      <c r="G942" s="90" t="s">
        <v>731</v>
      </c>
    </row>
    <row r="943" spans="2:7" ht="14.25" customHeight="1">
      <c r="B943" s="2" t="s">
        <v>105</v>
      </c>
      <c r="C943" s="90"/>
      <c r="D943" s="89"/>
      <c r="E943" s="89" t="s">
        <v>1870</v>
      </c>
      <c r="F943" s="89"/>
      <c r="G943" s="89"/>
    </row>
    <row r="944" spans="2:7" ht="14.25" customHeight="1">
      <c r="B944" s="2" t="s">
        <v>105</v>
      </c>
      <c r="C944" s="90"/>
      <c r="D944" s="89"/>
      <c r="E944" s="89" t="s">
        <v>1871</v>
      </c>
      <c r="F944" s="89"/>
      <c r="G944" s="89"/>
    </row>
    <row r="945" spans="2:7" ht="14.25" customHeight="1">
      <c r="B945" s="2" t="s">
        <v>105</v>
      </c>
      <c r="C945" s="90"/>
      <c r="D945" s="89"/>
      <c r="E945" s="89" t="s">
        <v>1872</v>
      </c>
      <c r="F945" s="89"/>
      <c r="G945" s="89"/>
    </row>
    <row r="946" spans="2:7" ht="14.25" customHeight="1">
      <c r="B946" s="2" t="s">
        <v>105</v>
      </c>
      <c r="C946" s="90"/>
      <c r="D946" s="89"/>
      <c r="E946" s="89" t="s">
        <v>1873</v>
      </c>
      <c r="F946" s="89"/>
      <c r="G946" s="89"/>
    </row>
    <row r="947" spans="2:7" ht="14.25" customHeight="1">
      <c r="B947" s="2" t="s">
        <v>105</v>
      </c>
      <c r="C947" s="90" t="s">
        <v>1857</v>
      </c>
      <c r="D947" s="90" t="s">
        <v>732</v>
      </c>
      <c r="E947" s="90" t="s">
        <v>732</v>
      </c>
      <c r="F947" s="90" t="s">
        <v>732</v>
      </c>
      <c r="G947" s="90" t="s">
        <v>732</v>
      </c>
    </row>
    <row r="948" spans="2:7" ht="14.25" customHeight="1">
      <c r="B948" s="2" t="s">
        <v>105</v>
      </c>
      <c r="C948" s="90"/>
      <c r="D948" s="89"/>
      <c r="E948" s="89" t="s">
        <v>1874</v>
      </c>
      <c r="F948" s="89"/>
      <c r="G948" s="89"/>
    </row>
    <row r="949" spans="2:7" ht="14.25" customHeight="1">
      <c r="B949" s="2" t="s">
        <v>105</v>
      </c>
      <c r="C949" s="90"/>
      <c r="D949" s="89"/>
      <c r="E949" s="89" t="s">
        <v>1875</v>
      </c>
      <c r="F949" s="89"/>
      <c r="G949" s="89"/>
    </row>
    <row r="950" spans="2:7" ht="14.25" customHeight="1">
      <c r="B950" s="2" t="s">
        <v>105</v>
      </c>
      <c r="C950" s="90"/>
      <c r="D950" s="89"/>
      <c r="E950" s="89" t="s">
        <v>1876</v>
      </c>
      <c r="F950" s="89"/>
      <c r="G950" s="89"/>
    </row>
    <row r="951" spans="2:7" ht="14.25" customHeight="1">
      <c r="B951" s="2" t="s">
        <v>105</v>
      </c>
      <c r="C951" s="90"/>
      <c r="D951" s="89"/>
      <c r="E951" s="89" t="s">
        <v>1877</v>
      </c>
      <c r="F951" s="89"/>
      <c r="G951" s="89"/>
    </row>
    <row r="952" spans="2:7" ht="14.25" customHeight="1">
      <c r="B952" s="2" t="s">
        <v>105</v>
      </c>
      <c r="C952" s="90" t="s">
        <v>1878</v>
      </c>
      <c r="D952" s="90" t="s">
        <v>733</v>
      </c>
      <c r="E952" s="90" t="s">
        <v>733</v>
      </c>
      <c r="F952" s="90" t="s">
        <v>733</v>
      </c>
      <c r="G952" s="90" t="s">
        <v>733</v>
      </c>
    </row>
    <row r="953" spans="2:7" ht="14.25" customHeight="1">
      <c r="B953" s="2" t="s">
        <v>105</v>
      </c>
      <c r="C953" s="90"/>
      <c r="D953" s="89"/>
      <c r="E953" s="89" t="s">
        <v>1879</v>
      </c>
      <c r="F953" s="89"/>
      <c r="G953" s="89"/>
    </row>
    <row r="954" spans="2:7" ht="14.25" customHeight="1">
      <c r="B954" s="2" t="s">
        <v>105</v>
      </c>
      <c r="C954" s="90"/>
      <c r="D954" s="89"/>
      <c r="E954" s="89" t="s">
        <v>1880</v>
      </c>
      <c r="F954" s="89"/>
      <c r="G954" s="89"/>
    </row>
    <row r="955" spans="2:7" ht="14.25" customHeight="1">
      <c r="B955" s="2" t="s">
        <v>105</v>
      </c>
      <c r="C955" s="90"/>
      <c r="D955" s="89"/>
      <c r="E955" s="89" t="s">
        <v>1881</v>
      </c>
      <c r="F955" s="89"/>
      <c r="G955" s="89"/>
    </row>
    <row r="956" spans="2:7" ht="14.25" customHeight="1">
      <c r="B956" s="2" t="s">
        <v>105</v>
      </c>
      <c r="C956" s="90"/>
      <c r="D956" s="89"/>
      <c r="E956" s="89" t="s">
        <v>1882</v>
      </c>
      <c r="F956" s="89"/>
      <c r="G956" s="89"/>
    </row>
    <row r="957" spans="2:7" ht="14.25" customHeight="1">
      <c r="B957" s="2" t="s">
        <v>105</v>
      </c>
      <c r="C957" s="90" t="s">
        <v>1878</v>
      </c>
      <c r="D957" s="90" t="s">
        <v>734</v>
      </c>
      <c r="E957" s="90" t="s">
        <v>734</v>
      </c>
      <c r="F957" s="90" t="s">
        <v>734</v>
      </c>
      <c r="G957" s="90" t="s">
        <v>734</v>
      </c>
    </row>
    <row r="958" spans="2:7" ht="14.25" customHeight="1">
      <c r="B958" s="2" t="s">
        <v>105</v>
      </c>
      <c r="C958" s="90"/>
      <c r="D958" s="89"/>
      <c r="E958" s="89" t="s">
        <v>1883</v>
      </c>
      <c r="F958" s="89"/>
      <c r="G958" s="89"/>
    </row>
    <row r="959" spans="2:7" ht="14.25" customHeight="1">
      <c r="B959" s="2" t="s">
        <v>105</v>
      </c>
      <c r="C959" s="90"/>
      <c r="D959" s="89"/>
      <c r="E959" s="89" t="s">
        <v>1884</v>
      </c>
      <c r="F959" s="89"/>
      <c r="G959" s="89"/>
    </row>
    <row r="960" spans="2:7" ht="14.25" customHeight="1">
      <c r="B960" s="2" t="s">
        <v>105</v>
      </c>
      <c r="C960" s="90"/>
      <c r="D960" s="89"/>
      <c r="E960" s="89" t="s">
        <v>1885</v>
      </c>
      <c r="F960" s="89"/>
      <c r="G960" s="89"/>
    </row>
    <row r="961" spans="2:7" ht="14.25" customHeight="1">
      <c r="B961" s="2" t="s">
        <v>105</v>
      </c>
      <c r="C961" s="90"/>
      <c r="D961" s="89"/>
      <c r="E961" s="89" t="s">
        <v>1886</v>
      </c>
      <c r="F961" s="89"/>
      <c r="G961" s="89"/>
    </row>
    <row r="962" spans="2:7" ht="14.25" customHeight="1">
      <c r="B962" s="2" t="s">
        <v>105</v>
      </c>
      <c r="C962" s="90" t="s">
        <v>1878</v>
      </c>
      <c r="D962" s="90" t="s">
        <v>735</v>
      </c>
      <c r="E962" s="90" t="s">
        <v>735</v>
      </c>
      <c r="F962" s="90" t="s">
        <v>735</v>
      </c>
      <c r="G962" s="90" t="s">
        <v>735</v>
      </c>
    </row>
    <row r="963" spans="2:7" ht="14.25" customHeight="1">
      <c r="B963" s="2" t="s">
        <v>105</v>
      </c>
      <c r="C963" s="90"/>
      <c r="D963" s="89"/>
      <c r="E963" s="89" t="s">
        <v>1887</v>
      </c>
      <c r="F963" s="89"/>
      <c r="G963" s="89"/>
    </row>
    <row r="964" spans="2:7" ht="14.25" customHeight="1">
      <c r="B964" s="2" t="s">
        <v>105</v>
      </c>
      <c r="C964" s="90"/>
      <c r="D964" s="89"/>
      <c r="E964" s="89" t="s">
        <v>1888</v>
      </c>
      <c r="F964" s="89"/>
      <c r="G964" s="89"/>
    </row>
    <row r="965" spans="2:7" ht="14.25" customHeight="1">
      <c r="B965" s="2" t="s">
        <v>105</v>
      </c>
      <c r="C965" s="90"/>
      <c r="D965" s="89"/>
      <c r="E965" s="89" t="s">
        <v>1889</v>
      </c>
      <c r="F965" s="89"/>
      <c r="G965" s="89"/>
    </row>
    <row r="966" spans="2:7" ht="14.25" customHeight="1">
      <c r="B966" s="2" t="s">
        <v>105</v>
      </c>
      <c r="C966" s="90"/>
      <c r="D966" s="89"/>
      <c r="E966" s="89" t="s">
        <v>1890</v>
      </c>
      <c r="F966" s="89"/>
      <c r="G966" s="89"/>
    </row>
    <row r="967" spans="2:7" ht="14.25" customHeight="1">
      <c r="B967" s="2" t="s">
        <v>105</v>
      </c>
      <c r="C967" s="90" t="s">
        <v>1878</v>
      </c>
      <c r="D967" s="90" t="s">
        <v>736</v>
      </c>
      <c r="E967" s="90" t="s">
        <v>736</v>
      </c>
      <c r="F967" s="90" t="s">
        <v>736</v>
      </c>
      <c r="G967" s="90" t="s">
        <v>736</v>
      </c>
    </row>
    <row r="968" spans="2:7" ht="14.25" customHeight="1">
      <c r="B968" s="2" t="s">
        <v>105</v>
      </c>
      <c r="C968" s="90"/>
      <c r="D968" s="89"/>
      <c r="E968" s="89" t="s">
        <v>1891</v>
      </c>
      <c r="F968" s="89"/>
      <c r="G968" s="89"/>
    </row>
    <row r="969" spans="2:7" ht="14.25" customHeight="1">
      <c r="B969" s="2" t="s">
        <v>105</v>
      </c>
      <c r="C969" s="90"/>
      <c r="D969" s="89"/>
      <c r="E969" s="89" t="s">
        <v>1892</v>
      </c>
      <c r="F969" s="89"/>
      <c r="G969" s="89"/>
    </row>
    <row r="970" spans="2:7" ht="14.25" customHeight="1">
      <c r="B970" s="2" t="s">
        <v>105</v>
      </c>
      <c r="C970" s="90"/>
      <c r="D970" s="89"/>
      <c r="E970" s="89" t="s">
        <v>1893</v>
      </c>
      <c r="F970" s="89"/>
      <c r="G970" s="89"/>
    </row>
    <row r="971" spans="2:7" ht="14.25" customHeight="1">
      <c r="B971" s="2" t="s">
        <v>105</v>
      </c>
      <c r="C971" s="90"/>
      <c r="D971" s="89"/>
      <c r="E971" s="89" t="s">
        <v>1894</v>
      </c>
      <c r="F971" s="89"/>
      <c r="G971" s="89"/>
    </row>
    <row r="972" spans="2:7" ht="14.25" customHeight="1">
      <c r="B972" s="2" t="s">
        <v>105</v>
      </c>
      <c r="C972" s="90" t="s">
        <v>1878</v>
      </c>
      <c r="D972" s="90" t="s">
        <v>737</v>
      </c>
      <c r="E972" s="90" t="s">
        <v>737</v>
      </c>
      <c r="F972" s="90" t="s">
        <v>737</v>
      </c>
      <c r="G972" s="90" t="s">
        <v>737</v>
      </c>
    </row>
    <row r="973" spans="2:7" ht="14.25" customHeight="1">
      <c r="B973" s="2" t="s">
        <v>105</v>
      </c>
      <c r="C973" s="90"/>
      <c r="D973" s="89"/>
      <c r="E973" s="89" t="s">
        <v>1895</v>
      </c>
      <c r="F973" s="89"/>
      <c r="G973" s="89"/>
    </row>
    <row r="974" spans="2:7" ht="14.25" customHeight="1">
      <c r="B974" s="2" t="s">
        <v>105</v>
      </c>
      <c r="C974" s="90"/>
      <c r="D974" s="89"/>
      <c r="E974" s="89" t="s">
        <v>1896</v>
      </c>
      <c r="F974" s="89"/>
      <c r="G974" s="89"/>
    </row>
    <row r="975" spans="2:7" ht="14.25" customHeight="1">
      <c r="B975" s="2" t="s">
        <v>105</v>
      </c>
      <c r="C975" s="90"/>
      <c r="D975" s="89"/>
      <c r="E975" s="89" t="s">
        <v>1897</v>
      </c>
      <c r="F975" s="89"/>
      <c r="G975" s="89"/>
    </row>
    <row r="976" spans="2:7" ht="14.25" customHeight="1">
      <c r="B976" s="2" t="s">
        <v>105</v>
      </c>
      <c r="C976" s="90"/>
      <c r="D976" s="89"/>
      <c r="E976" s="89" t="s">
        <v>1898</v>
      </c>
      <c r="F976" s="89"/>
      <c r="G976" s="89"/>
    </row>
    <row r="977" spans="2:7" ht="14.25" customHeight="1">
      <c r="B977" s="2" t="s">
        <v>105</v>
      </c>
      <c r="C977" s="90" t="s">
        <v>1899</v>
      </c>
      <c r="D977" s="90" t="s">
        <v>738</v>
      </c>
      <c r="E977" s="90" t="s">
        <v>738</v>
      </c>
      <c r="F977" s="90" t="s">
        <v>738</v>
      </c>
      <c r="G977" s="90" t="s">
        <v>738</v>
      </c>
    </row>
    <row r="978" spans="2:7" ht="14.25" customHeight="1">
      <c r="B978" s="2" t="s">
        <v>105</v>
      </c>
      <c r="C978" s="90"/>
      <c r="D978" s="89"/>
      <c r="E978" s="89" t="s">
        <v>1900</v>
      </c>
      <c r="F978" s="89"/>
      <c r="G978" s="89"/>
    </row>
    <row r="979" spans="2:7" ht="14.25" customHeight="1">
      <c r="B979" s="2" t="s">
        <v>105</v>
      </c>
      <c r="C979" s="90"/>
      <c r="D979" s="89"/>
      <c r="E979" s="89" t="s">
        <v>1901</v>
      </c>
      <c r="F979" s="89"/>
      <c r="G979" s="89"/>
    </row>
    <row r="980" spans="2:7" ht="14.25" customHeight="1">
      <c r="B980" s="2" t="s">
        <v>105</v>
      </c>
      <c r="C980" s="90"/>
      <c r="D980" s="89"/>
      <c r="E980" s="89" t="s">
        <v>1902</v>
      </c>
      <c r="F980" s="89"/>
      <c r="G980" s="89"/>
    </row>
    <row r="981" spans="2:7" ht="14.25" customHeight="1">
      <c r="B981" s="2" t="s">
        <v>105</v>
      </c>
      <c r="C981" s="90"/>
      <c r="D981" s="89"/>
      <c r="E981" s="89" t="s">
        <v>1903</v>
      </c>
      <c r="F981" s="89"/>
      <c r="G981" s="89"/>
    </row>
    <row r="982" spans="2:7" ht="14.25" customHeight="1">
      <c r="B982" s="2" t="s">
        <v>105</v>
      </c>
      <c r="C982" s="90" t="s">
        <v>1899</v>
      </c>
      <c r="D982" s="90" t="s">
        <v>739</v>
      </c>
      <c r="E982" s="90" t="s">
        <v>739</v>
      </c>
      <c r="F982" s="90" t="s">
        <v>739</v>
      </c>
      <c r="G982" s="90" t="s">
        <v>739</v>
      </c>
    </row>
    <row r="983" spans="2:7" ht="14.25" customHeight="1">
      <c r="B983" s="2" t="s">
        <v>105</v>
      </c>
      <c r="C983" s="90"/>
      <c r="D983" s="89"/>
      <c r="E983" s="89" t="s">
        <v>1904</v>
      </c>
      <c r="F983" s="89"/>
      <c r="G983" s="89"/>
    </row>
    <row r="984" spans="2:7" ht="14.25" customHeight="1">
      <c r="B984" s="2" t="s">
        <v>105</v>
      </c>
      <c r="C984" s="90"/>
      <c r="D984" s="89"/>
      <c r="E984" s="89" t="s">
        <v>1905</v>
      </c>
      <c r="F984" s="89"/>
      <c r="G984" s="89"/>
    </row>
    <row r="985" spans="2:7" ht="14.25" customHeight="1">
      <c r="B985" s="2" t="s">
        <v>105</v>
      </c>
      <c r="C985" s="90"/>
      <c r="D985" s="89"/>
      <c r="E985" s="89" t="s">
        <v>1906</v>
      </c>
      <c r="F985" s="89"/>
      <c r="G985" s="89"/>
    </row>
    <row r="986" spans="2:7" ht="14.25" customHeight="1">
      <c r="B986" s="2" t="s">
        <v>105</v>
      </c>
      <c r="C986" s="90"/>
      <c r="D986" s="89"/>
      <c r="E986" s="89" t="s">
        <v>1907</v>
      </c>
      <c r="F986" s="89"/>
      <c r="G986" s="89"/>
    </row>
    <row r="987" spans="2:7" ht="14.25" customHeight="1">
      <c r="B987" s="2" t="s">
        <v>105</v>
      </c>
      <c r="C987" s="90" t="s">
        <v>1899</v>
      </c>
      <c r="D987" s="90" t="s">
        <v>740</v>
      </c>
      <c r="E987" s="90" t="s">
        <v>740</v>
      </c>
      <c r="F987" s="90" t="s">
        <v>740</v>
      </c>
      <c r="G987" s="90" t="s">
        <v>740</v>
      </c>
    </row>
    <row r="988" spans="2:7" ht="14.25" customHeight="1">
      <c r="B988" s="2" t="s">
        <v>105</v>
      </c>
      <c r="C988" s="90"/>
      <c r="D988" s="89"/>
      <c r="E988" s="89" t="s">
        <v>1908</v>
      </c>
      <c r="F988" s="89"/>
      <c r="G988" s="89"/>
    </row>
    <row r="989" spans="2:7" ht="14.25" customHeight="1">
      <c r="B989" s="2" t="s">
        <v>105</v>
      </c>
      <c r="C989" s="90"/>
      <c r="D989" s="89"/>
      <c r="E989" s="89" t="s">
        <v>1909</v>
      </c>
      <c r="F989" s="89"/>
      <c r="G989" s="89"/>
    </row>
    <row r="990" spans="2:7" ht="14.25" customHeight="1">
      <c r="B990" s="2" t="s">
        <v>105</v>
      </c>
      <c r="C990" s="90"/>
      <c r="D990" s="89"/>
      <c r="E990" s="89" t="s">
        <v>1910</v>
      </c>
      <c r="F990" s="89"/>
      <c r="G990" s="89"/>
    </row>
    <row r="991" spans="2:7" ht="14.25" customHeight="1">
      <c r="B991" s="2" t="s">
        <v>105</v>
      </c>
      <c r="C991" s="90"/>
      <c r="D991" s="89"/>
      <c r="E991" s="89" t="s">
        <v>1911</v>
      </c>
      <c r="F991" s="89"/>
      <c r="G991" s="89"/>
    </row>
    <row r="992" spans="2:7" ht="14.25" customHeight="1">
      <c r="B992" s="2" t="s">
        <v>105</v>
      </c>
      <c r="C992" s="90" t="s">
        <v>1899</v>
      </c>
      <c r="D992" s="90" t="s">
        <v>741</v>
      </c>
      <c r="E992" s="90" t="s">
        <v>741</v>
      </c>
      <c r="F992" s="90" t="s">
        <v>741</v>
      </c>
      <c r="G992" s="90" t="s">
        <v>741</v>
      </c>
    </row>
    <row r="993" spans="2:7" ht="14.25" customHeight="1">
      <c r="B993" s="2" t="s">
        <v>105</v>
      </c>
      <c r="C993" s="90"/>
      <c r="D993" s="89"/>
      <c r="E993" s="89" t="s">
        <v>1912</v>
      </c>
      <c r="F993" s="89"/>
      <c r="G993" s="89"/>
    </row>
    <row r="994" spans="2:7" ht="14.25" customHeight="1">
      <c r="B994" s="2" t="s">
        <v>105</v>
      </c>
      <c r="C994" s="90"/>
      <c r="D994" s="89"/>
      <c r="E994" s="89" t="s">
        <v>1913</v>
      </c>
      <c r="F994" s="89"/>
      <c r="G994" s="89"/>
    </row>
    <row r="995" spans="2:7" ht="14.25" customHeight="1">
      <c r="B995" s="2" t="s">
        <v>105</v>
      </c>
      <c r="C995" s="90"/>
      <c r="D995" s="89"/>
      <c r="E995" s="89" t="s">
        <v>1914</v>
      </c>
      <c r="F995" s="89"/>
      <c r="G995" s="89"/>
    </row>
    <row r="996" spans="2:7" ht="14.25" customHeight="1">
      <c r="B996" s="2" t="s">
        <v>105</v>
      </c>
      <c r="C996" s="90"/>
      <c r="D996" s="89"/>
      <c r="E996" s="89" t="s">
        <v>1915</v>
      </c>
      <c r="F996" s="89"/>
      <c r="G996" s="89"/>
    </row>
    <row r="997" spans="2:7" ht="14.25" customHeight="1">
      <c r="B997" s="2" t="s">
        <v>105</v>
      </c>
      <c r="C997" s="90" t="s">
        <v>1916</v>
      </c>
      <c r="D997" s="90" t="s">
        <v>742</v>
      </c>
      <c r="E997" s="90" t="s">
        <v>742</v>
      </c>
      <c r="F997" s="90" t="s">
        <v>742</v>
      </c>
      <c r="G997" s="90" t="s">
        <v>742</v>
      </c>
    </row>
    <row r="998" spans="2:7" ht="14.25" customHeight="1">
      <c r="B998" s="2" t="s">
        <v>105</v>
      </c>
      <c r="C998" s="90"/>
      <c r="D998" s="89"/>
      <c r="E998" s="89" t="s">
        <v>1917</v>
      </c>
      <c r="F998" s="89"/>
      <c r="G998" s="89"/>
    </row>
    <row r="999" spans="2:7" ht="14.25" customHeight="1">
      <c r="B999" s="2" t="s">
        <v>105</v>
      </c>
      <c r="C999" s="90"/>
      <c r="D999" s="89"/>
      <c r="E999" s="89" t="s">
        <v>1918</v>
      </c>
      <c r="F999" s="89"/>
      <c r="G999" s="89"/>
    </row>
    <row r="1000" spans="2:7" ht="14.25" customHeight="1">
      <c r="B1000" s="2" t="s">
        <v>105</v>
      </c>
      <c r="C1000" s="90"/>
      <c r="D1000" s="89"/>
      <c r="E1000" s="89" t="s">
        <v>1919</v>
      </c>
      <c r="F1000" s="89"/>
      <c r="G1000" s="89"/>
    </row>
    <row r="1001" spans="2:7" ht="14.25" customHeight="1">
      <c r="B1001" s="2" t="s">
        <v>105</v>
      </c>
      <c r="C1001" s="90"/>
      <c r="D1001" s="89"/>
      <c r="E1001" s="89" t="s">
        <v>1920</v>
      </c>
      <c r="F1001" s="89"/>
      <c r="G1001" s="89"/>
    </row>
    <row r="1002" spans="2:7" ht="14.25" customHeight="1">
      <c r="B1002" s="2" t="s">
        <v>105</v>
      </c>
      <c r="C1002" s="90" t="s">
        <v>1916</v>
      </c>
      <c r="D1002" s="90" t="s">
        <v>743</v>
      </c>
      <c r="E1002" s="90" t="s">
        <v>743</v>
      </c>
      <c r="F1002" s="90" t="s">
        <v>743</v>
      </c>
      <c r="G1002" s="90" t="s">
        <v>743</v>
      </c>
    </row>
    <row r="1003" spans="2:7" ht="14.25" customHeight="1">
      <c r="B1003" s="2" t="s">
        <v>105</v>
      </c>
      <c r="C1003" s="90"/>
      <c r="D1003" s="89"/>
      <c r="E1003" s="89" t="s">
        <v>1921</v>
      </c>
      <c r="F1003" s="89"/>
      <c r="G1003" s="89"/>
    </row>
    <row r="1004" spans="2:7" ht="14.25" customHeight="1">
      <c r="B1004" s="2" t="s">
        <v>105</v>
      </c>
      <c r="C1004" s="90"/>
      <c r="D1004" s="89"/>
      <c r="E1004" s="89" t="s">
        <v>1922</v>
      </c>
      <c r="F1004" s="89"/>
      <c r="G1004" s="89"/>
    </row>
    <row r="1005" spans="2:7" ht="14.25" customHeight="1">
      <c r="B1005" s="2" t="s">
        <v>105</v>
      </c>
      <c r="C1005" s="90"/>
      <c r="D1005" s="89"/>
      <c r="E1005" s="89" t="s">
        <v>1923</v>
      </c>
      <c r="F1005" s="89"/>
      <c r="G1005" s="89"/>
    </row>
    <row r="1006" spans="2:7" ht="14.25" customHeight="1">
      <c r="B1006" s="2" t="s">
        <v>105</v>
      </c>
      <c r="C1006" s="90"/>
      <c r="D1006" s="89"/>
      <c r="E1006" s="89" t="s">
        <v>1924</v>
      </c>
      <c r="F1006" s="89"/>
      <c r="G1006" s="89"/>
    </row>
    <row r="1007" spans="2:7" ht="14.25" customHeight="1">
      <c r="B1007" s="2" t="s">
        <v>105</v>
      </c>
      <c r="C1007" s="90" t="s">
        <v>1916</v>
      </c>
      <c r="D1007" s="90" t="s">
        <v>744</v>
      </c>
      <c r="E1007" s="90" t="s">
        <v>744</v>
      </c>
      <c r="F1007" s="90" t="s">
        <v>744</v>
      </c>
      <c r="G1007" s="90" t="s">
        <v>744</v>
      </c>
    </row>
    <row r="1008" spans="2:7" ht="14.25" customHeight="1">
      <c r="B1008" s="2" t="s">
        <v>105</v>
      </c>
      <c r="C1008" s="90"/>
      <c r="D1008" s="89"/>
      <c r="E1008" s="89" t="s">
        <v>1925</v>
      </c>
      <c r="F1008" s="89"/>
      <c r="G1008" s="89"/>
    </row>
    <row r="1009" spans="2:7" ht="14.25" customHeight="1">
      <c r="B1009" s="2" t="s">
        <v>105</v>
      </c>
      <c r="C1009" s="90"/>
      <c r="D1009" s="89"/>
      <c r="E1009" s="89" t="s">
        <v>1926</v>
      </c>
      <c r="F1009" s="89"/>
      <c r="G1009" s="89"/>
    </row>
    <row r="1010" spans="2:7" ht="14.25" customHeight="1">
      <c r="B1010" s="2" t="s">
        <v>105</v>
      </c>
      <c r="C1010" s="90"/>
      <c r="D1010" s="89"/>
      <c r="E1010" s="89" t="s">
        <v>1927</v>
      </c>
      <c r="F1010" s="89"/>
      <c r="G1010" s="89"/>
    </row>
    <row r="1011" spans="2:7" ht="14.25" customHeight="1">
      <c r="B1011" s="2" t="s">
        <v>105</v>
      </c>
      <c r="C1011" s="90"/>
      <c r="D1011" s="89"/>
      <c r="E1011" s="89" t="s">
        <v>1928</v>
      </c>
      <c r="F1011" s="89"/>
      <c r="G1011" s="89"/>
    </row>
    <row r="1012" spans="2:7" ht="14.25" customHeight="1">
      <c r="B1012" s="2" t="s">
        <v>105</v>
      </c>
      <c r="C1012" s="90" t="s">
        <v>1929</v>
      </c>
      <c r="D1012" s="90" t="s">
        <v>745</v>
      </c>
      <c r="E1012" s="90" t="s">
        <v>745</v>
      </c>
      <c r="F1012" s="90" t="s">
        <v>745</v>
      </c>
      <c r="G1012" s="90" t="s">
        <v>745</v>
      </c>
    </row>
    <row r="1013" spans="2:7" ht="14.25" customHeight="1">
      <c r="B1013" s="2" t="s">
        <v>105</v>
      </c>
      <c r="C1013" s="90"/>
      <c r="D1013" s="89" t="str">
        <f t="shared" ref="D1013:D1014" si="4">E1013</f>
        <v>PL35-1</v>
      </c>
      <c r="E1013" s="89" t="s">
        <v>1930</v>
      </c>
      <c r="F1013" s="89"/>
      <c r="G1013" s="89"/>
    </row>
    <row r="1014" spans="2:7" ht="14.25" customHeight="1">
      <c r="B1014" s="2" t="s">
        <v>105</v>
      </c>
      <c r="C1014" s="90"/>
      <c r="D1014" s="89" t="str">
        <f t="shared" si="4"/>
        <v>PL35-2</v>
      </c>
      <c r="E1014" s="89" t="s">
        <v>1931</v>
      </c>
      <c r="F1014" s="89"/>
      <c r="G1014" s="89"/>
    </row>
    <row r="1015" spans="2:7" ht="14.25" customHeight="1">
      <c r="B1015" s="2" t="s">
        <v>105</v>
      </c>
      <c r="C1015" s="90"/>
      <c r="D1015" s="89"/>
      <c r="E1015" s="89" t="s">
        <v>1932</v>
      </c>
      <c r="F1015" s="89"/>
      <c r="G1015" s="89"/>
    </row>
    <row r="1016" spans="2:7" ht="14.25" customHeight="1">
      <c r="B1016" s="2" t="s">
        <v>105</v>
      </c>
      <c r="C1016" s="90"/>
      <c r="D1016" s="89"/>
      <c r="E1016" s="89" t="s">
        <v>1933</v>
      </c>
      <c r="F1016" s="89"/>
      <c r="G1016" s="89"/>
    </row>
    <row r="1017" spans="2:7" ht="14.25" customHeight="1">
      <c r="B1017" s="2" t="s">
        <v>105</v>
      </c>
      <c r="C1017" s="90"/>
      <c r="D1017" s="89"/>
      <c r="E1017" s="89" t="s">
        <v>1934</v>
      </c>
      <c r="F1017" s="89"/>
      <c r="G1017" s="89"/>
    </row>
    <row r="1018" spans="2:7" ht="14.25" customHeight="1">
      <c r="B1018" s="2" t="s">
        <v>105</v>
      </c>
      <c r="C1018" s="90"/>
      <c r="D1018" s="89"/>
      <c r="E1018" s="89" t="s">
        <v>1935</v>
      </c>
      <c r="F1018" s="89"/>
      <c r="G1018" s="89"/>
    </row>
    <row r="1019" spans="2:7" ht="14.25" customHeight="1">
      <c r="B1019" s="2" t="s">
        <v>105</v>
      </c>
      <c r="C1019" s="90" t="s">
        <v>1936</v>
      </c>
      <c r="D1019" s="90" t="s">
        <v>748</v>
      </c>
      <c r="E1019" s="90" t="s">
        <v>748</v>
      </c>
      <c r="F1019" s="90" t="s">
        <v>748</v>
      </c>
      <c r="G1019" s="90" t="s">
        <v>748</v>
      </c>
    </row>
    <row r="1020" spans="2:7" ht="14.25" customHeight="1">
      <c r="B1020" s="2" t="s">
        <v>105</v>
      </c>
      <c r="C1020" s="90"/>
      <c r="D1020" s="89" t="str">
        <f t="shared" ref="D1020:D1021" si="5">E1020</f>
        <v>PL36-1</v>
      </c>
      <c r="E1020" s="89" t="s">
        <v>1937</v>
      </c>
      <c r="F1020" s="89"/>
      <c r="G1020" s="89"/>
    </row>
    <row r="1021" spans="2:7" ht="14.25" customHeight="1">
      <c r="B1021" s="2" t="s">
        <v>105</v>
      </c>
      <c r="C1021" s="90"/>
      <c r="D1021" s="89" t="str">
        <f t="shared" si="5"/>
        <v>PL36-2</v>
      </c>
      <c r="E1021" s="89" t="s">
        <v>1938</v>
      </c>
      <c r="F1021" s="89"/>
      <c r="G1021" s="89"/>
    </row>
    <row r="1022" spans="2:7" ht="14.25" customHeight="1">
      <c r="B1022" s="2" t="s">
        <v>105</v>
      </c>
      <c r="C1022" s="90"/>
      <c r="D1022" s="89"/>
      <c r="E1022" s="89" t="s">
        <v>1939</v>
      </c>
      <c r="F1022" s="89"/>
      <c r="G1022" s="89"/>
    </row>
    <row r="1023" spans="2:7" ht="14.25" customHeight="1">
      <c r="B1023" s="2" t="s">
        <v>105</v>
      </c>
      <c r="C1023" s="90"/>
      <c r="D1023" s="89"/>
      <c r="E1023" s="89" t="s">
        <v>1940</v>
      </c>
      <c r="F1023" s="89"/>
      <c r="G1023" s="89"/>
    </row>
    <row r="1024" spans="2:7" ht="14.25" customHeight="1">
      <c r="B1024" s="2" t="s">
        <v>105</v>
      </c>
      <c r="C1024" s="90"/>
      <c r="D1024" s="89"/>
      <c r="E1024" s="89" t="s">
        <v>1941</v>
      </c>
      <c r="F1024" s="89"/>
      <c r="G1024" s="89"/>
    </row>
    <row r="1025" spans="2:7" ht="14.25" customHeight="1">
      <c r="B1025" s="2" t="s">
        <v>105</v>
      </c>
      <c r="C1025" s="90"/>
      <c r="D1025" s="89"/>
      <c r="E1025" s="89" t="s">
        <v>1942</v>
      </c>
      <c r="F1025" s="89"/>
      <c r="G1025" s="89"/>
    </row>
    <row r="1026" spans="2:7" ht="14.25" customHeight="1">
      <c r="B1026" s="2" t="s">
        <v>105</v>
      </c>
      <c r="C1026" s="90" t="s">
        <v>1943</v>
      </c>
      <c r="D1026" s="90" t="s">
        <v>749</v>
      </c>
      <c r="E1026" s="90" t="s">
        <v>749</v>
      </c>
      <c r="F1026" s="90" t="s">
        <v>749</v>
      </c>
      <c r="G1026" s="90" t="s">
        <v>749</v>
      </c>
    </row>
    <row r="1027" spans="2:7" ht="14.25" customHeight="1">
      <c r="B1027" s="2" t="s">
        <v>105</v>
      </c>
      <c r="C1027" s="90"/>
      <c r="D1027" s="89"/>
      <c r="E1027" s="89" t="s">
        <v>1944</v>
      </c>
      <c r="F1027" s="89"/>
      <c r="G1027" s="89"/>
    </row>
    <row r="1028" spans="2:7" ht="14.25" customHeight="1">
      <c r="B1028" s="2" t="s">
        <v>105</v>
      </c>
      <c r="C1028" s="90"/>
      <c r="D1028" s="89"/>
      <c r="E1028" s="89" t="s">
        <v>1945</v>
      </c>
      <c r="F1028" s="89"/>
      <c r="G1028" s="89"/>
    </row>
    <row r="1029" spans="2:7" ht="14.25" customHeight="1">
      <c r="B1029" s="2" t="s">
        <v>105</v>
      </c>
      <c r="C1029" s="90"/>
      <c r="D1029" s="89"/>
      <c r="E1029" s="89" t="s">
        <v>1946</v>
      </c>
      <c r="F1029" s="89"/>
      <c r="G1029" s="89"/>
    </row>
    <row r="1030" spans="2:7" ht="14.25" customHeight="1">
      <c r="B1030" s="2" t="s">
        <v>105</v>
      </c>
      <c r="C1030" s="90"/>
      <c r="D1030" s="89"/>
      <c r="E1030" s="89" t="s">
        <v>1947</v>
      </c>
      <c r="F1030" s="89"/>
      <c r="G1030" s="89"/>
    </row>
    <row r="1031" spans="2:7" ht="14.25" customHeight="1">
      <c r="B1031" s="2" t="s">
        <v>105</v>
      </c>
      <c r="C1031" s="90" t="s">
        <v>1943</v>
      </c>
      <c r="D1031" s="90" t="s">
        <v>750</v>
      </c>
      <c r="E1031" s="90" t="s">
        <v>750</v>
      </c>
      <c r="F1031" s="90" t="s">
        <v>750</v>
      </c>
      <c r="G1031" s="90" t="s">
        <v>750</v>
      </c>
    </row>
    <row r="1032" spans="2:7" ht="14.25" customHeight="1">
      <c r="B1032" s="2" t="s">
        <v>105</v>
      </c>
      <c r="C1032" s="90"/>
      <c r="D1032" s="89"/>
      <c r="E1032" s="89" t="s">
        <v>1948</v>
      </c>
      <c r="F1032" s="89"/>
      <c r="G1032" s="89"/>
    </row>
    <row r="1033" spans="2:7" ht="14.25" customHeight="1">
      <c r="B1033" s="2" t="s">
        <v>105</v>
      </c>
      <c r="C1033" s="90"/>
      <c r="D1033" s="89"/>
      <c r="E1033" s="89" t="s">
        <v>1949</v>
      </c>
      <c r="F1033" s="89"/>
      <c r="G1033" s="89"/>
    </row>
    <row r="1034" spans="2:7" ht="14.25" customHeight="1">
      <c r="B1034" s="2" t="s">
        <v>105</v>
      </c>
      <c r="C1034" s="90"/>
      <c r="D1034" s="89"/>
      <c r="E1034" s="89" t="s">
        <v>1950</v>
      </c>
      <c r="F1034" s="89"/>
      <c r="G1034" s="89"/>
    </row>
    <row r="1035" spans="2:7" ht="14.25" customHeight="1">
      <c r="B1035" s="2" t="s">
        <v>105</v>
      </c>
      <c r="C1035" s="90"/>
      <c r="D1035" s="89"/>
      <c r="E1035" s="89" t="s">
        <v>1951</v>
      </c>
      <c r="F1035" s="89"/>
      <c r="G1035" s="89"/>
    </row>
    <row r="1036" spans="2:7" ht="14.25" customHeight="1">
      <c r="B1036" s="2" t="s">
        <v>105</v>
      </c>
      <c r="C1036" s="90" t="s">
        <v>1943</v>
      </c>
      <c r="D1036" s="90" t="s">
        <v>751</v>
      </c>
      <c r="E1036" s="90" t="s">
        <v>751</v>
      </c>
      <c r="F1036" s="90" t="s">
        <v>751</v>
      </c>
      <c r="G1036" s="90" t="s">
        <v>751</v>
      </c>
    </row>
    <row r="1037" spans="2:7" ht="14.25" customHeight="1">
      <c r="B1037" s="2" t="s">
        <v>105</v>
      </c>
      <c r="C1037" s="90"/>
      <c r="D1037" s="89"/>
      <c r="E1037" s="89" t="s">
        <v>1952</v>
      </c>
      <c r="F1037" s="89"/>
      <c r="G1037" s="89"/>
    </row>
    <row r="1038" spans="2:7" ht="14.25" customHeight="1">
      <c r="B1038" s="2" t="s">
        <v>105</v>
      </c>
      <c r="C1038" s="90"/>
      <c r="D1038" s="89"/>
      <c r="E1038" s="89" t="s">
        <v>1953</v>
      </c>
      <c r="F1038" s="89"/>
      <c r="G1038" s="89"/>
    </row>
    <row r="1039" spans="2:7" ht="14.25" customHeight="1">
      <c r="B1039" s="2" t="s">
        <v>105</v>
      </c>
      <c r="C1039" s="90"/>
      <c r="D1039" s="89"/>
      <c r="E1039" s="89" t="s">
        <v>1954</v>
      </c>
      <c r="F1039" s="89"/>
      <c r="G1039" s="89"/>
    </row>
    <row r="1040" spans="2:7" ht="14.25" customHeight="1">
      <c r="B1040" s="2" t="s">
        <v>105</v>
      </c>
      <c r="C1040" s="90"/>
      <c r="D1040" s="89"/>
      <c r="E1040" s="89" t="s">
        <v>1955</v>
      </c>
      <c r="F1040" s="89"/>
      <c r="G1040" s="89"/>
    </row>
    <row r="1041" spans="2:7" ht="14.25" customHeight="1">
      <c r="B1041" s="2" t="s">
        <v>105</v>
      </c>
      <c r="C1041" s="90" t="s">
        <v>1943</v>
      </c>
      <c r="D1041" s="90" t="s">
        <v>752</v>
      </c>
      <c r="E1041" s="90" t="s">
        <v>752</v>
      </c>
      <c r="F1041" s="90" t="s">
        <v>752</v>
      </c>
      <c r="G1041" s="90" t="s">
        <v>752</v>
      </c>
    </row>
    <row r="1042" spans="2:7" ht="14.25" customHeight="1">
      <c r="B1042" s="2" t="s">
        <v>105</v>
      </c>
      <c r="C1042" s="90"/>
      <c r="D1042" s="89"/>
      <c r="E1042" s="89" t="s">
        <v>1956</v>
      </c>
      <c r="F1042" s="89"/>
      <c r="G1042" s="89"/>
    </row>
    <row r="1043" spans="2:7" ht="14.25" customHeight="1">
      <c r="B1043" s="2" t="s">
        <v>105</v>
      </c>
      <c r="C1043" s="90"/>
      <c r="D1043" s="89"/>
      <c r="E1043" s="89" t="s">
        <v>1957</v>
      </c>
      <c r="F1043" s="89"/>
      <c r="G1043" s="89"/>
    </row>
    <row r="1044" spans="2:7" ht="14.25" customHeight="1">
      <c r="B1044" s="2" t="s">
        <v>105</v>
      </c>
      <c r="C1044" s="90"/>
      <c r="D1044" s="89"/>
      <c r="E1044" s="89" t="s">
        <v>1958</v>
      </c>
      <c r="F1044" s="89"/>
      <c r="G1044" s="89"/>
    </row>
    <row r="1045" spans="2:7" ht="14.25" customHeight="1">
      <c r="B1045" s="2" t="s">
        <v>105</v>
      </c>
      <c r="C1045" s="90"/>
      <c r="D1045" s="89"/>
      <c r="E1045" s="89" t="s">
        <v>1959</v>
      </c>
      <c r="F1045" s="89"/>
      <c r="G1045" s="89"/>
    </row>
    <row r="1046" spans="2:7" ht="14.25" customHeight="1">
      <c r="B1046" s="2" t="s">
        <v>105</v>
      </c>
      <c r="C1046" s="90" t="s">
        <v>1943</v>
      </c>
      <c r="D1046" s="90" t="s">
        <v>753</v>
      </c>
      <c r="E1046" s="90" t="s">
        <v>753</v>
      </c>
      <c r="F1046" s="90" t="s">
        <v>753</v>
      </c>
      <c r="G1046" s="90" t="s">
        <v>753</v>
      </c>
    </row>
    <row r="1047" spans="2:7" ht="14.25" customHeight="1">
      <c r="B1047" s="2" t="s">
        <v>105</v>
      </c>
      <c r="C1047" s="90"/>
      <c r="D1047" s="89"/>
      <c r="E1047" s="89" t="s">
        <v>1960</v>
      </c>
      <c r="F1047" s="89"/>
      <c r="G1047" s="89"/>
    </row>
    <row r="1048" spans="2:7" ht="14.25" customHeight="1">
      <c r="B1048" s="2" t="s">
        <v>105</v>
      </c>
      <c r="C1048" s="90"/>
      <c r="D1048" s="89"/>
      <c r="E1048" s="89" t="s">
        <v>1961</v>
      </c>
      <c r="F1048" s="89"/>
      <c r="G1048" s="89"/>
    </row>
    <row r="1049" spans="2:7" ht="14.25" customHeight="1">
      <c r="B1049" s="2" t="s">
        <v>105</v>
      </c>
      <c r="C1049" s="90"/>
      <c r="D1049" s="89"/>
      <c r="E1049" s="89" t="s">
        <v>1962</v>
      </c>
      <c r="F1049" s="89"/>
      <c r="G1049" s="89"/>
    </row>
    <row r="1050" spans="2:7" ht="14.25" customHeight="1">
      <c r="B1050" s="2" t="s">
        <v>105</v>
      </c>
      <c r="C1050" s="90"/>
      <c r="D1050" s="89"/>
      <c r="E1050" s="89" t="s">
        <v>1963</v>
      </c>
      <c r="F1050" s="89"/>
      <c r="G1050" s="89"/>
    </row>
    <row r="1051" spans="2:7" ht="14.25" customHeight="1">
      <c r="B1051" s="2" t="s">
        <v>105</v>
      </c>
      <c r="C1051" s="90" t="s">
        <v>1964</v>
      </c>
      <c r="D1051" s="90" t="s">
        <v>754</v>
      </c>
      <c r="E1051" s="90" t="s">
        <v>754</v>
      </c>
      <c r="F1051" s="90" t="s">
        <v>754</v>
      </c>
      <c r="G1051" s="90" t="s">
        <v>754</v>
      </c>
    </row>
    <row r="1052" spans="2:7" ht="14.25" customHeight="1">
      <c r="B1052" s="2" t="s">
        <v>105</v>
      </c>
      <c r="C1052" s="90"/>
      <c r="D1052" s="89"/>
      <c r="E1052" s="89" t="s">
        <v>1965</v>
      </c>
      <c r="F1052" s="89"/>
      <c r="G1052" s="89"/>
    </row>
    <row r="1053" spans="2:7" ht="14.25" customHeight="1">
      <c r="B1053" s="2" t="s">
        <v>105</v>
      </c>
      <c r="C1053" s="90"/>
      <c r="D1053" s="89"/>
      <c r="E1053" s="89" t="s">
        <v>1966</v>
      </c>
      <c r="F1053" s="89"/>
      <c r="G1053" s="89"/>
    </row>
    <row r="1054" spans="2:7" ht="14.25" customHeight="1">
      <c r="B1054" s="2" t="s">
        <v>105</v>
      </c>
      <c r="C1054" s="90"/>
      <c r="D1054" s="89"/>
      <c r="E1054" s="89" t="s">
        <v>1967</v>
      </c>
      <c r="F1054" s="89"/>
      <c r="G1054" s="89"/>
    </row>
    <row r="1055" spans="2:7" ht="14.25" customHeight="1">
      <c r="B1055" s="2" t="s">
        <v>105</v>
      </c>
      <c r="C1055" s="90"/>
      <c r="D1055" s="89"/>
      <c r="E1055" s="89" t="s">
        <v>1968</v>
      </c>
      <c r="F1055" s="89"/>
      <c r="G1055" s="89"/>
    </row>
    <row r="1056" spans="2:7" ht="14.25" customHeight="1">
      <c r="B1056" s="2" t="s">
        <v>105</v>
      </c>
      <c r="C1056" s="90" t="s">
        <v>1964</v>
      </c>
      <c r="D1056" s="90" t="s">
        <v>755</v>
      </c>
      <c r="E1056" s="90" t="s">
        <v>755</v>
      </c>
      <c r="F1056" s="90" t="s">
        <v>755</v>
      </c>
      <c r="G1056" s="90" t="s">
        <v>755</v>
      </c>
    </row>
    <row r="1057" spans="2:7" ht="14.25" customHeight="1">
      <c r="B1057" s="2" t="s">
        <v>105</v>
      </c>
      <c r="C1057" s="90"/>
      <c r="D1057" s="89"/>
      <c r="E1057" s="89" t="s">
        <v>1969</v>
      </c>
      <c r="F1057" s="89"/>
      <c r="G1057" s="89"/>
    </row>
    <row r="1058" spans="2:7" ht="14.25" customHeight="1">
      <c r="B1058" s="2" t="s">
        <v>105</v>
      </c>
      <c r="C1058" s="90"/>
      <c r="D1058" s="89"/>
      <c r="E1058" s="89" t="s">
        <v>1970</v>
      </c>
      <c r="F1058" s="89"/>
      <c r="G1058" s="89"/>
    </row>
    <row r="1059" spans="2:7" ht="14.25" customHeight="1">
      <c r="B1059" s="2" t="s">
        <v>105</v>
      </c>
      <c r="C1059" s="90"/>
      <c r="D1059" s="89"/>
      <c r="E1059" s="89" t="s">
        <v>1971</v>
      </c>
      <c r="F1059" s="89"/>
      <c r="G1059" s="89"/>
    </row>
    <row r="1060" spans="2:7" ht="14.25" customHeight="1">
      <c r="B1060" s="2" t="s">
        <v>105</v>
      </c>
      <c r="C1060" s="90"/>
      <c r="D1060" s="89"/>
      <c r="E1060" s="89" t="s">
        <v>1972</v>
      </c>
      <c r="F1060" s="89"/>
      <c r="G1060" s="89"/>
    </row>
    <row r="1061" spans="2:7" ht="14.25" customHeight="1">
      <c r="B1061" s="2" t="s">
        <v>105</v>
      </c>
      <c r="C1061" s="90" t="s">
        <v>1964</v>
      </c>
      <c r="D1061" s="90" t="s">
        <v>756</v>
      </c>
      <c r="E1061" s="90" t="s">
        <v>756</v>
      </c>
      <c r="F1061" s="90" t="s">
        <v>756</v>
      </c>
      <c r="G1061" s="90" t="s">
        <v>756</v>
      </c>
    </row>
    <row r="1062" spans="2:7" ht="14.25" customHeight="1">
      <c r="B1062" s="2" t="s">
        <v>105</v>
      </c>
      <c r="C1062" s="90"/>
      <c r="D1062" s="89"/>
      <c r="E1062" s="89" t="s">
        <v>1973</v>
      </c>
      <c r="F1062" s="89"/>
      <c r="G1062" s="89"/>
    </row>
    <row r="1063" spans="2:7" ht="14.25" customHeight="1">
      <c r="B1063" s="2" t="s">
        <v>105</v>
      </c>
      <c r="C1063" s="90"/>
      <c r="D1063" s="89"/>
      <c r="E1063" s="89" t="s">
        <v>1974</v>
      </c>
      <c r="F1063" s="89"/>
      <c r="G1063" s="89"/>
    </row>
    <row r="1064" spans="2:7" ht="14.25" customHeight="1">
      <c r="B1064" s="2" t="s">
        <v>105</v>
      </c>
      <c r="C1064" s="90"/>
      <c r="D1064" s="89"/>
      <c r="E1064" s="89" t="s">
        <v>1975</v>
      </c>
      <c r="F1064" s="89"/>
      <c r="G1064" s="89"/>
    </row>
    <row r="1065" spans="2:7" ht="14.25" customHeight="1">
      <c r="B1065" s="2" t="s">
        <v>105</v>
      </c>
      <c r="C1065" s="90"/>
      <c r="D1065" s="89"/>
      <c r="E1065" s="89" t="s">
        <v>1976</v>
      </c>
      <c r="F1065" s="89"/>
      <c r="G1065" s="89"/>
    </row>
    <row r="1066" spans="2:7" ht="14.25" customHeight="1">
      <c r="B1066" s="2" t="s">
        <v>105</v>
      </c>
      <c r="C1066" s="90" t="s">
        <v>1964</v>
      </c>
      <c r="D1066" s="90" t="s">
        <v>757</v>
      </c>
      <c r="E1066" s="90" t="s">
        <v>757</v>
      </c>
      <c r="F1066" s="90" t="s">
        <v>757</v>
      </c>
      <c r="G1066" s="90" t="s">
        <v>757</v>
      </c>
    </row>
    <row r="1067" spans="2:7" ht="14.25" customHeight="1">
      <c r="B1067" s="2" t="s">
        <v>105</v>
      </c>
      <c r="C1067" s="90"/>
      <c r="D1067" s="89"/>
      <c r="E1067" s="89" t="s">
        <v>1977</v>
      </c>
      <c r="F1067" s="89"/>
      <c r="G1067" s="89"/>
    </row>
    <row r="1068" spans="2:7" ht="14.25" customHeight="1">
      <c r="B1068" s="2" t="s">
        <v>105</v>
      </c>
      <c r="C1068" s="90"/>
      <c r="D1068" s="89"/>
      <c r="E1068" s="89" t="s">
        <v>1978</v>
      </c>
      <c r="F1068" s="89"/>
      <c r="G1068" s="89"/>
    </row>
    <row r="1069" spans="2:7" ht="14.25" customHeight="1">
      <c r="B1069" s="2" t="s">
        <v>105</v>
      </c>
      <c r="C1069" s="90"/>
      <c r="D1069" s="89"/>
      <c r="E1069" s="89" t="s">
        <v>1979</v>
      </c>
      <c r="F1069" s="89"/>
      <c r="G1069" s="89"/>
    </row>
    <row r="1070" spans="2:7" ht="14.25" customHeight="1">
      <c r="B1070" s="2" t="s">
        <v>105</v>
      </c>
      <c r="C1070" s="90"/>
      <c r="D1070" s="89"/>
      <c r="E1070" s="89" t="s">
        <v>1980</v>
      </c>
      <c r="F1070" s="89"/>
      <c r="G1070" s="89"/>
    </row>
    <row r="1071" spans="2:7" ht="14.25" customHeight="1">
      <c r="B1071" s="2" t="s">
        <v>105</v>
      </c>
      <c r="C1071" s="90" t="s">
        <v>1981</v>
      </c>
      <c r="D1071" s="90" t="s">
        <v>758</v>
      </c>
      <c r="E1071" s="90" t="s">
        <v>758</v>
      </c>
      <c r="F1071" s="90" t="s">
        <v>758</v>
      </c>
      <c r="G1071" s="90" t="s">
        <v>758</v>
      </c>
    </row>
    <row r="1072" spans="2:7" ht="14.25" customHeight="1">
      <c r="B1072" s="2" t="s">
        <v>105</v>
      </c>
      <c r="C1072" s="90"/>
      <c r="D1072" s="89"/>
      <c r="E1072" s="89" t="s">
        <v>1982</v>
      </c>
      <c r="F1072" s="89"/>
      <c r="G1072" s="89"/>
    </row>
    <row r="1073" spans="2:7" ht="14.25" customHeight="1">
      <c r="B1073" s="2" t="s">
        <v>105</v>
      </c>
      <c r="C1073" s="90"/>
      <c r="D1073" s="89"/>
      <c r="E1073" s="89" t="s">
        <v>1983</v>
      </c>
      <c r="F1073" s="89"/>
      <c r="G1073" s="89"/>
    </row>
    <row r="1074" spans="2:7" ht="14.25" customHeight="1">
      <c r="B1074" s="2" t="s">
        <v>105</v>
      </c>
      <c r="C1074" s="90"/>
      <c r="D1074" s="89"/>
      <c r="E1074" s="89" t="s">
        <v>1984</v>
      </c>
      <c r="F1074" s="89"/>
      <c r="G1074" s="89"/>
    </row>
    <row r="1075" spans="2:7" ht="14.25" customHeight="1">
      <c r="B1075" s="2" t="s">
        <v>105</v>
      </c>
      <c r="C1075" s="90"/>
      <c r="D1075" s="89"/>
      <c r="E1075" s="89" t="s">
        <v>1985</v>
      </c>
      <c r="F1075" s="89"/>
      <c r="G1075" s="89"/>
    </row>
    <row r="1076" spans="2:7" ht="14.25" customHeight="1">
      <c r="B1076" s="2" t="s">
        <v>105</v>
      </c>
      <c r="C1076" s="90" t="s">
        <v>1981</v>
      </c>
      <c r="D1076" s="90" t="s">
        <v>759</v>
      </c>
      <c r="E1076" s="90" t="s">
        <v>759</v>
      </c>
      <c r="F1076" s="90" t="s">
        <v>759</v>
      </c>
      <c r="G1076" s="90" t="s">
        <v>759</v>
      </c>
    </row>
    <row r="1077" spans="2:7" ht="14.25" customHeight="1">
      <c r="B1077" s="2" t="s">
        <v>105</v>
      </c>
      <c r="C1077" s="90"/>
      <c r="D1077" s="89"/>
      <c r="E1077" s="89" t="s">
        <v>1986</v>
      </c>
      <c r="F1077" s="89"/>
      <c r="G1077" s="89"/>
    </row>
    <row r="1078" spans="2:7" ht="14.25" customHeight="1">
      <c r="B1078" s="2" t="s">
        <v>105</v>
      </c>
      <c r="C1078" s="90"/>
      <c r="D1078" s="89"/>
      <c r="E1078" s="89" t="s">
        <v>1987</v>
      </c>
      <c r="F1078" s="89"/>
      <c r="G1078" s="89"/>
    </row>
    <row r="1079" spans="2:7" ht="14.25" customHeight="1">
      <c r="B1079" s="2" t="s">
        <v>105</v>
      </c>
      <c r="C1079" s="90"/>
      <c r="D1079" s="89"/>
      <c r="E1079" s="89" t="s">
        <v>1988</v>
      </c>
      <c r="F1079" s="89"/>
      <c r="G1079" s="89"/>
    </row>
    <row r="1080" spans="2:7" ht="14.25" customHeight="1">
      <c r="B1080" s="2" t="s">
        <v>105</v>
      </c>
      <c r="C1080" s="90"/>
      <c r="D1080" s="89"/>
      <c r="E1080" s="89" t="s">
        <v>1989</v>
      </c>
      <c r="F1080" s="89"/>
      <c r="G1080" s="89"/>
    </row>
    <row r="1081" spans="2:7" ht="14.25" customHeight="1">
      <c r="B1081" s="2" t="s">
        <v>105</v>
      </c>
      <c r="C1081" s="90" t="s">
        <v>1981</v>
      </c>
      <c r="D1081" s="90" t="s">
        <v>760</v>
      </c>
      <c r="E1081" s="90" t="s">
        <v>760</v>
      </c>
      <c r="F1081" s="90" t="s">
        <v>760</v>
      </c>
      <c r="G1081" s="90" t="s">
        <v>760</v>
      </c>
    </row>
    <row r="1082" spans="2:7" ht="14.25" customHeight="1">
      <c r="B1082" s="2" t="s">
        <v>105</v>
      </c>
      <c r="C1082" s="90"/>
      <c r="D1082" s="89"/>
      <c r="E1082" s="89" t="s">
        <v>1990</v>
      </c>
      <c r="F1082" s="89"/>
      <c r="G1082" s="89"/>
    </row>
    <row r="1083" spans="2:7" ht="14.25" customHeight="1">
      <c r="B1083" s="2" t="s">
        <v>105</v>
      </c>
      <c r="C1083" s="90"/>
      <c r="D1083" s="89"/>
      <c r="E1083" s="89" t="s">
        <v>1991</v>
      </c>
      <c r="F1083" s="89"/>
      <c r="G1083" s="89"/>
    </row>
    <row r="1084" spans="2:7" ht="14.25" customHeight="1">
      <c r="B1084" s="2" t="s">
        <v>105</v>
      </c>
      <c r="C1084" s="90"/>
      <c r="D1084" s="89"/>
      <c r="E1084" s="89" t="s">
        <v>1992</v>
      </c>
      <c r="F1084" s="89"/>
      <c r="G1084" s="89"/>
    </row>
    <row r="1085" spans="2:7" ht="14.25" customHeight="1">
      <c r="B1085" s="2" t="s">
        <v>105</v>
      </c>
      <c r="C1085" s="90"/>
      <c r="D1085" s="89"/>
      <c r="E1085" s="89" t="s">
        <v>1993</v>
      </c>
      <c r="F1085" s="89"/>
      <c r="G1085" s="89"/>
    </row>
    <row r="1086" spans="2:7" ht="14.25" customHeight="1">
      <c r="B1086" s="2" t="s">
        <v>105</v>
      </c>
      <c r="C1086" s="90" t="s">
        <v>1981</v>
      </c>
      <c r="D1086" s="90" t="s">
        <v>761</v>
      </c>
      <c r="E1086" s="90" t="s">
        <v>761</v>
      </c>
      <c r="F1086" s="90" t="s">
        <v>761</v>
      </c>
      <c r="G1086" s="90" t="s">
        <v>761</v>
      </c>
    </row>
    <row r="1087" spans="2:7" ht="14.25" customHeight="1">
      <c r="B1087" s="2" t="s">
        <v>105</v>
      </c>
      <c r="C1087" s="90"/>
      <c r="D1087" s="89"/>
      <c r="E1087" s="89" t="s">
        <v>1994</v>
      </c>
      <c r="F1087" s="89"/>
      <c r="G1087" s="89"/>
    </row>
    <row r="1088" spans="2:7" ht="14.25" customHeight="1">
      <c r="B1088" s="2" t="s">
        <v>105</v>
      </c>
      <c r="C1088" s="90"/>
      <c r="D1088" s="89"/>
      <c r="E1088" s="89" t="s">
        <v>1995</v>
      </c>
      <c r="F1088" s="89"/>
      <c r="G1088" s="89"/>
    </row>
    <row r="1089" spans="2:7" ht="14.25" customHeight="1">
      <c r="B1089" s="2" t="s">
        <v>105</v>
      </c>
      <c r="C1089" s="90"/>
      <c r="D1089" s="89"/>
      <c r="E1089" s="89" t="s">
        <v>1996</v>
      </c>
      <c r="F1089" s="89"/>
      <c r="G1089" s="89"/>
    </row>
    <row r="1090" spans="2:7" ht="14.25" customHeight="1">
      <c r="B1090" s="2" t="s">
        <v>105</v>
      </c>
      <c r="C1090" s="90"/>
      <c r="D1090" s="89"/>
      <c r="E1090" s="89" t="s">
        <v>1997</v>
      </c>
      <c r="F1090" s="89"/>
      <c r="G1090" s="89"/>
    </row>
    <row r="1091" spans="2:7" ht="14.25" customHeight="1">
      <c r="B1091" s="2" t="s">
        <v>105</v>
      </c>
      <c r="C1091" s="90" t="s">
        <v>1998</v>
      </c>
      <c r="D1091" s="90" t="s">
        <v>762</v>
      </c>
      <c r="E1091" s="90" t="s">
        <v>762</v>
      </c>
      <c r="F1091" s="90" t="s">
        <v>762</v>
      </c>
      <c r="G1091" s="90" t="s">
        <v>762</v>
      </c>
    </row>
    <row r="1092" spans="2:7" ht="14.25" customHeight="1">
      <c r="B1092" s="2" t="s">
        <v>105</v>
      </c>
      <c r="C1092" s="90"/>
      <c r="D1092" s="89"/>
      <c r="E1092" s="89" t="s">
        <v>1999</v>
      </c>
      <c r="F1092" s="89"/>
      <c r="G1092" s="89"/>
    </row>
    <row r="1093" spans="2:7" ht="14.25" customHeight="1">
      <c r="B1093" s="2" t="s">
        <v>105</v>
      </c>
      <c r="C1093" s="90"/>
      <c r="D1093" s="89"/>
      <c r="E1093" s="89" t="s">
        <v>2000</v>
      </c>
      <c r="F1093" s="89"/>
      <c r="G1093" s="89"/>
    </row>
    <row r="1094" spans="2:7" ht="14.25" customHeight="1">
      <c r="B1094" s="2" t="s">
        <v>105</v>
      </c>
      <c r="C1094" s="90"/>
      <c r="D1094" s="89"/>
      <c r="E1094" s="89" t="s">
        <v>2001</v>
      </c>
      <c r="F1094" s="89"/>
      <c r="G1094" s="89"/>
    </row>
    <row r="1095" spans="2:7" ht="14.25" customHeight="1">
      <c r="B1095" s="2" t="s">
        <v>105</v>
      </c>
      <c r="C1095" s="90"/>
      <c r="D1095" s="89"/>
      <c r="E1095" s="89" t="s">
        <v>2002</v>
      </c>
      <c r="F1095" s="89"/>
      <c r="G1095" s="89"/>
    </row>
    <row r="1096" spans="2:7" ht="14.25" customHeight="1">
      <c r="B1096" s="2" t="s">
        <v>105</v>
      </c>
      <c r="C1096" s="90" t="s">
        <v>1998</v>
      </c>
      <c r="D1096" s="90" t="s">
        <v>763</v>
      </c>
      <c r="E1096" s="90" t="s">
        <v>763</v>
      </c>
      <c r="F1096" s="90" t="s">
        <v>763</v>
      </c>
      <c r="G1096" s="90" t="s">
        <v>763</v>
      </c>
    </row>
    <row r="1097" spans="2:7" ht="14.25" customHeight="1">
      <c r="B1097" s="2" t="s">
        <v>105</v>
      </c>
      <c r="C1097" s="90"/>
      <c r="D1097" s="89"/>
      <c r="E1097" s="89" t="s">
        <v>2003</v>
      </c>
      <c r="F1097" s="89"/>
      <c r="G1097" s="89"/>
    </row>
    <row r="1098" spans="2:7" ht="14.25" customHeight="1">
      <c r="B1098" s="2" t="s">
        <v>105</v>
      </c>
      <c r="C1098" s="90"/>
      <c r="D1098" s="89"/>
      <c r="E1098" s="89" t="s">
        <v>2004</v>
      </c>
      <c r="F1098" s="89"/>
      <c r="G1098" s="89"/>
    </row>
    <row r="1099" spans="2:7" ht="14.25" customHeight="1">
      <c r="B1099" s="2" t="s">
        <v>105</v>
      </c>
      <c r="C1099" s="90"/>
      <c r="D1099" s="89"/>
      <c r="E1099" s="89" t="s">
        <v>2005</v>
      </c>
      <c r="F1099" s="89"/>
      <c r="G1099" s="89"/>
    </row>
    <row r="1100" spans="2:7" ht="14.25" customHeight="1">
      <c r="B1100" s="2" t="s">
        <v>105</v>
      </c>
      <c r="C1100" s="90"/>
      <c r="D1100" s="89"/>
      <c r="E1100" s="89" t="s">
        <v>2006</v>
      </c>
      <c r="F1100" s="89"/>
      <c r="G1100" s="89"/>
    </row>
    <row r="1101" spans="2:7" ht="14.25" customHeight="1">
      <c r="B1101" s="2" t="s">
        <v>105</v>
      </c>
      <c r="C1101" s="90" t="s">
        <v>1998</v>
      </c>
      <c r="D1101" s="90" t="s">
        <v>764</v>
      </c>
      <c r="E1101" s="90" t="s">
        <v>764</v>
      </c>
      <c r="F1101" s="90" t="s">
        <v>764</v>
      </c>
      <c r="G1101" s="90" t="s">
        <v>764</v>
      </c>
    </row>
    <row r="1102" spans="2:7" ht="14.25" customHeight="1">
      <c r="B1102" s="2" t="s">
        <v>105</v>
      </c>
      <c r="C1102" s="90"/>
      <c r="D1102" s="89"/>
      <c r="E1102" s="89" t="s">
        <v>2007</v>
      </c>
      <c r="F1102" s="89"/>
      <c r="G1102" s="89"/>
    </row>
    <row r="1103" spans="2:7" ht="14.25" customHeight="1">
      <c r="B1103" s="2" t="s">
        <v>105</v>
      </c>
      <c r="C1103" s="90"/>
      <c r="D1103" s="89"/>
      <c r="E1103" s="89" t="s">
        <v>2008</v>
      </c>
      <c r="F1103" s="89"/>
      <c r="G1103" s="89"/>
    </row>
    <row r="1104" spans="2:7" ht="14.25" customHeight="1">
      <c r="B1104" s="2" t="s">
        <v>105</v>
      </c>
      <c r="C1104" s="90"/>
      <c r="D1104" s="89"/>
      <c r="E1104" s="89" t="s">
        <v>2009</v>
      </c>
      <c r="F1104" s="89"/>
      <c r="G1104" s="89"/>
    </row>
    <row r="1105" spans="2:7" ht="14.25" customHeight="1">
      <c r="B1105" s="2" t="s">
        <v>105</v>
      </c>
      <c r="C1105" s="90"/>
      <c r="D1105" s="89"/>
      <c r="E1105" s="89" t="s">
        <v>2010</v>
      </c>
      <c r="F1105" s="89"/>
      <c r="G1105" s="89"/>
    </row>
    <row r="1106" spans="2:7" ht="14.25" customHeight="1">
      <c r="B1106" s="2" t="s">
        <v>105</v>
      </c>
      <c r="C1106" s="90" t="s">
        <v>1998</v>
      </c>
      <c r="D1106" s="90" t="s">
        <v>765</v>
      </c>
      <c r="E1106" s="90" t="s">
        <v>765</v>
      </c>
      <c r="F1106" s="90" t="s">
        <v>765</v>
      </c>
      <c r="G1106" s="90" t="s">
        <v>765</v>
      </c>
    </row>
    <row r="1107" spans="2:7" ht="14.25" customHeight="1">
      <c r="B1107" s="2" t="s">
        <v>105</v>
      </c>
      <c r="C1107" s="90"/>
      <c r="D1107" s="89"/>
      <c r="E1107" s="89" t="s">
        <v>2011</v>
      </c>
      <c r="F1107" s="89"/>
      <c r="G1107" s="89"/>
    </row>
    <row r="1108" spans="2:7" ht="14.25" customHeight="1">
      <c r="B1108" s="2" t="s">
        <v>105</v>
      </c>
      <c r="C1108" s="90"/>
      <c r="D1108" s="89"/>
      <c r="E1108" s="89" t="s">
        <v>2012</v>
      </c>
      <c r="F1108" s="89"/>
      <c r="G1108" s="89"/>
    </row>
    <row r="1109" spans="2:7" ht="14.25" customHeight="1">
      <c r="B1109" s="2" t="s">
        <v>105</v>
      </c>
      <c r="C1109" s="90"/>
      <c r="D1109" s="89"/>
      <c r="E1109" s="89" t="s">
        <v>2013</v>
      </c>
      <c r="F1109" s="89"/>
      <c r="G1109" s="89"/>
    </row>
    <row r="1110" spans="2:7" ht="14.25" customHeight="1">
      <c r="B1110" s="2" t="s">
        <v>105</v>
      </c>
      <c r="C1110" s="90"/>
      <c r="D1110" s="89"/>
      <c r="E1110" s="89" t="s">
        <v>2014</v>
      </c>
      <c r="F1110" s="89"/>
      <c r="G1110" s="89"/>
    </row>
    <row r="1111" spans="2:7" ht="14.25" customHeight="1">
      <c r="B1111" s="2" t="s">
        <v>105</v>
      </c>
      <c r="C1111" s="90" t="s">
        <v>2015</v>
      </c>
      <c r="D1111" s="90" t="s">
        <v>766</v>
      </c>
      <c r="E1111" s="90" t="s">
        <v>766</v>
      </c>
      <c r="F1111" s="90" t="s">
        <v>766</v>
      </c>
      <c r="G1111" s="90" t="s">
        <v>766</v>
      </c>
    </row>
    <row r="1112" spans="2:7" ht="14.25" customHeight="1">
      <c r="B1112" s="2" t="s">
        <v>105</v>
      </c>
      <c r="C1112" s="90"/>
      <c r="D1112" s="89"/>
      <c r="E1112" s="89" t="s">
        <v>2016</v>
      </c>
      <c r="F1112" s="89"/>
      <c r="G1112" s="89"/>
    </row>
    <row r="1113" spans="2:7" ht="14.25" customHeight="1">
      <c r="B1113" s="2" t="s">
        <v>105</v>
      </c>
      <c r="C1113" s="90"/>
      <c r="D1113" s="89"/>
      <c r="E1113" s="89" t="s">
        <v>2017</v>
      </c>
      <c r="F1113" s="89"/>
      <c r="G1113" s="89"/>
    </row>
    <row r="1114" spans="2:7" ht="14.25" customHeight="1">
      <c r="B1114" s="2" t="s">
        <v>105</v>
      </c>
      <c r="C1114" s="90"/>
      <c r="D1114" s="89"/>
      <c r="E1114" s="89" t="s">
        <v>2018</v>
      </c>
      <c r="F1114" s="89"/>
      <c r="G1114" s="89"/>
    </row>
    <row r="1115" spans="2:7" ht="14.25" customHeight="1">
      <c r="B1115" s="2" t="s">
        <v>105</v>
      </c>
      <c r="C1115" s="90"/>
      <c r="D1115" s="89"/>
      <c r="E1115" s="89" t="s">
        <v>2019</v>
      </c>
      <c r="F1115" s="89"/>
      <c r="G1115" s="89"/>
    </row>
    <row r="1116" spans="2:7" ht="14.25" customHeight="1">
      <c r="B1116" s="2" t="s">
        <v>105</v>
      </c>
      <c r="C1116" s="90" t="s">
        <v>2015</v>
      </c>
      <c r="D1116" s="90" t="s">
        <v>767</v>
      </c>
      <c r="E1116" s="90" t="s">
        <v>767</v>
      </c>
      <c r="F1116" s="90" t="s">
        <v>767</v>
      </c>
      <c r="G1116" s="90" t="s">
        <v>767</v>
      </c>
    </row>
    <row r="1117" spans="2:7" ht="14.25" customHeight="1">
      <c r="B1117" s="2" t="s">
        <v>105</v>
      </c>
      <c r="C1117" s="90"/>
      <c r="D1117" s="89"/>
      <c r="E1117" s="89" t="s">
        <v>2020</v>
      </c>
      <c r="F1117" s="89"/>
      <c r="G1117" s="89"/>
    </row>
    <row r="1118" spans="2:7" ht="14.25" customHeight="1">
      <c r="B1118" s="2" t="s">
        <v>105</v>
      </c>
      <c r="C1118" s="90"/>
      <c r="D1118" s="89"/>
      <c r="E1118" s="89" t="s">
        <v>2021</v>
      </c>
      <c r="F1118" s="89"/>
      <c r="G1118" s="89"/>
    </row>
    <row r="1119" spans="2:7" ht="14.25" customHeight="1">
      <c r="B1119" s="2" t="s">
        <v>105</v>
      </c>
      <c r="C1119" s="90"/>
      <c r="D1119" s="89"/>
      <c r="E1119" s="89" t="s">
        <v>2022</v>
      </c>
      <c r="F1119" s="89"/>
      <c r="G1119" s="89"/>
    </row>
    <row r="1120" spans="2:7" ht="14.25" customHeight="1">
      <c r="B1120" s="2" t="s">
        <v>105</v>
      </c>
      <c r="C1120" s="90"/>
      <c r="D1120" s="89"/>
      <c r="E1120" s="89" t="s">
        <v>2023</v>
      </c>
      <c r="F1120" s="89"/>
      <c r="G1120" s="89"/>
    </row>
    <row r="1121" spans="2:7" ht="14.25" customHeight="1">
      <c r="B1121" s="2" t="s">
        <v>105</v>
      </c>
      <c r="C1121" s="90" t="s">
        <v>2015</v>
      </c>
      <c r="D1121" s="90" t="s">
        <v>768</v>
      </c>
      <c r="E1121" s="90" t="s">
        <v>768</v>
      </c>
      <c r="F1121" s="90" t="s">
        <v>768</v>
      </c>
      <c r="G1121" s="90" t="s">
        <v>768</v>
      </c>
    </row>
    <row r="1122" spans="2:7" ht="14.25" customHeight="1">
      <c r="B1122" s="2" t="s">
        <v>105</v>
      </c>
      <c r="C1122" s="90"/>
      <c r="D1122" s="89"/>
      <c r="E1122" s="89" t="s">
        <v>2024</v>
      </c>
      <c r="F1122" s="89"/>
      <c r="G1122" s="89"/>
    </row>
    <row r="1123" spans="2:7" ht="14.25" customHeight="1">
      <c r="B1123" s="2" t="s">
        <v>105</v>
      </c>
      <c r="C1123" s="90"/>
      <c r="D1123" s="89"/>
      <c r="E1123" s="89" t="s">
        <v>2025</v>
      </c>
      <c r="F1123" s="89"/>
      <c r="G1123" s="89"/>
    </row>
    <row r="1124" spans="2:7" ht="14.25" customHeight="1">
      <c r="B1124" s="2" t="s">
        <v>105</v>
      </c>
      <c r="C1124" s="90"/>
      <c r="D1124" s="89"/>
      <c r="E1124" s="89" t="s">
        <v>2026</v>
      </c>
      <c r="F1124" s="89"/>
      <c r="G1124" s="89"/>
    </row>
    <row r="1125" spans="2:7" ht="14.25" customHeight="1">
      <c r="B1125" s="2" t="s">
        <v>105</v>
      </c>
      <c r="C1125" s="90"/>
      <c r="D1125" s="89"/>
      <c r="E1125" s="89" t="s">
        <v>2027</v>
      </c>
      <c r="F1125" s="89"/>
      <c r="G1125" s="89"/>
    </row>
    <row r="1126" spans="2:7" ht="14.25" customHeight="1">
      <c r="B1126" s="2" t="s">
        <v>105</v>
      </c>
      <c r="C1126" s="90" t="s">
        <v>2028</v>
      </c>
      <c r="D1126" s="90" t="s">
        <v>769</v>
      </c>
      <c r="E1126" s="90" t="s">
        <v>769</v>
      </c>
      <c r="F1126" s="90" t="s">
        <v>769</v>
      </c>
      <c r="G1126" s="90" t="s">
        <v>769</v>
      </c>
    </row>
    <row r="1127" spans="2:7" ht="14.25" customHeight="1">
      <c r="B1127" s="2" t="s">
        <v>105</v>
      </c>
      <c r="C1127" s="90"/>
      <c r="D1127" s="89"/>
      <c r="E1127" s="89" t="s">
        <v>2029</v>
      </c>
      <c r="F1127" s="89"/>
      <c r="G1127" s="89"/>
    </row>
    <row r="1128" spans="2:7" ht="14.25" customHeight="1">
      <c r="B1128" s="2" t="s">
        <v>105</v>
      </c>
      <c r="C1128" s="90"/>
      <c r="D1128" s="89"/>
      <c r="E1128" s="89" t="s">
        <v>2030</v>
      </c>
      <c r="F1128" s="89"/>
      <c r="G1128" s="89"/>
    </row>
    <row r="1129" spans="2:7" ht="14.25" customHeight="1">
      <c r="B1129" s="2" t="s">
        <v>105</v>
      </c>
      <c r="C1129" s="90"/>
      <c r="D1129" s="89"/>
      <c r="E1129" s="89" t="s">
        <v>2031</v>
      </c>
      <c r="F1129" s="89"/>
      <c r="G1129" s="89"/>
    </row>
    <row r="1130" spans="2:7" ht="14.25" customHeight="1">
      <c r="B1130" s="2" t="s">
        <v>105</v>
      </c>
      <c r="C1130" s="90"/>
      <c r="D1130" s="89"/>
      <c r="E1130" s="89" t="s">
        <v>2032</v>
      </c>
      <c r="F1130" s="89"/>
      <c r="G1130" s="89"/>
    </row>
    <row r="1131" spans="2:7" ht="14.25" customHeight="1">
      <c r="B1131" s="2" t="s">
        <v>105</v>
      </c>
      <c r="C1131" s="90" t="s">
        <v>2028</v>
      </c>
      <c r="D1131" s="90" t="s">
        <v>770</v>
      </c>
      <c r="E1131" s="90" t="s">
        <v>770</v>
      </c>
      <c r="F1131" s="90" t="s">
        <v>770</v>
      </c>
      <c r="G1131" s="90" t="s">
        <v>770</v>
      </c>
    </row>
    <row r="1132" spans="2:7" ht="14.25" customHeight="1">
      <c r="B1132" s="2" t="s">
        <v>105</v>
      </c>
      <c r="C1132" s="90"/>
      <c r="D1132" s="89"/>
      <c r="E1132" s="89" t="s">
        <v>2033</v>
      </c>
      <c r="F1132" s="89"/>
      <c r="G1132" s="89"/>
    </row>
    <row r="1133" spans="2:7" ht="14.25" customHeight="1">
      <c r="B1133" s="2" t="s">
        <v>105</v>
      </c>
      <c r="C1133" s="90"/>
      <c r="D1133" s="89"/>
      <c r="E1133" s="89" t="s">
        <v>2034</v>
      </c>
      <c r="F1133" s="89"/>
      <c r="G1133" s="89"/>
    </row>
    <row r="1134" spans="2:7" ht="14.25" customHeight="1">
      <c r="B1134" s="2" t="s">
        <v>105</v>
      </c>
      <c r="C1134" s="90"/>
      <c r="D1134" s="89"/>
      <c r="E1134" s="89" t="s">
        <v>2035</v>
      </c>
      <c r="F1134" s="89"/>
      <c r="G1134" s="89"/>
    </row>
    <row r="1135" spans="2:7" ht="14.25" customHeight="1">
      <c r="B1135" s="2" t="s">
        <v>105</v>
      </c>
      <c r="C1135" s="90"/>
      <c r="D1135" s="89"/>
      <c r="E1135" s="89" t="s">
        <v>2036</v>
      </c>
      <c r="F1135" s="89"/>
      <c r="G1135" s="89"/>
    </row>
    <row r="1136" spans="2:7" ht="14.25" customHeight="1">
      <c r="B1136" s="2" t="s">
        <v>105</v>
      </c>
      <c r="C1136" s="90" t="s">
        <v>2028</v>
      </c>
      <c r="D1136" s="90" t="s">
        <v>771</v>
      </c>
      <c r="E1136" s="90" t="s">
        <v>771</v>
      </c>
      <c r="F1136" s="90" t="s">
        <v>771</v>
      </c>
      <c r="G1136" s="90" t="s">
        <v>771</v>
      </c>
    </row>
    <row r="1137" spans="2:7" ht="14.25" customHeight="1">
      <c r="B1137" s="2" t="s">
        <v>105</v>
      </c>
      <c r="C1137" s="90"/>
      <c r="D1137" s="89"/>
      <c r="E1137" s="89" t="s">
        <v>2037</v>
      </c>
      <c r="F1137" s="89"/>
      <c r="G1137" s="89"/>
    </row>
    <row r="1138" spans="2:7" ht="14.25" customHeight="1">
      <c r="B1138" s="2" t="s">
        <v>105</v>
      </c>
      <c r="C1138" s="90"/>
      <c r="D1138" s="89"/>
      <c r="E1138" s="89" t="s">
        <v>2038</v>
      </c>
      <c r="F1138" s="89"/>
      <c r="G1138" s="89"/>
    </row>
    <row r="1139" spans="2:7" ht="14.25" customHeight="1">
      <c r="B1139" s="2" t="s">
        <v>105</v>
      </c>
      <c r="C1139" s="90"/>
      <c r="D1139" s="89"/>
      <c r="E1139" s="89" t="s">
        <v>2039</v>
      </c>
      <c r="F1139" s="89"/>
      <c r="G1139" s="89"/>
    </row>
    <row r="1140" spans="2:7" ht="14.25" customHeight="1">
      <c r="B1140" s="2" t="s">
        <v>105</v>
      </c>
      <c r="C1140" s="90"/>
      <c r="D1140" s="89"/>
      <c r="E1140" s="89" t="s">
        <v>2040</v>
      </c>
      <c r="F1140" s="89"/>
      <c r="G1140" s="89"/>
    </row>
    <row r="1141" spans="2:7" ht="14.25" customHeight="1">
      <c r="B1141" s="2" t="s">
        <v>105</v>
      </c>
      <c r="C1141" s="90" t="s">
        <v>2028</v>
      </c>
      <c r="D1141" s="90" t="s">
        <v>772</v>
      </c>
      <c r="E1141" s="90" t="s">
        <v>772</v>
      </c>
      <c r="F1141" s="90" t="s">
        <v>772</v>
      </c>
      <c r="G1141" s="90" t="s">
        <v>772</v>
      </c>
    </row>
    <row r="1142" spans="2:7" ht="14.25" customHeight="1">
      <c r="B1142" s="2" t="s">
        <v>105</v>
      </c>
      <c r="C1142" s="90"/>
      <c r="D1142" s="89"/>
      <c r="E1142" s="89" t="s">
        <v>2041</v>
      </c>
      <c r="F1142" s="89"/>
      <c r="G1142" s="89"/>
    </row>
    <row r="1143" spans="2:7" ht="14.25" customHeight="1">
      <c r="B1143" s="2" t="s">
        <v>105</v>
      </c>
      <c r="C1143" s="90"/>
      <c r="D1143" s="89"/>
      <c r="E1143" s="89" t="s">
        <v>2042</v>
      </c>
      <c r="F1143" s="89"/>
      <c r="G1143" s="89"/>
    </row>
    <row r="1144" spans="2:7" ht="14.25" customHeight="1">
      <c r="B1144" s="2" t="s">
        <v>105</v>
      </c>
      <c r="C1144" s="90"/>
      <c r="D1144" s="89"/>
      <c r="E1144" s="89" t="s">
        <v>2043</v>
      </c>
      <c r="F1144" s="89"/>
      <c r="G1144" s="89"/>
    </row>
    <row r="1145" spans="2:7" ht="14.25" customHeight="1">
      <c r="B1145" s="2" t="s">
        <v>105</v>
      </c>
      <c r="C1145" s="90"/>
      <c r="D1145" s="89"/>
      <c r="E1145" s="89" t="s">
        <v>2044</v>
      </c>
      <c r="F1145" s="89"/>
      <c r="G1145" s="89"/>
    </row>
    <row r="1146" spans="2:7" ht="14.25" customHeight="1">
      <c r="B1146" s="2" t="s">
        <v>105</v>
      </c>
      <c r="C1146" s="90" t="s">
        <v>2028</v>
      </c>
      <c r="D1146" s="90" t="s">
        <v>773</v>
      </c>
      <c r="E1146" s="90" t="s">
        <v>773</v>
      </c>
      <c r="F1146" s="90" t="s">
        <v>773</v>
      </c>
      <c r="G1146" s="90" t="s">
        <v>773</v>
      </c>
    </row>
    <row r="1147" spans="2:7" ht="14.25" customHeight="1">
      <c r="B1147" s="2" t="s">
        <v>105</v>
      </c>
      <c r="C1147" s="90"/>
      <c r="D1147" s="89"/>
      <c r="E1147" s="89" t="s">
        <v>2045</v>
      </c>
      <c r="F1147" s="89"/>
      <c r="G1147" s="89"/>
    </row>
    <row r="1148" spans="2:7" ht="14.25" customHeight="1">
      <c r="B1148" s="2" t="s">
        <v>105</v>
      </c>
      <c r="C1148" s="90"/>
      <c r="D1148" s="89"/>
      <c r="E1148" s="89" t="s">
        <v>2046</v>
      </c>
      <c r="F1148" s="89"/>
      <c r="G1148" s="89"/>
    </row>
    <row r="1149" spans="2:7" ht="14.25" customHeight="1">
      <c r="B1149" s="2" t="s">
        <v>105</v>
      </c>
      <c r="C1149" s="90"/>
      <c r="D1149" s="89"/>
      <c r="E1149" s="89" t="s">
        <v>2047</v>
      </c>
      <c r="F1149" s="89"/>
      <c r="G1149" s="89"/>
    </row>
    <row r="1150" spans="2:7" ht="14.25" customHeight="1">
      <c r="B1150" s="2" t="s">
        <v>105</v>
      </c>
      <c r="C1150" s="90"/>
      <c r="D1150" s="89"/>
      <c r="E1150" s="89" t="s">
        <v>2048</v>
      </c>
      <c r="F1150" s="89"/>
      <c r="G1150" s="89"/>
    </row>
    <row r="1151" spans="2:7" ht="14.25" customHeight="1">
      <c r="B1151" s="2" t="s">
        <v>105</v>
      </c>
      <c r="C1151" s="90" t="s">
        <v>2049</v>
      </c>
      <c r="D1151" s="90" t="s">
        <v>774</v>
      </c>
      <c r="E1151" s="90" t="s">
        <v>774</v>
      </c>
      <c r="F1151" s="90" t="s">
        <v>774</v>
      </c>
      <c r="G1151" s="90" t="s">
        <v>774</v>
      </c>
    </row>
    <row r="1152" spans="2:7" ht="14.25" customHeight="1">
      <c r="B1152" s="2" t="s">
        <v>105</v>
      </c>
      <c r="C1152" s="90"/>
      <c r="D1152" s="89"/>
      <c r="E1152" s="89" t="s">
        <v>2050</v>
      </c>
      <c r="F1152" s="89"/>
      <c r="G1152" s="89"/>
    </row>
    <row r="1153" spans="2:7" ht="14.25" customHeight="1">
      <c r="B1153" s="2" t="s">
        <v>105</v>
      </c>
      <c r="C1153" s="90"/>
      <c r="D1153" s="89"/>
      <c r="E1153" s="89" t="s">
        <v>2051</v>
      </c>
      <c r="F1153" s="89"/>
      <c r="G1153" s="89"/>
    </row>
    <row r="1154" spans="2:7" ht="14.25" customHeight="1">
      <c r="B1154" s="2" t="s">
        <v>105</v>
      </c>
      <c r="C1154" s="90"/>
      <c r="D1154" s="89"/>
      <c r="E1154" s="89" t="s">
        <v>2052</v>
      </c>
      <c r="F1154" s="89"/>
      <c r="G1154" s="89"/>
    </row>
    <row r="1155" spans="2:7" ht="14.25" customHeight="1">
      <c r="B1155" s="2" t="s">
        <v>105</v>
      </c>
      <c r="C1155" s="90"/>
      <c r="D1155" s="89"/>
      <c r="E1155" s="89" t="s">
        <v>2053</v>
      </c>
      <c r="F1155" s="89"/>
      <c r="G1155" s="89"/>
    </row>
    <row r="1156" spans="2:7" ht="14.25" customHeight="1">
      <c r="B1156" s="2" t="s">
        <v>105</v>
      </c>
      <c r="C1156" s="90"/>
      <c r="D1156" s="89"/>
      <c r="E1156" s="89" t="s">
        <v>2054</v>
      </c>
      <c r="F1156" s="89"/>
      <c r="G1156" s="89"/>
    </row>
    <row r="1157" spans="2:7" ht="14.25" customHeight="1">
      <c r="B1157" s="2" t="s">
        <v>105</v>
      </c>
      <c r="C1157" s="90"/>
      <c r="D1157" s="89"/>
      <c r="E1157" s="89" t="s">
        <v>2055</v>
      </c>
      <c r="F1157" s="89"/>
      <c r="G1157" s="89"/>
    </row>
    <row r="1158" spans="2:7" ht="14.25" customHeight="1">
      <c r="B1158" s="2" t="s">
        <v>105</v>
      </c>
      <c r="C1158" s="90" t="s">
        <v>2049</v>
      </c>
      <c r="D1158" s="90" t="s">
        <v>775</v>
      </c>
      <c r="E1158" s="90" t="s">
        <v>775</v>
      </c>
      <c r="F1158" s="90" t="s">
        <v>775</v>
      </c>
      <c r="G1158" s="90" t="s">
        <v>775</v>
      </c>
    </row>
    <row r="1159" spans="2:7" ht="14.25" customHeight="1">
      <c r="B1159" s="2" t="s">
        <v>105</v>
      </c>
      <c r="C1159" s="90"/>
      <c r="D1159" s="89"/>
      <c r="E1159" s="89" t="s">
        <v>2056</v>
      </c>
      <c r="F1159" s="89"/>
      <c r="G1159" s="89"/>
    </row>
    <row r="1160" spans="2:7" ht="14.25" customHeight="1">
      <c r="B1160" s="2" t="s">
        <v>105</v>
      </c>
      <c r="C1160" s="90"/>
      <c r="D1160" s="89"/>
      <c r="E1160" s="89" t="s">
        <v>2057</v>
      </c>
      <c r="F1160" s="89"/>
      <c r="G1160" s="89"/>
    </row>
    <row r="1161" spans="2:7" ht="14.25" customHeight="1">
      <c r="B1161" s="2" t="s">
        <v>105</v>
      </c>
      <c r="C1161" s="90"/>
      <c r="D1161" s="89"/>
      <c r="E1161" s="89" t="s">
        <v>2058</v>
      </c>
      <c r="F1161" s="89"/>
      <c r="G1161" s="89"/>
    </row>
    <row r="1162" spans="2:7" ht="14.25" customHeight="1">
      <c r="B1162" s="2" t="s">
        <v>105</v>
      </c>
      <c r="C1162" s="90"/>
      <c r="D1162" s="89"/>
      <c r="E1162" s="89" t="s">
        <v>2059</v>
      </c>
      <c r="F1162" s="89"/>
      <c r="G1162" s="89"/>
    </row>
    <row r="1163" spans="2:7" ht="14.25" customHeight="1">
      <c r="B1163" s="2" t="s">
        <v>105</v>
      </c>
      <c r="C1163" s="90"/>
      <c r="D1163" s="89"/>
      <c r="E1163" s="89" t="s">
        <v>2060</v>
      </c>
      <c r="F1163" s="89"/>
      <c r="G1163" s="89"/>
    </row>
    <row r="1164" spans="2:7" ht="14.25" customHeight="1">
      <c r="B1164" s="2" t="s">
        <v>105</v>
      </c>
      <c r="C1164" s="90"/>
      <c r="D1164" s="89"/>
      <c r="E1164" s="89" t="s">
        <v>2061</v>
      </c>
      <c r="F1164" s="89"/>
      <c r="G1164" s="89"/>
    </row>
    <row r="1165" spans="2:7" ht="14.25" customHeight="1">
      <c r="B1165" s="2" t="s">
        <v>105</v>
      </c>
      <c r="C1165" s="90"/>
      <c r="D1165" s="89"/>
      <c r="E1165" s="89" t="s">
        <v>2062</v>
      </c>
      <c r="F1165" s="89"/>
      <c r="G1165" s="89"/>
    </row>
    <row r="1166" spans="2:7" ht="14.25" customHeight="1">
      <c r="B1166" s="2" t="s">
        <v>105</v>
      </c>
      <c r="C1166" s="90"/>
      <c r="D1166" s="89"/>
      <c r="E1166" s="89" t="s">
        <v>2063</v>
      </c>
      <c r="F1166" s="89"/>
      <c r="G1166" s="89"/>
    </row>
    <row r="1167" spans="2:7" ht="14.25" customHeight="1">
      <c r="B1167" s="2" t="s">
        <v>105</v>
      </c>
      <c r="C1167" s="90"/>
      <c r="D1167" s="89"/>
      <c r="E1167" s="89" t="s">
        <v>2064</v>
      </c>
      <c r="F1167" s="89"/>
      <c r="G1167" s="89"/>
    </row>
    <row r="1168" spans="2:7" ht="14.25" customHeight="1">
      <c r="B1168" s="2" t="s">
        <v>105</v>
      </c>
      <c r="C1168" s="90"/>
      <c r="D1168" s="89"/>
      <c r="E1168" s="89" t="s">
        <v>2065</v>
      </c>
      <c r="F1168" s="89"/>
      <c r="G1168" s="89"/>
    </row>
    <row r="1169" spans="2:7" ht="14.25" customHeight="1">
      <c r="B1169" s="2" t="s">
        <v>105</v>
      </c>
      <c r="C1169" s="90"/>
      <c r="D1169" s="89"/>
      <c r="E1169" s="89" t="s">
        <v>2066</v>
      </c>
      <c r="F1169" s="89"/>
      <c r="G1169" s="89"/>
    </row>
    <row r="1170" spans="2:7" ht="14.25" customHeight="1">
      <c r="B1170" s="2" t="s">
        <v>105</v>
      </c>
      <c r="C1170" s="90"/>
      <c r="D1170" s="89"/>
      <c r="E1170" s="89" t="s">
        <v>2067</v>
      </c>
      <c r="F1170" s="89"/>
      <c r="G1170" s="89"/>
    </row>
    <row r="1171" spans="2:7" ht="14.25" customHeight="1">
      <c r="B1171" s="2" t="s">
        <v>105</v>
      </c>
      <c r="C1171" s="90"/>
      <c r="D1171" s="89"/>
      <c r="E1171" s="89" t="s">
        <v>2068</v>
      </c>
      <c r="F1171" s="89"/>
      <c r="G1171" s="89"/>
    </row>
    <row r="1172" spans="2:7" ht="14.25" customHeight="1">
      <c r="B1172" s="2" t="s">
        <v>105</v>
      </c>
      <c r="C1172" s="90"/>
      <c r="D1172" s="89"/>
      <c r="E1172" s="89" t="s">
        <v>2069</v>
      </c>
      <c r="F1172" s="89"/>
      <c r="G1172" s="89"/>
    </row>
    <row r="1173" spans="2:7" ht="14.25" customHeight="1">
      <c r="B1173" s="2" t="s">
        <v>105</v>
      </c>
      <c r="C1173" s="90"/>
      <c r="D1173" s="89"/>
      <c r="E1173" s="89" t="s">
        <v>2070</v>
      </c>
      <c r="F1173" s="89"/>
      <c r="G1173" s="89"/>
    </row>
    <row r="1174" spans="2:7" ht="14.25" customHeight="1">
      <c r="B1174" s="2" t="s">
        <v>105</v>
      </c>
      <c r="C1174" s="90"/>
      <c r="D1174" s="89"/>
      <c r="E1174" s="89" t="s">
        <v>2071</v>
      </c>
      <c r="F1174" s="89"/>
      <c r="G1174" s="89"/>
    </row>
    <row r="1175" spans="2:7" ht="14.25" customHeight="1">
      <c r="B1175" s="2" t="s">
        <v>105</v>
      </c>
      <c r="C1175" s="90" t="s">
        <v>2049</v>
      </c>
      <c r="D1175" s="90" t="s">
        <v>776</v>
      </c>
      <c r="E1175" s="90" t="s">
        <v>776</v>
      </c>
      <c r="F1175" s="90" t="s">
        <v>776</v>
      </c>
      <c r="G1175" s="90" t="s">
        <v>776</v>
      </c>
    </row>
    <row r="1176" spans="2:7" ht="14.25" customHeight="1">
      <c r="B1176" s="2" t="s">
        <v>105</v>
      </c>
      <c r="C1176" s="90"/>
      <c r="D1176" s="89"/>
      <c r="E1176" s="89" t="s">
        <v>2072</v>
      </c>
      <c r="F1176" s="89"/>
      <c r="G1176" s="89"/>
    </row>
    <row r="1177" spans="2:7" ht="14.25" customHeight="1">
      <c r="B1177" s="2" t="s">
        <v>105</v>
      </c>
      <c r="C1177" s="90"/>
      <c r="D1177" s="89"/>
      <c r="E1177" s="89" t="s">
        <v>2073</v>
      </c>
      <c r="F1177" s="89"/>
      <c r="G1177" s="89"/>
    </row>
    <row r="1178" spans="2:7" ht="14.25" customHeight="1">
      <c r="B1178" s="2" t="s">
        <v>105</v>
      </c>
      <c r="C1178" s="90"/>
      <c r="D1178" s="89"/>
      <c r="E1178" s="89" t="s">
        <v>2074</v>
      </c>
      <c r="F1178" s="89"/>
      <c r="G1178" s="89"/>
    </row>
    <row r="1179" spans="2:7" ht="14.25" customHeight="1">
      <c r="B1179" s="2" t="s">
        <v>105</v>
      </c>
      <c r="C1179" s="90"/>
      <c r="D1179" s="89"/>
      <c r="E1179" s="89" t="s">
        <v>2075</v>
      </c>
      <c r="F1179" s="89"/>
      <c r="G1179" s="89"/>
    </row>
    <row r="1180" spans="2:7" ht="14.25" customHeight="1">
      <c r="B1180" s="2" t="s">
        <v>105</v>
      </c>
      <c r="C1180" s="90"/>
      <c r="D1180" s="89"/>
      <c r="E1180" s="89" t="s">
        <v>2076</v>
      </c>
      <c r="F1180" s="89"/>
      <c r="G1180" s="89"/>
    </row>
    <row r="1181" spans="2:7" ht="14.25" customHeight="1">
      <c r="B1181" s="2" t="s">
        <v>105</v>
      </c>
      <c r="C1181" s="90"/>
      <c r="D1181" s="89"/>
      <c r="E1181" s="89" t="s">
        <v>2077</v>
      </c>
      <c r="F1181" s="89"/>
      <c r="G1181" s="89"/>
    </row>
    <row r="1182" spans="2:7" ht="14.25" customHeight="1">
      <c r="B1182" s="2" t="s">
        <v>105</v>
      </c>
      <c r="C1182" s="90"/>
      <c r="D1182" s="89"/>
      <c r="E1182" s="89" t="s">
        <v>2078</v>
      </c>
      <c r="F1182" s="89"/>
      <c r="G1182" s="89"/>
    </row>
    <row r="1183" spans="2:7" ht="14.25" customHeight="1">
      <c r="B1183" s="2" t="s">
        <v>105</v>
      </c>
      <c r="C1183" s="90"/>
      <c r="D1183" s="89"/>
      <c r="E1183" s="89" t="s">
        <v>2079</v>
      </c>
      <c r="F1183" s="89"/>
      <c r="G1183" s="89"/>
    </row>
    <row r="1184" spans="2:7" ht="14.25" customHeight="1">
      <c r="B1184" s="2" t="s">
        <v>105</v>
      </c>
      <c r="C1184" s="90"/>
      <c r="D1184" s="89"/>
      <c r="E1184" s="89" t="s">
        <v>2080</v>
      </c>
      <c r="F1184" s="89"/>
      <c r="G1184" s="89"/>
    </row>
    <row r="1185" spans="2:7" ht="14.25" customHeight="1">
      <c r="B1185" s="2" t="s">
        <v>105</v>
      </c>
      <c r="C1185" s="90"/>
      <c r="D1185" s="89"/>
      <c r="E1185" s="89" t="s">
        <v>2081</v>
      </c>
      <c r="F1185" s="89"/>
      <c r="G1185" s="89"/>
    </row>
    <row r="1186" spans="2:7" ht="14.25" customHeight="1">
      <c r="B1186" s="2" t="s">
        <v>105</v>
      </c>
      <c r="C1186" s="90"/>
      <c r="D1186" s="89"/>
      <c r="E1186" s="89" t="s">
        <v>2082</v>
      </c>
      <c r="F1186" s="89"/>
      <c r="G1186" s="89"/>
    </row>
    <row r="1187" spans="2:7" ht="14.25" customHeight="1">
      <c r="B1187" s="2" t="s">
        <v>105</v>
      </c>
      <c r="C1187" s="90"/>
      <c r="D1187" s="89"/>
      <c r="E1187" s="89" t="s">
        <v>2083</v>
      </c>
      <c r="F1187" s="89"/>
      <c r="G1187" s="89"/>
    </row>
    <row r="1188" spans="2:7" ht="14.25" customHeight="1">
      <c r="B1188" s="2" t="s">
        <v>105</v>
      </c>
      <c r="C1188" s="90"/>
      <c r="D1188" s="89"/>
      <c r="E1188" s="89" t="s">
        <v>2084</v>
      </c>
      <c r="F1188" s="89"/>
      <c r="G1188" s="89"/>
    </row>
    <row r="1189" spans="2:7" ht="14.25" customHeight="1">
      <c r="B1189" s="2" t="s">
        <v>105</v>
      </c>
      <c r="C1189" s="90"/>
      <c r="D1189" s="89"/>
      <c r="E1189" s="89" t="s">
        <v>2085</v>
      </c>
      <c r="F1189" s="89"/>
      <c r="G1189" s="89"/>
    </row>
    <row r="1190" spans="2:7" ht="14.25" customHeight="1">
      <c r="B1190" s="2" t="s">
        <v>105</v>
      </c>
      <c r="C1190" s="90"/>
      <c r="D1190" s="89"/>
      <c r="E1190" s="89" t="s">
        <v>2086</v>
      </c>
      <c r="F1190" s="89"/>
      <c r="G1190" s="89"/>
    </row>
    <row r="1191" spans="2:7" ht="14.25" customHeight="1">
      <c r="B1191" s="2" t="s">
        <v>105</v>
      </c>
      <c r="C1191" s="90"/>
      <c r="D1191" s="89"/>
      <c r="E1191" s="89" t="s">
        <v>2087</v>
      </c>
      <c r="F1191" s="89"/>
      <c r="G1191" s="89"/>
    </row>
    <row r="1192" spans="2:7" ht="14.25" customHeight="1">
      <c r="B1192" s="2" t="s">
        <v>105</v>
      </c>
      <c r="C1192" s="90" t="s">
        <v>2049</v>
      </c>
      <c r="D1192" s="90" t="s">
        <v>777</v>
      </c>
      <c r="E1192" s="90" t="s">
        <v>777</v>
      </c>
      <c r="F1192" s="90" t="s">
        <v>777</v>
      </c>
      <c r="G1192" s="90" t="s">
        <v>777</v>
      </c>
    </row>
    <row r="1193" spans="2:7" ht="14.25" customHeight="1">
      <c r="B1193" s="2" t="s">
        <v>105</v>
      </c>
      <c r="C1193" s="90"/>
      <c r="D1193" s="89"/>
      <c r="E1193" s="89" t="s">
        <v>2088</v>
      </c>
      <c r="F1193" s="89"/>
      <c r="G1193" s="89"/>
    </row>
    <row r="1194" spans="2:7" ht="14.25" customHeight="1">
      <c r="B1194" s="2" t="s">
        <v>105</v>
      </c>
      <c r="C1194" s="90"/>
      <c r="D1194" s="89"/>
      <c r="E1194" s="89" t="s">
        <v>2089</v>
      </c>
      <c r="F1194" s="89"/>
      <c r="G1194" s="89"/>
    </row>
    <row r="1195" spans="2:7" ht="14.25" customHeight="1">
      <c r="B1195" s="2" t="s">
        <v>105</v>
      </c>
      <c r="C1195" s="90"/>
      <c r="D1195" s="89"/>
      <c r="E1195" s="89" t="s">
        <v>2090</v>
      </c>
      <c r="F1195" s="89"/>
      <c r="G1195" s="89"/>
    </row>
    <row r="1196" spans="2:7" ht="14.25" customHeight="1">
      <c r="B1196" s="2" t="s">
        <v>105</v>
      </c>
      <c r="C1196" s="90"/>
      <c r="D1196" s="89"/>
      <c r="E1196" s="89" t="s">
        <v>2091</v>
      </c>
      <c r="F1196" s="89"/>
      <c r="G1196" s="89"/>
    </row>
    <row r="1197" spans="2:7" ht="14.25" customHeight="1">
      <c r="B1197" s="2" t="s">
        <v>105</v>
      </c>
      <c r="C1197" s="90"/>
      <c r="D1197" s="89"/>
      <c r="E1197" s="89" t="s">
        <v>2092</v>
      </c>
      <c r="F1197" s="89"/>
      <c r="G1197" s="89"/>
    </row>
    <row r="1198" spans="2:7" ht="14.25" customHeight="1">
      <c r="B1198" s="2" t="s">
        <v>105</v>
      </c>
      <c r="C1198" s="90"/>
      <c r="D1198" s="89"/>
      <c r="E1198" s="89" t="s">
        <v>2093</v>
      </c>
      <c r="F1198" s="89"/>
      <c r="G1198" s="89"/>
    </row>
    <row r="1199" spans="2:7" ht="14.25" customHeight="1">
      <c r="B1199" s="2" t="s">
        <v>105</v>
      </c>
      <c r="C1199" s="90" t="s">
        <v>2094</v>
      </c>
      <c r="D1199" s="90" t="s">
        <v>778</v>
      </c>
      <c r="E1199" s="90" t="s">
        <v>778</v>
      </c>
      <c r="F1199" s="90" t="s">
        <v>778</v>
      </c>
      <c r="G1199" s="90" t="s">
        <v>778</v>
      </c>
    </row>
    <row r="1200" spans="2:7" ht="14.25" customHeight="1">
      <c r="B1200" s="2" t="s">
        <v>105</v>
      </c>
      <c r="C1200" s="90"/>
      <c r="D1200" s="89"/>
      <c r="E1200" s="89" t="s">
        <v>2095</v>
      </c>
      <c r="F1200" s="89"/>
      <c r="G1200" s="89"/>
    </row>
    <row r="1201" spans="2:7" ht="14.25" customHeight="1">
      <c r="B1201" s="2" t="s">
        <v>105</v>
      </c>
      <c r="C1201" s="90"/>
      <c r="D1201" s="89"/>
      <c r="E1201" s="89" t="s">
        <v>2096</v>
      </c>
      <c r="F1201" s="89"/>
      <c r="G1201" s="89"/>
    </row>
    <row r="1202" spans="2:7" ht="14.25" customHeight="1">
      <c r="B1202" s="2" t="s">
        <v>105</v>
      </c>
      <c r="C1202" s="90"/>
      <c r="D1202" s="89"/>
      <c r="E1202" s="89" t="s">
        <v>2097</v>
      </c>
      <c r="F1202" s="89"/>
      <c r="G1202" s="89"/>
    </row>
    <row r="1203" spans="2:7" ht="14.25" customHeight="1">
      <c r="B1203" s="2" t="s">
        <v>105</v>
      </c>
      <c r="C1203" s="90"/>
      <c r="D1203" s="89"/>
      <c r="E1203" s="89" t="s">
        <v>2098</v>
      </c>
      <c r="F1203" s="89"/>
      <c r="G1203" s="89"/>
    </row>
    <row r="1204" spans="2:7" ht="14.25" customHeight="1">
      <c r="B1204" s="2" t="s">
        <v>105</v>
      </c>
      <c r="C1204" s="90" t="s">
        <v>2094</v>
      </c>
      <c r="D1204" s="90" t="s">
        <v>779</v>
      </c>
      <c r="E1204" s="90" t="s">
        <v>779</v>
      </c>
      <c r="F1204" s="90" t="s">
        <v>779</v>
      </c>
      <c r="G1204" s="90" t="s">
        <v>779</v>
      </c>
    </row>
    <row r="1205" spans="2:7" ht="14.25" customHeight="1">
      <c r="B1205" s="2" t="s">
        <v>105</v>
      </c>
      <c r="C1205" s="90"/>
      <c r="D1205" s="89"/>
      <c r="E1205" s="89" t="s">
        <v>2099</v>
      </c>
      <c r="F1205" s="89"/>
      <c r="G1205" s="89"/>
    </row>
    <row r="1206" spans="2:7" ht="14.25" customHeight="1">
      <c r="B1206" s="2" t="s">
        <v>105</v>
      </c>
      <c r="C1206" s="90"/>
      <c r="D1206" s="89"/>
      <c r="E1206" s="89" t="s">
        <v>2100</v>
      </c>
      <c r="F1206" s="89"/>
      <c r="G1206" s="89"/>
    </row>
    <row r="1207" spans="2:7" ht="14.25" customHeight="1">
      <c r="B1207" s="2" t="s">
        <v>105</v>
      </c>
      <c r="C1207" s="90"/>
      <c r="D1207" s="89"/>
      <c r="E1207" s="89" t="s">
        <v>2101</v>
      </c>
      <c r="F1207" s="89"/>
      <c r="G1207" s="89"/>
    </row>
    <row r="1208" spans="2:7" ht="14.25" customHeight="1">
      <c r="B1208" s="2" t="s">
        <v>105</v>
      </c>
      <c r="C1208" s="90"/>
      <c r="D1208" s="89"/>
      <c r="E1208" s="89" t="s">
        <v>2102</v>
      </c>
      <c r="F1208" s="89"/>
      <c r="G1208" s="89"/>
    </row>
    <row r="1209" spans="2:7" ht="14.25" customHeight="1">
      <c r="B1209" s="2" t="s">
        <v>105</v>
      </c>
      <c r="C1209" s="90" t="s">
        <v>2103</v>
      </c>
      <c r="D1209" s="90" t="s">
        <v>780</v>
      </c>
      <c r="E1209" s="90" t="s">
        <v>780</v>
      </c>
      <c r="F1209" s="90" t="s">
        <v>780</v>
      </c>
      <c r="G1209" s="90" t="s">
        <v>780</v>
      </c>
    </row>
    <row r="1210" spans="2:7" ht="14.25" customHeight="1">
      <c r="B1210" s="2" t="s">
        <v>105</v>
      </c>
      <c r="C1210" s="90"/>
      <c r="D1210" s="89"/>
      <c r="E1210" s="89" t="s">
        <v>2104</v>
      </c>
      <c r="F1210" s="89"/>
      <c r="G1210" s="89"/>
    </row>
    <row r="1211" spans="2:7" ht="14.25" customHeight="1">
      <c r="B1211" s="2" t="s">
        <v>105</v>
      </c>
      <c r="C1211" s="90"/>
      <c r="D1211" s="89"/>
      <c r="E1211" s="89" t="s">
        <v>2105</v>
      </c>
      <c r="F1211" s="89"/>
      <c r="G1211" s="89"/>
    </row>
    <row r="1212" spans="2:7" ht="14.25" customHeight="1">
      <c r="B1212" s="2" t="s">
        <v>105</v>
      </c>
      <c r="C1212" s="90"/>
      <c r="D1212" s="89"/>
      <c r="E1212" s="89" t="s">
        <v>2106</v>
      </c>
      <c r="F1212" s="89"/>
      <c r="G1212" s="89"/>
    </row>
    <row r="1213" spans="2:7" ht="14.25" customHeight="1">
      <c r="B1213" s="2" t="s">
        <v>105</v>
      </c>
      <c r="C1213" s="90"/>
      <c r="D1213" s="89"/>
      <c r="E1213" s="89" t="s">
        <v>2107</v>
      </c>
      <c r="F1213" s="89"/>
      <c r="G1213" s="89"/>
    </row>
    <row r="1214" spans="2:7" ht="14.25" customHeight="1">
      <c r="B1214" s="2" t="s">
        <v>105</v>
      </c>
      <c r="C1214" s="90" t="s">
        <v>2103</v>
      </c>
      <c r="D1214" s="90" t="s">
        <v>781</v>
      </c>
      <c r="E1214" s="90" t="s">
        <v>781</v>
      </c>
      <c r="F1214" s="90" t="s">
        <v>781</v>
      </c>
      <c r="G1214" s="90" t="s">
        <v>781</v>
      </c>
    </row>
    <row r="1215" spans="2:7" ht="14.25" customHeight="1">
      <c r="B1215" s="2" t="s">
        <v>105</v>
      </c>
      <c r="C1215" s="90"/>
      <c r="D1215" s="89"/>
      <c r="E1215" s="89" t="s">
        <v>2108</v>
      </c>
      <c r="F1215" s="89"/>
      <c r="G1215" s="89"/>
    </row>
    <row r="1216" spans="2:7" ht="14.25" customHeight="1">
      <c r="B1216" s="2" t="s">
        <v>105</v>
      </c>
      <c r="C1216" s="90"/>
      <c r="D1216" s="89"/>
      <c r="E1216" s="89" t="s">
        <v>2109</v>
      </c>
      <c r="F1216" s="89"/>
      <c r="G1216" s="89"/>
    </row>
    <row r="1217" spans="2:7" ht="14.25" customHeight="1">
      <c r="B1217" s="2" t="s">
        <v>105</v>
      </c>
      <c r="C1217" s="90"/>
      <c r="D1217" s="89"/>
      <c r="E1217" s="89" t="s">
        <v>2110</v>
      </c>
      <c r="F1217" s="89"/>
      <c r="G1217" s="89"/>
    </row>
    <row r="1218" spans="2:7" ht="14.25" customHeight="1">
      <c r="B1218" s="2" t="s">
        <v>105</v>
      </c>
      <c r="C1218" s="90"/>
      <c r="D1218" s="89"/>
      <c r="E1218" s="89" t="s">
        <v>2111</v>
      </c>
      <c r="F1218" s="89"/>
      <c r="G1218" s="89"/>
    </row>
    <row r="1219" spans="2:7" ht="14.25" customHeight="1">
      <c r="B1219" s="2" t="s">
        <v>105</v>
      </c>
      <c r="C1219" s="90" t="s">
        <v>2112</v>
      </c>
      <c r="D1219" s="90" t="s">
        <v>782</v>
      </c>
      <c r="E1219" s="90" t="s">
        <v>782</v>
      </c>
      <c r="F1219" s="90" t="s">
        <v>782</v>
      </c>
      <c r="G1219" s="90" t="s">
        <v>782</v>
      </c>
    </row>
    <row r="1220" spans="2:7" ht="14.25" customHeight="1">
      <c r="B1220" s="2" t="s">
        <v>105</v>
      </c>
      <c r="C1220" s="90"/>
      <c r="D1220" s="89" t="str">
        <f t="shared" ref="D1220:D1221" si="6">E1220</f>
        <v>PL70-1</v>
      </c>
      <c r="E1220" s="89" t="s">
        <v>2113</v>
      </c>
      <c r="F1220" s="89"/>
      <c r="G1220" s="89"/>
    </row>
    <row r="1221" spans="2:7" ht="14.25" customHeight="1">
      <c r="B1221" s="2" t="s">
        <v>105</v>
      </c>
      <c r="C1221" s="90"/>
      <c r="D1221" s="89" t="str">
        <f t="shared" si="6"/>
        <v>PL70-2</v>
      </c>
      <c r="E1221" s="89" t="s">
        <v>2114</v>
      </c>
      <c r="F1221" s="89"/>
      <c r="G1221" s="89"/>
    </row>
    <row r="1222" spans="2:7" ht="14.25" customHeight="1">
      <c r="B1222" s="2" t="s">
        <v>105</v>
      </c>
      <c r="C1222" s="90"/>
      <c r="D1222" s="89"/>
      <c r="E1222" s="89" t="s">
        <v>2115</v>
      </c>
      <c r="F1222" s="89"/>
      <c r="G1222" s="89"/>
    </row>
    <row r="1223" spans="2:7" ht="14.25" customHeight="1">
      <c r="B1223" s="2" t="s">
        <v>105</v>
      </c>
      <c r="C1223" s="90"/>
      <c r="D1223" s="89"/>
      <c r="E1223" s="89" t="s">
        <v>2116</v>
      </c>
      <c r="F1223" s="89"/>
      <c r="G1223" s="89"/>
    </row>
    <row r="1224" spans="2:7" ht="14.25" customHeight="1">
      <c r="B1224" s="2" t="s">
        <v>105</v>
      </c>
      <c r="C1224" s="90"/>
      <c r="D1224" s="89"/>
      <c r="E1224" s="89" t="s">
        <v>2117</v>
      </c>
      <c r="F1224" s="89"/>
      <c r="G1224" s="89"/>
    </row>
    <row r="1225" spans="2:7" ht="14.25" customHeight="1">
      <c r="B1225" s="2" t="s">
        <v>105</v>
      </c>
      <c r="C1225" s="90"/>
      <c r="D1225" s="89"/>
      <c r="E1225" s="89" t="s">
        <v>2118</v>
      </c>
      <c r="F1225" s="89"/>
      <c r="G1225" s="89"/>
    </row>
    <row r="1226" spans="2:7" ht="14.25" customHeight="1">
      <c r="B1226" s="2" t="s">
        <v>105</v>
      </c>
      <c r="C1226" s="90" t="s">
        <v>2112</v>
      </c>
      <c r="D1226" s="90" t="s">
        <v>783</v>
      </c>
      <c r="E1226" s="90" t="s">
        <v>783</v>
      </c>
      <c r="F1226" s="90" t="s">
        <v>783</v>
      </c>
      <c r="G1226" s="90" t="s">
        <v>783</v>
      </c>
    </row>
    <row r="1227" spans="2:7" ht="14.25" customHeight="1">
      <c r="B1227" s="2" t="s">
        <v>105</v>
      </c>
      <c r="C1227" s="90"/>
      <c r="D1227" s="89" t="str">
        <f t="shared" ref="D1227:D1228" si="7">E1227</f>
        <v>PL71-1</v>
      </c>
      <c r="E1227" s="89" t="s">
        <v>2119</v>
      </c>
      <c r="F1227" s="89"/>
      <c r="G1227" s="89"/>
    </row>
    <row r="1228" spans="2:7" ht="14.25" customHeight="1">
      <c r="B1228" s="2" t="s">
        <v>105</v>
      </c>
      <c r="C1228" s="90"/>
      <c r="D1228" s="89" t="str">
        <f t="shared" si="7"/>
        <v>PL71-2</v>
      </c>
      <c r="E1228" s="89" t="s">
        <v>2120</v>
      </c>
      <c r="F1228" s="89"/>
      <c r="G1228" s="89"/>
    </row>
    <row r="1229" spans="2:7" ht="14.25" customHeight="1">
      <c r="B1229" s="2" t="s">
        <v>105</v>
      </c>
      <c r="C1229" s="90"/>
      <c r="D1229" s="89"/>
      <c r="E1229" s="89" t="s">
        <v>2121</v>
      </c>
      <c r="F1229" s="89"/>
      <c r="G1229" s="89"/>
    </row>
    <row r="1230" spans="2:7" ht="14.25" customHeight="1">
      <c r="B1230" s="2" t="s">
        <v>105</v>
      </c>
      <c r="C1230" s="90"/>
      <c r="D1230" s="89"/>
      <c r="E1230" s="89" t="s">
        <v>2122</v>
      </c>
      <c r="F1230" s="89"/>
      <c r="G1230" s="89"/>
    </row>
    <row r="1231" spans="2:7" ht="14.25" customHeight="1">
      <c r="B1231" s="2" t="s">
        <v>105</v>
      </c>
      <c r="C1231" s="90"/>
      <c r="D1231" s="89"/>
      <c r="E1231" s="89" t="s">
        <v>2123</v>
      </c>
      <c r="F1231" s="89"/>
      <c r="G1231" s="89"/>
    </row>
    <row r="1232" spans="2:7" ht="14.25" customHeight="1">
      <c r="B1232" s="2" t="s">
        <v>105</v>
      </c>
      <c r="C1232" s="90"/>
      <c r="D1232" s="89"/>
      <c r="E1232" s="89" t="s">
        <v>2124</v>
      </c>
      <c r="F1232" s="89"/>
      <c r="G1232" s="89"/>
    </row>
    <row r="1233" spans="2:7" ht="14.25" customHeight="1">
      <c r="B1233" s="2" t="s">
        <v>105</v>
      </c>
      <c r="C1233" s="90" t="s">
        <v>2112</v>
      </c>
      <c r="D1233" s="90" t="s">
        <v>784</v>
      </c>
      <c r="E1233" s="90" t="s">
        <v>784</v>
      </c>
      <c r="F1233" s="90" t="s">
        <v>784</v>
      </c>
      <c r="G1233" s="90" t="s">
        <v>784</v>
      </c>
    </row>
    <row r="1234" spans="2:7" ht="14.25" customHeight="1">
      <c r="B1234" s="2" t="s">
        <v>105</v>
      </c>
      <c r="C1234" s="90"/>
      <c r="D1234" s="89" t="str">
        <f t="shared" ref="D1234:D1235" si="8">E1234</f>
        <v>PL72-1</v>
      </c>
      <c r="E1234" s="89" t="s">
        <v>2125</v>
      </c>
      <c r="F1234" s="89"/>
      <c r="G1234" s="89"/>
    </row>
    <row r="1235" spans="2:7" ht="14.25" customHeight="1">
      <c r="B1235" s="2" t="s">
        <v>105</v>
      </c>
      <c r="C1235" s="90"/>
      <c r="D1235" s="89" t="str">
        <f t="shared" si="8"/>
        <v>PL72-2</v>
      </c>
      <c r="E1235" s="89" t="s">
        <v>2126</v>
      </c>
      <c r="F1235" s="89"/>
      <c r="G1235" s="89"/>
    </row>
    <row r="1236" spans="2:7" ht="14.25" customHeight="1">
      <c r="B1236" s="2" t="s">
        <v>105</v>
      </c>
      <c r="C1236" s="90"/>
      <c r="D1236" s="89"/>
      <c r="E1236" s="89" t="s">
        <v>2127</v>
      </c>
      <c r="F1236" s="89"/>
      <c r="G1236" s="89"/>
    </row>
    <row r="1237" spans="2:7" ht="14.25" customHeight="1">
      <c r="B1237" s="2" t="s">
        <v>105</v>
      </c>
      <c r="C1237" s="90"/>
      <c r="D1237" s="89"/>
      <c r="E1237" s="89" t="s">
        <v>2128</v>
      </c>
      <c r="F1237" s="89"/>
      <c r="G1237" s="89"/>
    </row>
    <row r="1238" spans="2:7" ht="14.25" customHeight="1">
      <c r="B1238" s="2" t="s">
        <v>105</v>
      </c>
      <c r="C1238" s="90"/>
      <c r="D1238" s="89"/>
      <c r="E1238" s="89" t="s">
        <v>2129</v>
      </c>
      <c r="F1238" s="89"/>
      <c r="G1238" s="89"/>
    </row>
    <row r="1239" spans="2:7" ht="14.25" customHeight="1">
      <c r="B1239" s="2" t="s">
        <v>105</v>
      </c>
      <c r="C1239" s="90"/>
      <c r="D1239" s="89"/>
      <c r="E1239" s="89" t="s">
        <v>2130</v>
      </c>
      <c r="F1239" s="89"/>
      <c r="G1239" s="89"/>
    </row>
    <row r="1240" spans="2:7" ht="14.25" customHeight="1">
      <c r="B1240" s="2" t="s">
        <v>105</v>
      </c>
      <c r="C1240" s="90" t="s">
        <v>2112</v>
      </c>
      <c r="D1240" s="90" t="s">
        <v>785</v>
      </c>
      <c r="E1240" s="90" t="s">
        <v>785</v>
      </c>
      <c r="F1240" s="90" t="s">
        <v>785</v>
      </c>
      <c r="G1240" s="90" t="s">
        <v>785</v>
      </c>
    </row>
    <row r="1241" spans="2:7" ht="14.25" customHeight="1">
      <c r="B1241" s="2" t="s">
        <v>105</v>
      </c>
      <c r="C1241" s="90"/>
      <c r="D1241" s="89" t="str">
        <f t="shared" ref="D1241:D1242" si="9">E1241</f>
        <v>PL73-1</v>
      </c>
      <c r="E1241" s="89" t="s">
        <v>2131</v>
      </c>
      <c r="F1241" s="89"/>
      <c r="G1241" s="89"/>
    </row>
    <row r="1242" spans="2:7" ht="14.25" customHeight="1">
      <c r="B1242" s="2" t="s">
        <v>105</v>
      </c>
      <c r="C1242" s="90"/>
      <c r="D1242" s="89" t="str">
        <f t="shared" si="9"/>
        <v>PL73-2</v>
      </c>
      <c r="E1242" s="89" t="s">
        <v>2132</v>
      </c>
      <c r="F1242" s="89"/>
      <c r="G1242" s="89"/>
    </row>
    <row r="1243" spans="2:7" ht="14.25" customHeight="1">
      <c r="B1243" s="2" t="s">
        <v>105</v>
      </c>
      <c r="C1243" s="90"/>
      <c r="D1243" s="89"/>
      <c r="E1243" s="89" t="s">
        <v>2133</v>
      </c>
      <c r="F1243" s="89"/>
      <c r="G1243" s="89"/>
    </row>
    <row r="1244" spans="2:7" ht="14.25" customHeight="1">
      <c r="B1244" s="2" t="s">
        <v>105</v>
      </c>
      <c r="C1244" s="90"/>
      <c r="D1244" s="89"/>
      <c r="E1244" s="89" t="s">
        <v>2134</v>
      </c>
      <c r="F1244" s="89"/>
      <c r="G1244" s="89"/>
    </row>
    <row r="1245" spans="2:7" ht="14.25" customHeight="1">
      <c r="B1245" s="2" t="s">
        <v>105</v>
      </c>
      <c r="C1245" s="90"/>
      <c r="D1245" s="89"/>
      <c r="E1245" s="89" t="s">
        <v>2135</v>
      </c>
      <c r="F1245" s="89"/>
      <c r="G1245" s="89"/>
    </row>
    <row r="1246" spans="2:7" ht="14.25" customHeight="1">
      <c r="B1246" s="2" t="s">
        <v>105</v>
      </c>
      <c r="C1246" s="90"/>
      <c r="D1246" s="89"/>
      <c r="E1246" s="89" t="s">
        <v>2136</v>
      </c>
      <c r="F1246" s="89"/>
      <c r="G1246" s="89"/>
    </row>
    <row r="1247" spans="2:7" ht="14.25" customHeight="1">
      <c r="B1247" s="2" t="s">
        <v>105</v>
      </c>
      <c r="C1247" s="90" t="s">
        <v>2137</v>
      </c>
      <c r="D1247" s="90" t="s">
        <v>786</v>
      </c>
      <c r="E1247" s="90" t="s">
        <v>786</v>
      </c>
      <c r="F1247" s="90" t="s">
        <v>786</v>
      </c>
      <c r="G1247" s="90" t="s">
        <v>786</v>
      </c>
    </row>
    <row r="1248" spans="2:7" ht="14.25" customHeight="1">
      <c r="B1248" s="2" t="s">
        <v>105</v>
      </c>
      <c r="C1248" s="90"/>
      <c r="D1248" s="89"/>
      <c r="E1248" s="89" t="s">
        <v>2138</v>
      </c>
      <c r="F1248" s="89"/>
      <c r="G1248" s="89"/>
    </row>
    <row r="1249" spans="2:7" ht="14.25" customHeight="1">
      <c r="B1249" s="2" t="s">
        <v>105</v>
      </c>
      <c r="C1249" s="90"/>
      <c r="D1249" s="89"/>
      <c r="E1249" s="89" t="s">
        <v>2139</v>
      </c>
      <c r="F1249" s="89"/>
      <c r="G1249" s="89"/>
    </row>
    <row r="1250" spans="2:7" ht="14.25" customHeight="1">
      <c r="B1250" s="2" t="s">
        <v>105</v>
      </c>
      <c r="C1250" s="90"/>
      <c r="D1250" s="89"/>
      <c r="E1250" s="89" t="s">
        <v>2140</v>
      </c>
      <c r="F1250" s="89"/>
      <c r="G1250" s="89"/>
    </row>
    <row r="1251" spans="2:7" ht="14.25" customHeight="1">
      <c r="B1251" s="2" t="s">
        <v>105</v>
      </c>
      <c r="C1251" s="90"/>
      <c r="D1251" s="89"/>
      <c r="E1251" s="89" t="s">
        <v>2141</v>
      </c>
      <c r="F1251" s="89"/>
      <c r="G1251" s="89"/>
    </row>
    <row r="1252" spans="2:7" ht="14.25" customHeight="1">
      <c r="B1252" s="2" t="s">
        <v>105</v>
      </c>
      <c r="C1252" s="90" t="s">
        <v>2137</v>
      </c>
      <c r="D1252" s="90" t="s">
        <v>787</v>
      </c>
      <c r="E1252" s="90" t="s">
        <v>787</v>
      </c>
      <c r="F1252" s="90" t="s">
        <v>787</v>
      </c>
      <c r="G1252" s="90" t="s">
        <v>787</v>
      </c>
    </row>
    <row r="1253" spans="2:7" ht="14.25" customHeight="1">
      <c r="B1253" s="2" t="s">
        <v>105</v>
      </c>
      <c r="C1253" s="90"/>
      <c r="D1253" s="89"/>
      <c r="E1253" s="89" t="s">
        <v>2142</v>
      </c>
      <c r="F1253" s="89"/>
      <c r="G1253" s="89"/>
    </row>
    <row r="1254" spans="2:7" ht="14.25" customHeight="1">
      <c r="B1254" s="2" t="s">
        <v>105</v>
      </c>
      <c r="C1254" s="90"/>
      <c r="D1254" s="89"/>
      <c r="E1254" s="89" t="s">
        <v>2143</v>
      </c>
      <c r="F1254" s="89"/>
      <c r="G1254" s="89"/>
    </row>
    <row r="1255" spans="2:7" ht="14.25" customHeight="1">
      <c r="B1255" s="2" t="s">
        <v>105</v>
      </c>
      <c r="C1255" s="90"/>
      <c r="D1255" s="89"/>
      <c r="E1255" s="89" t="s">
        <v>2144</v>
      </c>
      <c r="F1255" s="89"/>
      <c r="G1255" s="89"/>
    </row>
    <row r="1256" spans="2:7" ht="14.25" customHeight="1">
      <c r="B1256" s="2" t="s">
        <v>105</v>
      </c>
      <c r="C1256" s="90"/>
      <c r="D1256" s="89"/>
      <c r="E1256" s="89" t="s">
        <v>2145</v>
      </c>
      <c r="F1256" s="89"/>
      <c r="G1256" s="89"/>
    </row>
    <row r="1257" spans="2:7" ht="14.25" customHeight="1">
      <c r="B1257" s="2" t="s">
        <v>105</v>
      </c>
      <c r="C1257" s="90" t="s">
        <v>2146</v>
      </c>
      <c r="D1257" s="90" t="s">
        <v>788</v>
      </c>
      <c r="E1257" s="90" t="s">
        <v>788</v>
      </c>
      <c r="F1257" s="90" t="s">
        <v>788</v>
      </c>
      <c r="G1257" s="90" t="s">
        <v>788</v>
      </c>
    </row>
    <row r="1258" spans="2:7" ht="14.25" customHeight="1">
      <c r="B1258" s="2" t="s">
        <v>105</v>
      </c>
      <c r="C1258" s="90"/>
      <c r="D1258" s="89" t="str">
        <f t="shared" ref="D1258:D1259" si="10">E1258</f>
        <v>PL76-1</v>
      </c>
      <c r="E1258" s="89" t="s">
        <v>2147</v>
      </c>
      <c r="F1258" s="89"/>
      <c r="G1258" s="89"/>
    </row>
    <row r="1259" spans="2:7" ht="14.25" customHeight="1">
      <c r="B1259" s="2" t="s">
        <v>105</v>
      </c>
      <c r="C1259" s="90"/>
      <c r="D1259" s="89" t="str">
        <f t="shared" si="10"/>
        <v>PL76-2</v>
      </c>
      <c r="E1259" s="89" t="s">
        <v>2148</v>
      </c>
      <c r="F1259" s="89"/>
      <c r="G1259" s="89"/>
    </row>
    <row r="1260" spans="2:7" ht="14.25" customHeight="1">
      <c r="B1260" s="2" t="s">
        <v>105</v>
      </c>
      <c r="C1260" s="90"/>
      <c r="D1260" s="89"/>
      <c r="E1260" s="89" t="s">
        <v>2149</v>
      </c>
      <c r="F1260" s="89"/>
      <c r="G1260" s="89"/>
    </row>
    <row r="1261" spans="2:7" ht="14.25" customHeight="1">
      <c r="B1261" s="2" t="s">
        <v>105</v>
      </c>
      <c r="C1261" s="90"/>
      <c r="D1261" s="89"/>
      <c r="E1261" s="89" t="s">
        <v>2150</v>
      </c>
      <c r="F1261" s="89"/>
      <c r="G1261" s="89"/>
    </row>
    <row r="1262" spans="2:7" ht="14.25" customHeight="1">
      <c r="B1262" s="2" t="s">
        <v>105</v>
      </c>
      <c r="C1262" s="90"/>
      <c r="D1262" s="89"/>
      <c r="E1262" s="89" t="s">
        <v>2151</v>
      </c>
      <c r="F1262" s="89"/>
      <c r="G1262" s="89"/>
    </row>
    <row r="1263" spans="2:7" ht="14.25" customHeight="1">
      <c r="B1263" s="2" t="s">
        <v>105</v>
      </c>
      <c r="C1263" s="90"/>
      <c r="D1263" s="89"/>
      <c r="E1263" s="89" t="s">
        <v>2152</v>
      </c>
      <c r="F1263" s="89"/>
      <c r="G1263" s="89"/>
    </row>
    <row r="1264" spans="2:7" ht="14.25" customHeight="1">
      <c r="B1264" s="2" t="s">
        <v>105</v>
      </c>
      <c r="C1264" s="90" t="s">
        <v>2146</v>
      </c>
      <c r="D1264" s="90" t="s">
        <v>789</v>
      </c>
      <c r="E1264" s="90" t="s">
        <v>789</v>
      </c>
      <c r="F1264" s="90" t="s">
        <v>789</v>
      </c>
      <c r="G1264" s="90" t="s">
        <v>789</v>
      </c>
    </row>
    <row r="1265" spans="2:7" ht="14.25" customHeight="1">
      <c r="B1265" s="2" t="s">
        <v>105</v>
      </c>
      <c r="C1265" s="90"/>
      <c r="D1265" s="89" t="str">
        <f t="shared" ref="D1265:D1266" si="11">E1265</f>
        <v>PL77-1</v>
      </c>
      <c r="E1265" s="89" t="s">
        <v>2153</v>
      </c>
      <c r="F1265" s="89"/>
      <c r="G1265" s="89"/>
    </row>
    <row r="1266" spans="2:7" ht="14.25" customHeight="1">
      <c r="B1266" s="2" t="s">
        <v>105</v>
      </c>
      <c r="C1266" s="90"/>
      <c r="D1266" s="89" t="str">
        <f t="shared" si="11"/>
        <v>PL77-2</v>
      </c>
      <c r="E1266" s="89" t="s">
        <v>2154</v>
      </c>
      <c r="F1266" s="89"/>
      <c r="G1266" s="89"/>
    </row>
    <row r="1267" spans="2:7" ht="14.25" customHeight="1">
      <c r="B1267" s="2" t="s">
        <v>105</v>
      </c>
      <c r="C1267" s="90"/>
      <c r="D1267" s="89"/>
      <c r="E1267" s="89" t="s">
        <v>2155</v>
      </c>
      <c r="F1267" s="89"/>
      <c r="G1267" s="89"/>
    </row>
    <row r="1268" spans="2:7" ht="14.25" customHeight="1">
      <c r="B1268" s="2" t="s">
        <v>105</v>
      </c>
      <c r="C1268" s="90"/>
      <c r="D1268" s="89"/>
      <c r="E1268" s="89" t="s">
        <v>2156</v>
      </c>
      <c r="F1268" s="89"/>
      <c r="G1268" s="89"/>
    </row>
    <row r="1269" spans="2:7" ht="14.25" customHeight="1">
      <c r="B1269" s="2" t="s">
        <v>105</v>
      </c>
      <c r="C1269" s="90"/>
      <c r="D1269" s="89"/>
      <c r="E1269" s="89" t="s">
        <v>2157</v>
      </c>
      <c r="F1269" s="89"/>
      <c r="G1269" s="89"/>
    </row>
    <row r="1270" spans="2:7" ht="14.25" customHeight="1">
      <c r="B1270" s="2" t="s">
        <v>105</v>
      </c>
      <c r="C1270" s="90"/>
      <c r="D1270" s="89"/>
      <c r="E1270" s="89" t="s">
        <v>2158</v>
      </c>
      <c r="F1270" s="89"/>
      <c r="G1270" s="89"/>
    </row>
    <row r="1271" spans="2:7" ht="14.25" customHeight="1">
      <c r="B1271" s="2" t="s">
        <v>105</v>
      </c>
      <c r="C1271" s="90" t="s">
        <v>2146</v>
      </c>
      <c r="D1271" s="90" t="s">
        <v>790</v>
      </c>
      <c r="E1271" s="90" t="s">
        <v>790</v>
      </c>
      <c r="F1271" s="90" t="s">
        <v>790</v>
      </c>
      <c r="G1271" s="90" t="s">
        <v>790</v>
      </c>
    </row>
    <row r="1272" spans="2:7" ht="14.25" customHeight="1">
      <c r="B1272" s="2" t="s">
        <v>105</v>
      </c>
      <c r="C1272" s="90"/>
      <c r="D1272" s="89" t="str">
        <f t="shared" ref="D1272:D1273" si="12">E1272</f>
        <v>PL78-1</v>
      </c>
      <c r="E1272" s="89" t="s">
        <v>2159</v>
      </c>
      <c r="F1272" s="89"/>
      <c r="G1272" s="89"/>
    </row>
    <row r="1273" spans="2:7" ht="14.25" customHeight="1">
      <c r="B1273" s="2" t="s">
        <v>105</v>
      </c>
      <c r="C1273" s="90"/>
      <c r="D1273" s="89" t="str">
        <f t="shared" si="12"/>
        <v>PL78-2</v>
      </c>
      <c r="E1273" s="89" t="s">
        <v>2160</v>
      </c>
      <c r="F1273" s="89"/>
      <c r="G1273" s="89"/>
    </row>
    <row r="1274" spans="2:7" ht="14.25" customHeight="1">
      <c r="B1274" s="2" t="s">
        <v>105</v>
      </c>
      <c r="C1274" s="90"/>
      <c r="D1274" s="89"/>
      <c r="E1274" s="89" t="s">
        <v>2161</v>
      </c>
      <c r="F1274" s="89"/>
      <c r="G1274" s="89"/>
    </row>
    <row r="1275" spans="2:7" ht="14.25" customHeight="1">
      <c r="B1275" s="2" t="s">
        <v>105</v>
      </c>
      <c r="C1275" s="90"/>
      <c r="D1275" s="89"/>
      <c r="E1275" s="89" t="s">
        <v>2162</v>
      </c>
      <c r="F1275" s="89"/>
      <c r="G1275" s="89"/>
    </row>
    <row r="1276" spans="2:7" ht="14.25" customHeight="1">
      <c r="B1276" s="2" t="s">
        <v>105</v>
      </c>
      <c r="C1276" s="90"/>
      <c r="D1276" s="89"/>
      <c r="E1276" s="89" t="s">
        <v>2163</v>
      </c>
      <c r="F1276" s="89"/>
      <c r="G1276" s="89"/>
    </row>
    <row r="1277" spans="2:7" ht="14.25" customHeight="1">
      <c r="B1277" s="2" t="s">
        <v>105</v>
      </c>
      <c r="C1277" s="90"/>
      <c r="D1277" s="89"/>
      <c r="E1277" s="89" t="s">
        <v>2164</v>
      </c>
      <c r="F1277" s="89"/>
      <c r="G1277" s="89"/>
    </row>
    <row r="1278" spans="2:7" ht="14.25" customHeight="1">
      <c r="B1278" s="2" t="s">
        <v>105</v>
      </c>
      <c r="C1278" s="90" t="s">
        <v>2146</v>
      </c>
      <c r="D1278" s="90" t="s">
        <v>791</v>
      </c>
      <c r="E1278" s="90" t="s">
        <v>791</v>
      </c>
      <c r="F1278" s="90" t="s">
        <v>791</v>
      </c>
      <c r="G1278" s="90" t="s">
        <v>791</v>
      </c>
    </row>
    <row r="1279" spans="2:7" ht="14.25" customHeight="1">
      <c r="B1279" s="2" t="s">
        <v>105</v>
      </c>
      <c r="C1279" s="90"/>
      <c r="D1279" s="89" t="str">
        <f t="shared" ref="D1279:D1280" si="13">E1279</f>
        <v>PL79-1</v>
      </c>
      <c r="E1279" s="89" t="s">
        <v>2165</v>
      </c>
      <c r="F1279" s="89"/>
      <c r="G1279" s="89"/>
    </row>
    <row r="1280" spans="2:7" ht="14.25" customHeight="1">
      <c r="B1280" s="2" t="s">
        <v>105</v>
      </c>
      <c r="C1280" s="90"/>
      <c r="D1280" s="89" t="str">
        <f t="shared" si="13"/>
        <v>PL79-2</v>
      </c>
      <c r="E1280" s="89" t="s">
        <v>2166</v>
      </c>
      <c r="F1280" s="89"/>
      <c r="G1280" s="89"/>
    </row>
    <row r="1281" spans="2:7" ht="14.25" customHeight="1">
      <c r="B1281" s="2" t="s">
        <v>105</v>
      </c>
      <c r="C1281" s="90"/>
      <c r="D1281" s="89"/>
      <c r="E1281" s="89" t="s">
        <v>2167</v>
      </c>
      <c r="F1281" s="89"/>
      <c r="G1281" s="89"/>
    </row>
    <row r="1282" spans="2:7" ht="14.25" customHeight="1">
      <c r="B1282" s="2" t="s">
        <v>105</v>
      </c>
      <c r="C1282" s="90"/>
      <c r="D1282" s="89"/>
      <c r="E1282" s="89" t="s">
        <v>2168</v>
      </c>
      <c r="F1282" s="89"/>
      <c r="G1282" s="89"/>
    </row>
    <row r="1283" spans="2:7" ht="14.25" customHeight="1">
      <c r="B1283" s="2" t="s">
        <v>105</v>
      </c>
      <c r="C1283" s="90"/>
      <c r="D1283" s="89"/>
      <c r="E1283" s="89" t="s">
        <v>2169</v>
      </c>
      <c r="F1283" s="89"/>
      <c r="G1283" s="89"/>
    </row>
    <row r="1284" spans="2:7" ht="14.25" customHeight="1">
      <c r="B1284" s="2" t="s">
        <v>105</v>
      </c>
      <c r="C1284" s="90"/>
      <c r="D1284" s="89"/>
      <c r="E1284" s="89" t="s">
        <v>2170</v>
      </c>
      <c r="F1284" s="89"/>
      <c r="G1284" s="89"/>
    </row>
    <row r="1285" spans="2:7" ht="14.25" customHeight="1">
      <c r="B1285" s="2" t="s">
        <v>105</v>
      </c>
      <c r="C1285" s="90" t="s">
        <v>2146</v>
      </c>
      <c r="D1285" s="90" t="s">
        <v>792</v>
      </c>
      <c r="E1285" s="90" t="s">
        <v>792</v>
      </c>
      <c r="F1285" s="90" t="s">
        <v>792</v>
      </c>
      <c r="G1285" s="90" t="s">
        <v>792</v>
      </c>
    </row>
    <row r="1286" spans="2:7" ht="14.25" customHeight="1">
      <c r="B1286" s="2" t="s">
        <v>105</v>
      </c>
      <c r="C1286" s="90"/>
      <c r="D1286" s="89" t="str">
        <f t="shared" ref="D1286:D1287" si="14">E1286</f>
        <v>PL80-1</v>
      </c>
      <c r="E1286" s="89" t="s">
        <v>2171</v>
      </c>
      <c r="F1286" s="89"/>
      <c r="G1286" s="89"/>
    </row>
    <row r="1287" spans="2:7" ht="14.25" customHeight="1">
      <c r="B1287" s="2" t="s">
        <v>105</v>
      </c>
      <c r="C1287" s="90"/>
      <c r="D1287" s="89" t="str">
        <f t="shared" si="14"/>
        <v>PL80-2</v>
      </c>
      <c r="E1287" s="89" t="s">
        <v>2172</v>
      </c>
      <c r="F1287" s="89"/>
      <c r="G1287" s="89"/>
    </row>
    <row r="1288" spans="2:7" ht="14.25" customHeight="1">
      <c r="B1288" s="2" t="s">
        <v>105</v>
      </c>
      <c r="C1288" s="90"/>
      <c r="D1288" s="89"/>
      <c r="E1288" s="89" t="s">
        <v>2173</v>
      </c>
      <c r="F1288" s="89"/>
      <c r="G1288" s="89"/>
    </row>
    <row r="1289" spans="2:7" ht="14.25" customHeight="1">
      <c r="B1289" s="2" t="s">
        <v>105</v>
      </c>
      <c r="C1289" s="90"/>
      <c r="D1289" s="89"/>
      <c r="E1289" s="89" t="s">
        <v>2174</v>
      </c>
      <c r="F1289" s="89"/>
      <c r="G1289" s="89"/>
    </row>
    <row r="1290" spans="2:7" ht="14.25" customHeight="1">
      <c r="B1290" s="2" t="s">
        <v>105</v>
      </c>
      <c r="C1290" s="90"/>
      <c r="D1290" s="89"/>
      <c r="E1290" s="89" t="s">
        <v>2175</v>
      </c>
      <c r="F1290" s="89"/>
      <c r="G1290" s="89"/>
    </row>
    <row r="1291" spans="2:7" ht="14.25" customHeight="1">
      <c r="B1291" s="2" t="s">
        <v>105</v>
      </c>
      <c r="C1291" s="90"/>
      <c r="D1291" s="89"/>
      <c r="E1291" s="89" t="s">
        <v>2176</v>
      </c>
      <c r="F1291" s="89"/>
      <c r="G1291" s="89"/>
    </row>
    <row r="1292" spans="2:7" ht="14.25" customHeight="1">
      <c r="B1292" s="2" t="s">
        <v>105</v>
      </c>
      <c r="C1292" s="90" t="s">
        <v>2146</v>
      </c>
      <c r="D1292" s="90" t="s">
        <v>793</v>
      </c>
      <c r="E1292" s="90" t="s">
        <v>793</v>
      </c>
      <c r="F1292" s="90" t="s">
        <v>793</v>
      </c>
      <c r="G1292" s="90" t="s">
        <v>793</v>
      </c>
    </row>
    <row r="1293" spans="2:7" ht="14.25" customHeight="1">
      <c r="B1293" s="2" t="s">
        <v>105</v>
      </c>
      <c r="C1293" s="90"/>
      <c r="D1293" s="89" t="str">
        <f t="shared" ref="D1293:D1294" si="15">E1293</f>
        <v>PL81-1</v>
      </c>
      <c r="E1293" s="89" t="s">
        <v>2177</v>
      </c>
      <c r="F1293" s="89"/>
      <c r="G1293" s="89"/>
    </row>
    <row r="1294" spans="2:7" ht="14.25" customHeight="1">
      <c r="B1294" s="2" t="s">
        <v>105</v>
      </c>
      <c r="C1294" s="90"/>
      <c r="D1294" s="89" t="str">
        <f t="shared" si="15"/>
        <v>PL81-2</v>
      </c>
      <c r="E1294" s="89" t="s">
        <v>2178</v>
      </c>
      <c r="F1294" s="89"/>
      <c r="G1294" s="89"/>
    </row>
    <row r="1295" spans="2:7" ht="14.25" customHeight="1">
      <c r="B1295" s="2" t="s">
        <v>105</v>
      </c>
      <c r="C1295" s="90"/>
      <c r="D1295" s="89"/>
      <c r="E1295" s="89" t="s">
        <v>2179</v>
      </c>
      <c r="F1295" s="89"/>
      <c r="G1295" s="89"/>
    </row>
    <row r="1296" spans="2:7" ht="14.25" customHeight="1">
      <c r="B1296" s="2" t="s">
        <v>105</v>
      </c>
      <c r="C1296" s="90"/>
      <c r="D1296" s="89"/>
      <c r="E1296" s="89" t="s">
        <v>2180</v>
      </c>
      <c r="F1296" s="89"/>
      <c r="G1296" s="89"/>
    </row>
    <row r="1297" spans="2:7" ht="14.25" customHeight="1">
      <c r="B1297" s="2" t="s">
        <v>105</v>
      </c>
      <c r="C1297" s="90"/>
      <c r="D1297" s="89"/>
      <c r="E1297" s="89" t="s">
        <v>2181</v>
      </c>
      <c r="F1297" s="89"/>
      <c r="G1297" s="89"/>
    </row>
    <row r="1298" spans="2:7" ht="14.25" customHeight="1">
      <c r="B1298" s="2" t="s">
        <v>105</v>
      </c>
      <c r="C1298" s="90"/>
      <c r="D1298" s="89"/>
      <c r="E1298" s="89" t="s">
        <v>2182</v>
      </c>
      <c r="F1298" s="89"/>
      <c r="G1298" s="89"/>
    </row>
    <row r="1299" spans="2:7" ht="14.25" customHeight="1">
      <c r="B1299" s="2" t="s">
        <v>105</v>
      </c>
      <c r="C1299" s="90" t="s">
        <v>2183</v>
      </c>
      <c r="D1299" s="90" t="s">
        <v>795</v>
      </c>
      <c r="E1299" s="90" t="s">
        <v>795</v>
      </c>
      <c r="F1299" s="90" t="s">
        <v>795</v>
      </c>
      <c r="G1299" s="90" t="s">
        <v>795</v>
      </c>
    </row>
    <row r="1300" spans="2:7" ht="14.25" customHeight="1">
      <c r="B1300" s="2" t="s">
        <v>105</v>
      </c>
      <c r="C1300" s="90"/>
      <c r="D1300" s="89"/>
      <c r="E1300" s="89" t="s">
        <v>2184</v>
      </c>
      <c r="F1300" s="89"/>
      <c r="G1300" s="89"/>
    </row>
    <row r="1301" spans="2:7" ht="14.25" customHeight="1">
      <c r="B1301" s="2" t="s">
        <v>105</v>
      </c>
      <c r="C1301" s="90"/>
      <c r="D1301" s="89"/>
      <c r="E1301" s="89" t="s">
        <v>2185</v>
      </c>
      <c r="F1301" s="89"/>
      <c r="G1301" s="89"/>
    </row>
    <row r="1302" spans="2:7" ht="14.25" customHeight="1">
      <c r="B1302" s="2" t="s">
        <v>105</v>
      </c>
      <c r="C1302" s="90"/>
      <c r="D1302" s="89"/>
      <c r="E1302" s="89" t="s">
        <v>2186</v>
      </c>
      <c r="F1302" s="89"/>
      <c r="G1302" s="89"/>
    </row>
    <row r="1303" spans="2:7" ht="14.25" customHeight="1">
      <c r="B1303" s="2" t="s">
        <v>105</v>
      </c>
      <c r="C1303" s="90" t="s">
        <v>2183</v>
      </c>
      <c r="D1303" s="90" t="s">
        <v>796</v>
      </c>
      <c r="E1303" s="90" t="s">
        <v>796</v>
      </c>
      <c r="F1303" s="90" t="s">
        <v>796</v>
      </c>
      <c r="G1303" s="90" t="s">
        <v>796</v>
      </c>
    </row>
    <row r="1304" spans="2:7" ht="14.25" customHeight="1">
      <c r="B1304" s="2" t="s">
        <v>105</v>
      </c>
      <c r="C1304" s="90"/>
      <c r="D1304" s="89"/>
      <c r="E1304" s="89" t="s">
        <v>2187</v>
      </c>
      <c r="F1304" s="89"/>
      <c r="G1304" s="89"/>
    </row>
    <row r="1305" spans="2:7" ht="14.25" customHeight="1">
      <c r="B1305" s="2" t="s">
        <v>105</v>
      </c>
      <c r="C1305" s="90"/>
      <c r="D1305" s="89"/>
      <c r="E1305" s="89" t="s">
        <v>2188</v>
      </c>
      <c r="F1305" s="89"/>
      <c r="G1305" s="89"/>
    </row>
    <row r="1306" spans="2:7" ht="14.25" customHeight="1">
      <c r="B1306" s="2" t="s">
        <v>105</v>
      </c>
      <c r="C1306" s="90"/>
      <c r="D1306" s="89"/>
      <c r="E1306" s="89" t="s">
        <v>2189</v>
      </c>
      <c r="F1306" s="89"/>
      <c r="G1306" s="89"/>
    </row>
    <row r="1307" spans="2:7" ht="14.25" customHeight="1">
      <c r="B1307" s="2" t="s">
        <v>105</v>
      </c>
      <c r="C1307" s="90" t="s">
        <v>2183</v>
      </c>
      <c r="D1307" s="90" t="s">
        <v>797</v>
      </c>
      <c r="E1307" s="90" t="s">
        <v>797</v>
      </c>
      <c r="F1307" s="90" t="s">
        <v>797</v>
      </c>
      <c r="G1307" s="90" t="s">
        <v>797</v>
      </c>
    </row>
    <row r="1308" spans="2:7" ht="14.25" customHeight="1">
      <c r="B1308" s="2" t="s">
        <v>105</v>
      </c>
      <c r="C1308" s="90"/>
      <c r="D1308" s="89"/>
      <c r="E1308" s="89" t="s">
        <v>2190</v>
      </c>
      <c r="F1308" s="89"/>
      <c r="G1308" s="89"/>
    </row>
    <row r="1309" spans="2:7" ht="14.25" customHeight="1">
      <c r="B1309" s="2" t="s">
        <v>105</v>
      </c>
      <c r="C1309" s="90"/>
      <c r="D1309" s="89"/>
      <c r="E1309" s="89" t="s">
        <v>2191</v>
      </c>
      <c r="F1309" s="89"/>
      <c r="G1309" s="89"/>
    </row>
    <row r="1310" spans="2:7" ht="14.25" customHeight="1">
      <c r="B1310" s="2" t="s">
        <v>105</v>
      </c>
      <c r="C1310" s="90"/>
      <c r="D1310" s="89"/>
      <c r="E1310" s="89" t="s">
        <v>2192</v>
      </c>
      <c r="F1310" s="89"/>
      <c r="G1310" s="89"/>
    </row>
    <row r="1311" spans="2:7" ht="14.25" customHeight="1">
      <c r="B1311" s="2" t="s">
        <v>105</v>
      </c>
      <c r="C1311" s="90"/>
      <c r="D1311" s="89"/>
      <c r="E1311" s="89" t="s">
        <v>2193</v>
      </c>
      <c r="F1311" s="89"/>
      <c r="G1311" s="89"/>
    </row>
    <row r="1312" spans="2:7" ht="14.25" customHeight="1">
      <c r="B1312" s="2" t="s">
        <v>105</v>
      </c>
      <c r="C1312" s="90" t="s">
        <v>2194</v>
      </c>
      <c r="D1312" s="90" t="s">
        <v>798</v>
      </c>
      <c r="E1312" s="90" t="s">
        <v>798</v>
      </c>
      <c r="F1312" s="90" t="s">
        <v>798</v>
      </c>
      <c r="G1312" s="90" t="s">
        <v>798</v>
      </c>
    </row>
    <row r="1313" spans="2:7" ht="14.25" customHeight="1">
      <c r="B1313" s="2" t="s">
        <v>105</v>
      </c>
      <c r="C1313" s="90"/>
      <c r="D1313" s="89"/>
      <c r="E1313" s="89" t="s">
        <v>2195</v>
      </c>
      <c r="F1313" s="89"/>
      <c r="G1313" s="89"/>
    </row>
    <row r="1314" spans="2:7" ht="14.25" customHeight="1">
      <c r="B1314" s="2" t="s">
        <v>105</v>
      </c>
      <c r="C1314" s="90"/>
      <c r="D1314" s="89"/>
      <c r="E1314" s="89" t="s">
        <v>2196</v>
      </c>
      <c r="F1314" s="89"/>
      <c r="G1314" s="89"/>
    </row>
    <row r="1315" spans="2:7" ht="14.25" customHeight="1">
      <c r="B1315" s="2" t="s">
        <v>105</v>
      </c>
      <c r="C1315" s="90"/>
      <c r="D1315" s="89"/>
      <c r="E1315" s="89" t="s">
        <v>2197</v>
      </c>
      <c r="F1315" s="89"/>
      <c r="G1315" s="89"/>
    </row>
    <row r="1316" spans="2:7" ht="14.25" customHeight="1">
      <c r="B1316" s="2" t="s">
        <v>105</v>
      </c>
      <c r="C1316" s="90"/>
      <c r="D1316" s="89"/>
      <c r="E1316" s="89" t="s">
        <v>2198</v>
      </c>
      <c r="F1316" s="89"/>
      <c r="G1316" s="89"/>
    </row>
    <row r="1317" spans="2:7" ht="14.25" customHeight="1">
      <c r="B1317" s="2" t="s">
        <v>105</v>
      </c>
      <c r="C1317" s="90"/>
      <c r="D1317" s="89"/>
      <c r="E1317" s="89" t="s">
        <v>2199</v>
      </c>
      <c r="F1317" s="89"/>
      <c r="G1317" s="89"/>
    </row>
    <row r="1318" spans="2:7" ht="14.25" customHeight="1">
      <c r="B1318" s="2" t="s">
        <v>105</v>
      </c>
      <c r="C1318" s="90"/>
      <c r="D1318" s="89"/>
      <c r="E1318" s="89" t="s">
        <v>2200</v>
      </c>
      <c r="F1318" s="89"/>
      <c r="G1318" s="89"/>
    </row>
    <row r="1319" spans="2:7" ht="14.25" customHeight="1">
      <c r="B1319" s="2" t="s">
        <v>105</v>
      </c>
      <c r="C1319" s="90"/>
      <c r="D1319" s="89"/>
      <c r="E1319" s="89" t="s">
        <v>2201</v>
      </c>
      <c r="F1319" s="89"/>
      <c r="G1319" s="89"/>
    </row>
    <row r="1320" spans="2:7" ht="14.25" customHeight="1">
      <c r="B1320" s="2" t="s">
        <v>105</v>
      </c>
      <c r="C1320" s="90"/>
      <c r="D1320" s="89"/>
      <c r="E1320" s="89" t="s">
        <v>2202</v>
      </c>
      <c r="F1320" s="89"/>
      <c r="G1320" s="89"/>
    </row>
    <row r="1321" spans="2:7" ht="14.25" customHeight="1">
      <c r="B1321" s="2" t="s">
        <v>105</v>
      </c>
      <c r="C1321" s="90" t="s">
        <v>2194</v>
      </c>
      <c r="D1321" s="90" t="s">
        <v>799</v>
      </c>
      <c r="E1321" s="90" t="s">
        <v>799</v>
      </c>
      <c r="F1321" s="90" t="s">
        <v>799</v>
      </c>
      <c r="G1321" s="90" t="s">
        <v>799</v>
      </c>
    </row>
    <row r="1322" spans="2:7" ht="14.25" customHeight="1">
      <c r="B1322" s="2" t="s">
        <v>105</v>
      </c>
      <c r="C1322" s="90"/>
      <c r="D1322" s="89"/>
      <c r="E1322" s="89" t="s">
        <v>2203</v>
      </c>
      <c r="F1322" s="89"/>
      <c r="G1322" s="89"/>
    </row>
    <row r="1323" spans="2:7" ht="14.25" customHeight="1">
      <c r="B1323" s="2" t="s">
        <v>105</v>
      </c>
      <c r="C1323" s="90"/>
      <c r="D1323" s="89"/>
      <c r="E1323" s="89" t="s">
        <v>2204</v>
      </c>
      <c r="F1323" s="89"/>
      <c r="G1323" s="89"/>
    </row>
    <row r="1324" spans="2:7" ht="14.25" customHeight="1">
      <c r="B1324" s="2" t="s">
        <v>105</v>
      </c>
      <c r="C1324" s="90"/>
      <c r="D1324" s="89"/>
      <c r="E1324" s="89" t="s">
        <v>2205</v>
      </c>
      <c r="F1324" s="89"/>
      <c r="G1324" s="89"/>
    </row>
    <row r="1325" spans="2:7" ht="14.25" customHeight="1">
      <c r="B1325" s="2" t="s">
        <v>105</v>
      </c>
      <c r="C1325" s="90"/>
      <c r="D1325" s="89"/>
      <c r="E1325" s="89" t="s">
        <v>2206</v>
      </c>
      <c r="F1325" s="89"/>
      <c r="G1325" s="89"/>
    </row>
    <row r="1326" spans="2:7" ht="14.25" customHeight="1">
      <c r="B1326" s="2" t="s">
        <v>105</v>
      </c>
      <c r="C1326" s="90"/>
      <c r="D1326" s="89"/>
      <c r="E1326" s="89" t="s">
        <v>2207</v>
      </c>
      <c r="F1326" s="89"/>
      <c r="G1326" s="89"/>
    </row>
    <row r="1327" spans="2:7" ht="14.25" customHeight="1">
      <c r="B1327" s="2" t="s">
        <v>105</v>
      </c>
      <c r="C1327" s="90"/>
      <c r="D1327" s="89"/>
      <c r="E1327" s="89" t="s">
        <v>2208</v>
      </c>
      <c r="F1327" s="89"/>
      <c r="G1327" s="89"/>
    </row>
    <row r="1328" spans="2:7" ht="14.25" customHeight="1">
      <c r="B1328" s="2" t="s">
        <v>105</v>
      </c>
      <c r="C1328" s="90"/>
      <c r="D1328" s="89"/>
      <c r="E1328" s="89" t="s">
        <v>2209</v>
      </c>
      <c r="F1328" s="89"/>
      <c r="G1328" s="89"/>
    </row>
    <row r="1329" spans="2:7" ht="14.25" customHeight="1">
      <c r="B1329" s="2" t="s">
        <v>105</v>
      </c>
      <c r="C1329" s="90"/>
      <c r="D1329" s="89"/>
      <c r="E1329" s="89" t="s">
        <v>2210</v>
      </c>
      <c r="F1329" s="89"/>
      <c r="G1329" s="89"/>
    </row>
    <row r="1330" spans="2:7" ht="14.25" customHeight="1">
      <c r="B1330" s="2" t="s">
        <v>105</v>
      </c>
      <c r="C1330" s="90" t="s">
        <v>2194</v>
      </c>
      <c r="D1330" s="90" t="s">
        <v>800</v>
      </c>
      <c r="E1330" s="90" t="s">
        <v>800</v>
      </c>
      <c r="F1330" s="90" t="s">
        <v>800</v>
      </c>
      <c r="G1330" s="90" t="s">
        <v>800</v>
      </c>
    </row>
    <row r="1331" spans="2:7" ht="14.25" customHeight="1">
      <c r="B1331" s="2" t="s">
        <v>105</v>
      </c>
      <c r="C1331" s="90"/>
      <c r="D1331" s="89"/>
      <c r="E1331" s="89" t="s">
        <v>2211</v>
      </c>
      <c r="F1331" s="89"/>
      <c r="G1331" s="89"/>
    </row>
    <row r="1332" spans="2:7" ht="14.25" customHeight="1">
      <c r="B1332" s="2" t="s">
        <v>105</v>
      </c>
      <c r="C1332" s="90"/>
      <c r="D1332" s="89"/>
      <c r="E1332" s="89" t="s">
        <v>2212</v>
      </c>
      <c r="F1332" s="89"/>
      <c r="G1332" s="89"/>
    </row>
    <row r="1333" spans="2:7" ht="14.25" customHeight="1">
      <c r="B1333" s="2" t="s">
        <v>105</v>
      </c>
      <c r="C1333" s="90"/>
      <c r="D1333" s="89"/>
      <c r="E1333" s="89" t="s">
        <v>2213</v>
      </c>
      <c r="F1333" s="89"/>
      <c r="G1333" s="89"/>
    </row>
    <row r="1334" spans="2:7" ht="14.25" customHeight="1">
      <c r="B1334" s="2" t="s">
        <v>105</v>
      </c>
      <c r="C1334" s="90"/>
      <c r="D1334" s="89"/>
      <c r="E1334" s="89" t="s">
        <v>2214</v>
      </c>
      <c r="F1334" s="89"/>
      <c r="G1334" s="89"/>
    </row>
    <row r="1335" spans="2:7" ht="14.25" customHeight="1">
      <c r="B1335" s="2" t="s">
        <v>105</v>
      </c>
      <c r="C1335" s="90"/>
      <c r="D1335" s="89"/>
      <c r="E1335" s="89" t="s">
        <v>2215</v>
      </c>
      <c r="F1335" s="89"/>
      <c r="G1335" s="89"/>
    </row>
    <row r="1336" spans="2:7" ht="14.25" customHeight="1">
      <c r="B1336" s="2" t="s">
        <v>105</v>
      </c>
      <c r="C1336" s="90"/>
      <c r="D1336" s="89"/>
      <c r="E1336" s="89" t="s">
        <v>2216</v>
      </c>
      <c r="F1336" s="89"/>
      <c r="G1336" s="89"/>
    </row>
    <row r="1337" spans="2:7" ht="14.25" customHeight="1">
      <c r="B1337" s="2" t="s">
        <v>105</v>
      </c>
      <c r="C1337" s="90"/>
      <c r="D1337" s="89"/>
      <c r="E1337" s="89" t="s">
        <v>2217</v>
      </c>
      <c r="F1337" s="89"/>
      <c r="G1337" s="89"/>
    </row>
    <row r="1338" spans="2:7" ht="14.25" customHeight="1">
      <c r="B1338" s="2" t="s">
        <v>105</v>
      </c>
      <c r="C1338" s="90"/>
      <c r="D1338" s="89"/>
      <c r="E1338" s="89" t="s">
        <v>2218</v>
      </c>
      <c r="F1338" s="89"/>
      <c r="G1338" s="89"/>
    </row>
    <row r="1339" spans="2:7" ht="14.25" customHeight="1">
      <c r="B1339" s="2" t="s">
        <v>105</v>
      </c>
      <c r="C1339" s="90" t="s">
        <v>2194</v>
      </c>
      <c r="D1339" s="90" t="s">
        <v>801</v>
      </c>
      <c r="E1339" s="90" t="s">
        <v>801</v>
      </c>
      <c r="F1339" s="90" t="s">
        <v>801</v>
      </c>
      <c r="G1339" s="90" t="s">
        <v>801</v>
      </c>
    </row>
    <row r="1340" spans="2:7" ht="14.25" customHeight="1">
      <c r="B1340" s="2" t="s">
        <v>105</v>
      </c>
      <c r="C1340" s="90"/>
      <c r="D1340" s="89"/>
      <c r="E1340" s="89" t="s">
        <v>2219</v>
      </c>
      <c r="F1340" s="89"/>
      <c r="G1340" s="89"/>
    </row>
    <row r="1341" spans="2:7" ht="14.25" customHeight="1">
      <c r="B1341" s="2" t="s">
        <v>105</v>
      </c>
      <c r="C1341" s="90"/>
      <c r="D1341" s="89"/>
      <c r="E1341" s="89" t="s">
        <v>2220</v>
      </c>
      <c r="F1341" s="89"/>
      <c r="G1341" s="89"/>
    </row>
    <row r="1342" spans="2:7" ht="14.25" customHeight="1">
      <c r="B1342" s="2" t="s">
        <v>105</v>
      </c>
      <c r="C1342" s="90"/>
      <c r="D1342" s="89"/>
      <c r="E1342" s="89" t="s">
        <v>2221</v>
      </c>
      <c r="F1342" s="89"/>
      <c r="G1342" s="89"/>
    </row>
    <row r="1343" spans="2:7" ht="14.25" customHeight="1">
      <c r="B1343" s="2" t="s">
        <v>105</v>
      </c>
      <c r="C1343" s="90"/>
      <c r="D1343" s="89"/>
      <c r="E1343" s="89" t="s">
        <v>2222</v>
      </c>
      <c r="F1343" s="89"/>
      <c r="G1343" s="89"/>
    </row>
    <row r="1344" spans="2:7" ht="14.25" customHeight="1">
      <c r="B1344" s="2" t="s">
        <v>105</v>
      </c>
      <c r="C1344" s="90"/>
      <c r="D1344" s="89"/>
      <c r="E1344" s="89" t="s">
        <v>2223</v>
      </c>
      <c r="F1344" s="89"/>
      <c r="G1344" s="89"/>
    </row>
    <row r="1345" spans="2:7" ht="14.25" customHeight="1">
      <c r="B1345" s="2" t="s">
        <v>105</v>
      </c>
      <c r="C1345" s="90"/>
      <c r="D1345" s="89"/>
      <c r="E1345" s="89" t="s">
        <v>2224</v>
      </c>
      <c r="F1345" s="89"/>
      <c r="G1345" s="89"/>
    </row>
    <row r="1346" spans="2:7" ht="14.25" customHeight="1">
      <c r="B1346" s="2" t="s">
        <v>105</v>
      </c>
      <c r="C1346" s="90"/>
      <c r="D1346" s="89"/>
      <c r="E1346" s="89" t="s">
        <v>2225</v>
      </c>
      <c r="F1346" s="89"/>
      <c r="G1346" s="89"/>
    </row>
    <row r="1347" spans="2:7" ht="14.25" customHeight="1">
      <c r="B1347" s="2" t="s">
        <v>105</v>
      </c>
      <c r="C1347" s="90"/>
      <c r="D1347" s="89"/>
      <c r="E1347" s="89" t="s">
        <v>2226</v>
      </c>
      <c r="F1347" s="89"/>
      <c r="G1347" s="89"/>
    </row>
    <row r="1348" spans="2:7" ht="14.25" customHeight="1">
      <c r="B1348" s="2" t="s">
        <v>105</v>
      </c>
      <c r="C1348" s="90" t="s">
        <v>2194</v>
      </c>
      <c r="D1348" s="90" t="s">
        <v>802</v>
      </c>
      <c r="E1348" s="90" t="s">
        <v>802</v>
      </c>
      <c r="F1348" s="90" t="s">
        <v>802</v>
      </c>
      <c r="G1348" s="90" t="s">
        <v>802</v>
      </c>
    </row>
    <row r="1349" spans="2:7" ht="14.25" customHeight="1">
      <c r="B1349" s="2" t="s">
        <v>105</v>
      </c>
      <c r="C1349" s="90"/>
      <c r="D1349" s="89" t="str">
        <f t="shared" ref="D1349:D1350" si="16">E1349</f>
        <v>PR6-1</v>
      </c>
      <c r="E1349" s="89" t="s">
        <v>2227</v>
      </c>
      <c r="F1349" s="89"/>
      <c r="G1349" s="89"/>
    </row>
    <row r="1350" spans="2:7" ht="14.25" customHeight="1">
      <c r="B1350" s="2" t="s">
        <v>105</v>
      </c>
      <c r="C1350" s="90"/>
      <c r="D1350" s="89" t="str">
        <f t="shared" si="16"/>
        <v>PR6-2</v>
      </c>
      <c r="E1350" s="89" t="s">
        <v>2228</v>
      </c>
      <c r="F1350" s="89"/>
      <c r="G1350" s="89"/>
    </row>
    <row r="1351" spans="2:7" ht="14.25" customHeight="1">
      <c r="B1351" s="2" t="s">
        <v>105</v>
      </c>
      <c r="C1351" s="90"/>
      <c r="D1351" s="89"/>
      <c r="E1351" s="89" t="s">
        <v>2229</v>
      </c>
      <c r="F1351" s="89"/>
      <c r="G1351" s="89"/>
    </row>
    <row r="1352" spans="2:7" ht="14.25" customHeight="1">
      <c r="B1352" s="2" t="s">
        <v>105</v>
      </c>
      <c r="C1352" s="90"/>
      <c r="D1352" s="89"/>
      <c r="E1352" s="89" t="s">
        <v>2230</v>
      </c>
      <c r="F1352" s="89"/>
      <c r="G1352" s="89"/>
    </row>
    <row r="1353" spans="2:7" ht="14.25" customHeight="1">
      <c r="B1353" s="2" t="s">
        <v>105</v>
      </c>
      <c r="C1353" s="90"/>
      <c r="D1353" s="89"/>
      <c r="E1353" s="89" t="s">
        <v>2231</v>
      </c>
      <c r="F1353" s="89"/>
      <c r="G1353" s="89"/>
    </row>
    <row r="1354" spans="2:7" ht="14.25" customHeight="1">
      <c r="B1354" s="2" t="s">
        <v>105</v>
      </c>
      <c r="C1354" s="90"/>
      <c r="D1354" s="89"/>
      <c r="E1354" s="89" t="s">
        <v>2232</v>
      </c>
      <c r="F1354" s="89"/>
      <c r="G1354" s="89"/>
    </row>
    <row r="1355" spans="2:7" ht="14.25" customHeight="1">
      <c r="B1355" s="2" t="s">
        <v>105</v>
      </c>
      <c r="C1355" s="90" t="s">
        <v>2233</v>
      </c>
      <c r="D1355" s="90" t="s">
        <v>803</v>
      </c>
      <c r="E1355" s="90" t="s">
        <v>803</v>
      </c>
      <c r="F1355" s="90" t="s">
        <v>803</v>
      </c>
      <c r="G1355" s="90" t="s">
        <v>803</v>
      </c>
    </row>
    <row r="1356" spans="2:7" ht="14.25" customHeight="1">
      <c r="B1356" s="2" t="s">
        <v>105</v>
      </c>
      <c r="C1356" s="90"/>
      <c r="D1356" s="89"/>
      <c r="E1356" s="89" t="s">
        <v>2234</v>
      </c>
      <c r="F1356" s="89"/>
      <c r="G1356" s="89"/>
    </row>
    <row r="1357" spans="2:7" ht="14.25" customHeight="1">
      <c r="B1357" s="2" t="s">
        <v>105</v>
      </c>
      <c r="C1357" s="90"/>
      <c r="D1357" s="89"/>
      <c r="E1357" s="89" t="s">
        <v>2235</v>
      </c>
      <c r="F1357" s="89"/>
      <c r="G1357" s="89"/>
    </row>
    <row r="1358" spans="2:7" ht="14.25" customHeight="1">
      <c r="B1358" s="2" t="s">
        <v>105</v>
      </c>
      <c r="C1358" s="90"/>
      <c r="D1358" s="89"/>
      <c r="E1358" s="89" t="s">
        <v>2236</v>
      </c>
      <c r="F1358" s="89"/>
      <c r="G1358" s="89"/>
    </row>
    <row r="1359" spans="2:7" ht="14.25" customHeight="1">
      <c r="B1359" s="2" t="s">
        <v>105</v>
      </c>
      <c r="C1359" s="90"/>
      <c r="D1359" s="89"/>
      <c r="E1359" s="89" t="s">
        <v>2237</v>
      </c>
      <c r="F1359" s="89"/>
      <c r="G1359" s="89"/>
    </row>
    <row r="1360" spans="2:7" ht="14.25" customHeight="1">
      <c r="B1360" s="2" t="s">
        <v>105</v>
      </c>
      <c r="C1360" s="90" t="s">
        <v>2233</v>
      </c>
      <c r="D1360" s="90" t="s">
        <v>804</v>
      </c>
      <c r="E1360" s="90" t="s">
        <v>804</v>
      </c>
      <c r="F1360" s="90" t="s">
        <v>804</v>
      </c>
      <c r="G1360" s="90" t="s">
        <v>804</v>
      </c>
    </row>
    <row r="1361" spans="2:7" ht="14.25" customHeight="1">
      <c r="B1361" s="2" t="s">
        <v>105</v>
      </c>
      <c r="C1361" s="90"/>
      <c r="D1361" s="89"/>
      <c r="E1361" s="89" t="s">
        <v>2238</v>
      </c>
      <c r="F1361" s="89"/>
      <c r="G1361" s="89"/>
    </row>
    <row r="1362" spans="2:7" ht="14.25" customHeight="1">
      <c r="B1362" s="2" t="s">
        <v>105</v>
      </c>
      <c r="C1362" s="90"/>
      <c r="D1362" s="89"/>
      <c r="E1362" s="89" t="s">
        <v>2239</v>
      </c>
      <c r="F1362" s="89"/>
      <c r="G1362" s="89"/>
    </row>
    <row r="1363" spans="2:7" ht="14.25" customHeight="1">
      <c r="B1363" s="2" t="s">
        <v>105</v>
      </c>
      <c r="C1363" s="90"/>
      <c r="D1363" s="89"/>
      <c r="E1363" s="89" t="s">
        <v>2240</v>
      </c>
      <c r="F1363" s="89"/>
      <c r="G1363" s="89"/>
    </row>
    <row r="1364" spans="2:7" ht="14.25" customHeight="1">
      <c r="B1364" s="2" t="s">
        <v>105</v>
      </c>
      <c r="C1364" s="90"/>
      <c r="D1364" s="89"/>
      <c r="E1364" s="89" t="s">
        <v>2241</v>
      </c>
      <c r="F1364" s="89"/>
      <c r="G1364" s="89"/>
    </row>
    <row r="1365" spans="2:7" ht="14.25" customHeight="1">
      <c r="B1365" s="2" t="s">
        <v>105</v>
      </c>
      <c r="C1365" s="90" t="s">
        <v>2233</v>
      </c>
      <c r="D1365" s="90" t="s">
        <v>805</v>
      </c>
      <c r="E1365" s="90" t="s">
        <v>805</v>
      </c>
      <c r="F1365" s="90" t="s">
        <v>805</v>
      </c>
      <c r="G1365" s="90" t="s">
        <v>805</v>
      </c>
    </row>
    <row r="1366" spans="2:7" ht="14.25" customHeight="1">
      <c r="B1366" s="2" t="s">
        <v>105</v>
      </c>
      <c r="C1366" s="90"/>
      <c r="D1366" s="89"/>
      <c r="E1366" s="89" t="s">
        <v>2242</v>
      </c>
      <c r="F1366" s="89"/>
      <c r="G1366" s="89"/>
    </row>
    <row r="1367" spans="2:7" ht="14.25" customHeight="1">
      <c r="B1367" s="2" t="s">
        <v>105</v>
      </c>
      <c r="C1367" s="90"/>
      <c r="D1367" s="89"/>
      <c r="E1367" s="89" t="s">
        <v>2243</v>
      </c>
      <c r="F1367" s="89"/>
      <c r="G1367" s="89"/>
    </row>
    <row r="1368" spans="2:7" ht="14.25" customHeight="1">
      <c r="B1368" s="2" t="s">
        <v>105</v>
      </c>
      <c r="C1368" s="90"/>
      <c r="D1368" s="89"/>
      <c r="E1368" s="89" t="s">
        <v>2244</v>
      </c>
      <c r="F1368" s="89"/>
      <c r="G1368" s="89"/>
    </row>
    <row r="1369" spans="2:7" ht="14.25" customHeight="1">
      <c r="B1369" s="2" t="s">
        <v>105</v>
      </c>
      <c r="C1369" s="90"/>
      <c r="D1369" s="89"/>
      <c r="E1369" s="89" t="s">
        <v>2245</v>
      </c>
      <c r="F1369" s="89"/>
      <c r="G1369" s="89"/>
    </row>
    <row r="1370" spans="2:7" ht="14.25" customHeight="1">
      <c r="B1370" s="2" t="s">
        <v>105</v>
      </c>
      <c r="C1370" s="90" t="s">
        <v>2246</v>
      </c>
      <c r="D1370" s="90" t="s">
        <v>806</v>
      </c>
      <c r="E1370" s="90" t="s">
        <v>806</v>
      </c>
      <c r="F1370" s="90" t="s">
        <v>806</v>
      </c>
      <c r="G1370" s="90" t="s">
        <v>806</v>
      </c>
    </row>
    <row r="1371" spans="2:7" ht="14.25" customHeight="1">
      <c r="B1371" s="2" t="s">
        <v>105</v>
      </c>
      <c r="C1371" s="90"/>
      <c r="D1371" s="89"/>
      <c r="E1371" s="89" t="s">
        <v>2247</v>
      </c>
      <c r="F1371" s="89"/>
      <c r="G1371" s="89"/>
    </row>
    <row r="1372" spans="2:7" ht="14.25" customHeight="1">
      <c r="B1372" s="2" t="s">
        <v>105</v>
      </c>
      <c r="C1372" s="90"/>
      <c r="D1372" s="89"/>
      <c r="E1372" s="89" t="s">
        <v>2248</v>
      </c>
      <c r="F1372" s="89"/>
      <c r="G1372" s="89"/>
    </row>
    <row r="1373" spans="2:7" ht="14.25" customHeight="1">
      <c r="B1373" s="2" t="s">
        <v>105</v>
      </c>
      <c r="C1373" s="90"/>
      <c r="D1373" s="89"/>
      <c r="E1373" s="89" t="s">
        <v>2249</v>
      </c>
      <c r="F1373" s="89"/>
      <c r="G1373" s="89"/>
    </row>
    <row r="1374" spans="2:7" ht="14.25" customHeight="1">
      <c r="B1374" s="2" t="s">
        <v>105</v>
      </c>
      <c r="C1374" s="90"/>
      <c r="D1374" s="89"/>
      <c r="E1374" s="89" t="s">
        <v>2250</v>
      </c>
      <c r="F1374" s="89"/>
      <c r="G1374" s="89"/>
    </row>
    <row r="1375" spans="2:7" ht="14.25" customHeight="1">
      <c r="B1375" s="2" t="s">
        <v>105</v>
      </c>
      <c r="C1375" s="90" t="s">
        <v>2246</v>
      </c>
      <c r="D1375" s="90" t="s">
        <v>807</v>
      </c>
      <c r="E1375" s="90" t="s">
        <v>807</v>
      </c>
      <c r="F1375" s="90" t="s">
        <v>807</v>
      </c>
      <c r="G1375" s="90" t="s">
        <v>807</v>
      </c>
    </row>
    <row r="1376" spans="2:7" ht="14.25" customHeight="1">
      <c r="B1376" s="2" t="s">
        <v>105</v>
      </c>
      <c r="C1376" s="90"/>
      <c r="D1376" s="89"/>
      <c r="E1376" s="89" t="s">
        <v>2251</v>
      </c>
      <c r="F1376" s="89"/>
      <c r="G1376" s="89"/>
    </row>
    <row r="1377" spans="2:7" ht="14.25" customHeight="1">
      <c r="B1377" s="2" t="s">
        <v>105</v>
      </c>
      <c r="C1377" s="90"/>
      <c r="D1377" s="89"/>
      <c r="E1377" s="89" t="s">
        <v>2252</v>
      </c>
      <c r="F1377" s="89"/>
      <c r="G1377" s="89"/>
    </row>
    <row r="1378" spans="2:7" ht="14.25" customHeight="1">
      <c r="B1378" s="2" t="s">
        <v>105</v>
      </c>
      <c r="C1378" s="90"/>
      <c r="D1378" s="89"/>
      <c r="E1378" s="89" t="s">
        <v>2253</v>
      </c>
      <c r="F1378" s="89"/>
      <c r="G1378" s="89"/>
    </row>
    <row r="1379" spans="2:7" ht="14.25" customHeight="1">
      <c r="B1379" s="2" t="s">
        <v>105</v>
      </c>
      <c r="C1379" s="90"/>
      <c r="D1379" s="89"/>
      <c r="E1379" s="89" t="s">
        <v>2254</v>
      </c>
      <c r="F1379" s="89"/>
      <c r="G1379" s="89"/>
    </row>
    <row r="1380" spans="2:7" ht="14.25" customHeight="1">
      <c r="B1380" s="2" t="s">
        <v>105</v>
      </c>
      <c r="C1380" s="90" t="s">
        <v>2255</v>
      </c>
      <c r="D1380" s="90" t="s">
        <v>808</v>
      </c>
      <c r="E1380" s="90" t="s">
        <v>808</v>
      </c>
      <c r="F1380" s="90" t="s">
        <v>808</v>
      </c>
      <c r="G1380" s="90" t="s">
        <v>808</v>
      </c>
    </row>
    <row r="1381" spans="2:7" ht="14.25" customHeight="1">
      <c r="B1381" s="2" t="s">
        <v>105</v>
      </c>
      <c r="C1381" s="90"/>
      <c r="D1381" s="89" t="str">
        <f t="shared" ref="D1381:D1382" si="17">E1381</f>
        <v>PR12-1</v>
      </c>
      <c r="E1381" s="89" t="s">
        <v>2256</v>
      </c>
      <c r="F1381" s="89"/>
      <c r="G1381" s="89"/>
    </row>
    <row r="1382" spans="2:7" ht="14.25" customHeight="1">
      <c r="B1382" s="2" t="s">
        <v>105</v>
      </c>
      <c r="C1382" s="90"/>
      <c r="D1382" s="89" t="str">
        <f t="shared" si="17"/>
        <v>PR12-2</v>
      </c>
      <c r="E1382" s="89" t="s">
        <v>2257</v>
      </c>
      <c r="F1382" s="89"/>
      <c r="G1382" s="89"/>
    </row>
    <row r="1383" spans="2:7" ht="14.25" customHeight="1">
      <c r="B1383" s="2" t="s">
        <v>105</v>
      </c>
      <c r="C1383" s="90"/>
      <c r="D1383" s="89"/>
      <c r="E1383" s="89" t="s">
        <v>2258</v>
      </c>
      <c r="F1383" s="89"/>
      <c r="G1383" s="89"/>
    </row>
    <row r="1384" spans="2:7" ht="14.25" customHeight="1">
      <c r="B1384" s="2" t="s">
        <v>105</v>
      </c>
      <c r="C1384" s="90"/>
      <c r="D1384" s="89"/>
      <c r="E1384" s="89" t="s">
        <v>2259</v>
      </c>
      <c r="F1384" s="89"/>
      <c r="G1384" s="89"/>
    </row>
    <row r="1385" spans="2:7" ht="14.25" customHeight="1">
      <c r="B1385" s="2" t="s">
        <v>105</v>
      </c>
      <c r="C1385" s="90"/>
      <c r="D1385" s="89"/>
      <c r="E1385" s="89" t="s">
        <v>2260</v>
      </c>
      <c r="F1385" s="89"/>
      <c r="G1385" s="89"/>
    </row>
    <row r="1386" spans="2:7" ht="14.25" customHeight="1">
      <c r="B1386" s="2" t="s">
        <v>105</v>
      </c>
      <c r="C1386" s="90"/>
      <c r="D1386" s="89"/>
      <c r="E1386" s="89" t="s">
        <v>2261</v>
      </c>
      <c r="F1386" s="89"/>
      <c r="G1386" s="89"/>
    </row>
    <row r="1387" spans="2:7" ht="14.25" customHeight="1">
      <c r="B1387" s="2" t="s">
        <v>105</v>
      </c>
      <c r="C1387" s="90" t="s">
        <v>2255</v>
      </c>
      <c r="D1387" s="90" t="s">
        <v>809</v>
      </c>
      <c r="E1387" s="90" t="s">
        <v>809</v>
      </c>
      <c r="F1387" s="90" t="s">
        <v>809</v>
      </c>
      <c r="G1387" s="90" t="s">
        <v>809</v>
      </c>
    </row>
    <row r="1388" spans="2:7" ht="14.25" customHeight="1">
      <c r="B1388" s="2" t="s">
        <v>105</v>
      </c>
      <c r="C1388" s="90"/>
      <c r="D1388" s="89" t="str">
        <f t="shared" ref="D1388:D1389" si="18">E1388</f>
        <v>PR13-1</v>
      </c>
      <c r="E1388" s="89" t="s">
        <v>2262</v>
      </c>
      <c r="F1388" s="89"/>
      <c r="G1388" s="89"/>
    </row>
    <row r="1389" spans="2:7" ht="14.25" customHeight="1">
      <c r="B1389" s="2" t="s">
        <v>105</v>
      </c>
      <c r="C1389" s="90"/>
      <c r="D1389" s="89" t="str">
        <f t="shared" si="18"/>
        <v>PR13-2</v>
      </c>
      <c r="E1389" s="89" t="s">
        <v>2263</v>
      </c>
      <c r="F1389" s="89"/>
      <c r="G1389" s="89"/>
    </row>
    <row r="1390" spans="2:7" ht="14.25" customHeight="1">
      <c r="B1390" s="2" t="s">
        <v>105</v>
      </c>
      <c r="C1390" s="90"/>
      <c r="D1390" s="89"/>
      <c r="E1390" s="89" t="s">
        <v>2264</v>
      </c>
      <c r="F1390" s="89"/>
      <c r="G1390" s="89"/>
    </row>
    <row r="1391" spans="2:7" ht="14.25" customHeight="1">
      <c r="B1391" s="2" t="s">
        <v>105</v>
      </c>
      <c r="C1391" s="90"/>
      <c r="D1391" s="89"/>
      <c r="E1391" s="89" t="s">
        <v>2265</v>
      </c>
      <c r="F1391" s="89"/>
      <c r="G1391" s="89"/>
    </row>
    <row r="1392" spans="2:7" ht="14.25" customHeight="1">
      <c r="B1392" s="2" t="s">
        <v>105</v>
      </c>
      <c r="C1392" s="90"/>
      <c r="D1392" s="89"/>
      <c r="E1392" s="89" t="s">
        <v>2266</v>
      </c>
      <c r="F1392" s="89"/>
      <c r="G1392" s="89"/>
    </row>
    <row r="1393" spans="2:7" ht="14.25" customHeight="1">
      <c r="B1393" s="2" t="s">
        <v>105</v>
      </c>
      <c r="C1393" s="90"/>
      <c r="D1393" s="89"/>
      <c r="E1393" s="89" t="s">
        <v>2267</v>
      </c>
      <c r="F1393" s="89"/>
      <c r="G1393" s="89"/>
    </row>
    <row r="1394" spans="2:7" ht="14.25" customHeight="1">
      <c r="B1394" s="2" t="s">
        <v>105</v>
      </c>
      <c r="C1394" s="90" t="s">
        <v>2255</v>
      </c>
      <c r="D1394" s="90" t="s">
        <v>810</v>
      </c>
      <c r="E1394" s="90" t="s">
        <v>810</v>
      </c>
      <c r="F1394" s="90" t="s">
        <v>810</v>
      </c>
      <c r="G1394" s="90" t="s">
        <v>810</v>
      </c>
    </row>
    <row r="1395" spans="2:7" ht="14.25" customHeight="1">
      <c r="B1395" s="2" t="s">
        <v>105</v>
      </c>
      <c r="C1395" s="90"/>
      <c r="D1395" s="89" t="str">
        <f t="shared" ref="D1395:D1396" si="19">E1395</f>
        <v>PR14-1</v>
      </c>
      <c r="E1395" s="89" t="s">
        <v>2268</v>
      </c>
      <c r="F1395" s="89"/>
      <c r="G1395" s="89"/>
    </row>
    <row r="1396" spans="2:7" ht="14.25" customHeight="1">
      <c r="B1396" s="2" t="s">
        <v>105</v>
      </c>
      <c r="C1396" s="90"/>
      <c r="D1396" s="89" t="str">
        <f t="shared" si="19"/>
        <v>PR14-2</v>
      </c>
      <c r="E1396" s="89" t="s">
        <v>2269</v>
      </c>
      <c r="F1396" s="89"/>
      <c r="G1396" s="89"/>
    </row>
    <row r="1397" spans="2:7" ht="14.25" customHeight="1">
      <c r="B1397" s="2" t="s">
        <v>105</v>
      </c>
      <c r="C1397" s="90"/>
      <c r="D1397" s="89"/>
      <c r="E1397" s="89" t="s">
        <v>2270</v>
      </c>
      <c r="F1397" s="89"/>
      <c r="G1397" s="89"/>
    </row>
    <row r="1398" spans="2:7" ht="14.25" customHeight="1">
      <c r="B1398" s="2" t="s">
        <v>105</v>
      </c>
      <c r="C1398" s="90"/>
      <c r="D1398" s="89"/>
      <c r="E1398" s="89" t="s">
        <v>2271</v>
      </c>
      <c r="F1398" s="89"/>
      <c r="G1398" s="89"/>
    </row>
    <row r="1399" spans="2:7" ht="14.25" customHeight="1">
      <c r="B1399" s="2" t="s">
        <v>105</v>
      </c>
      <c r="C1399" s="90"/>
      <c r="D1399" s="89"/>
      <c r="E1399" s="89" t="s">
        <v>2272</v>
      </c>
      <c r="F1399" s="89"/>
      <c r="G1399" s="89"/>
    </row>
    <row r="1400" spans="2:7" ht="14.25" customHeight="1">
      <c r="B1400" s="2" t="s">
        <v>105</v>
      </c>
      <c r="C1400" s="90"/>
      <c r="D1400" s="89"/>
      <c r="E1400" s="89" t="s">
        <v>2273</v>
      </c>
      <c r="F1400" s="89"/>
      <c r="G1400" s="89"/>
    </row>
    <row r="1401" spans="2:7" ht="14.25" customHeight="1">
      <c r="B1401" s="2" t="s">
        <v>105</v>
      </c>
      <c r="C1401" s="90" t="s">
        <v>2255</v>
      </c>
      <c r="D1401" s="90" t="s">
        <v>811</v>
      </c>
      <c r="E1401" s="90" t="s">
        <v>811</v>
      </c>
      <c r="F1401" s="90" t="s">
        <v>811</v>
      </c>
      <c r="G1401" s="90" t="s">
        <v>811</v>
      </c>
    </row>
    <row r="1402" spans="2:7" ht="14.25" customHeight="1">
      <c r="B1402" s="2" t="s">
        <v>105</v>
      </c>
      <c r="C1402" s="90"/>
      <c r="D1402" s="89" t="str">
        <f t="shared" ref="D1402:D1403" si="20">E1402</f>
        <v>PR15-1</v>
      </c>
      <c r="E1402" s="89" t="s">
        <v>2274</v>
      </c>
      <c r="F1402" s="89"/>
      <c r="G1402" s="89"/>
    </row>
    <row r="1403" spans="2:7" ht="14.25" customHeight="1">
      <c r="B1403" s="2" t="s">
        <v>105</v>
      </c>
      <c r="C1403" s="90"/>
      <c r="D1403" s="89" t="str">
        <f t="shared" si="20"/>
        <v>PR15-2</v>
      </c>
      <c r="E1403" s="89" t="s">
        <v>2275</v>
      </c>
      <c r="F1403" s="89"/>
      <c r="G1403" s="89"/>
    </row>
    <row r="1404" spans="2:7" ht="14.25" customHeight="1">
      <c r="B1404" s="2" t="s">
        <v>105</v>
      </c>
      <c r="C1404" s="90"/>
      <c r="D1404" s="89"/>
      <c r="E1404" s="89" t="s">
        <v>2276</v>
      </c>
      <c r="F1404" s="89"/>
      <c r="G1404" s="89"/>
    </row>
    <row r="1405" spans="2:7" ht="14.25" customHeight="1">
      <c r="B1405" s="2" t="s">
        <v>105</v>
      </c>
      <c r="C1405" s="90"/>
      <c r="D1405" s="89"/>
      <c r="E1405" s="89" t="s">
        <v>2277</v>
      </c>
      <c r="F1405" s="89"/>
      <c r="G1405" s="89"/>
    </row>
    <row r="1406" spans="2:7" ht="14.25" customHeight="1">
      <c r="B1406" s="2" t="s">
        <v>105</v>
      </c>
      <c r="C1406" s="90"/>
      <c r="D1406" s="89"/>
      <c r="E1406" s="89" t="s">
        <v>2278</v>
      </c>
      <c r="F1406" s="89"/>
      <c r="G1406" s="89"/>
    </row>
    <row r="1407" spans="2:7" ht="14.25" customHeight="1">
      <c r="B1407" s="2" t="s">
        <v>105</v>
      </c>
      <c r="C1407" s="90"/>
      <c r="D1407" s="89"/>
      <c r="E1407" s="89" t="s">
        <v>2279</v>
      </c>
      <c r="F1407" s="89"/>
      <c r="G1407" s="89"/>
    </row>
    <row r="1408" spans="2:7" ht="14.25" customHeight="1">
      <c r="B1408" s="2" t="s">
        <v>105</v>
      </c>
      <c r="C1408" s="90" t="s">
        <v>2280</v>
      </c>
      <c r="D1408" s="90" t="s">
        <v>812</v>
      </c>
      <c r="E1408" s="90" t="s">
        <v>812</v>
      </c>
      <c r="F1408" s="90" t="s">
        <v>812</v>
      </c>
      <c r="G1408" s="90" t="s">
        <v>812</v>
      </c>
    </row>
    <row r="1409" spans="2:7" ht="14.25" customHeight="1">
      <c r="B1409" s="2" t="s">
        <v>105</v>
      </c>
      <c r="C1409" s="90"/>
      <c r="D1409" s="89"/>
      <c r="E1409" s="89" t="s">
        <v>2281</v>
      </c>
      <c r="F1409" s="89"/>
      <c r="G1409" s="89"/>
    </row>
    <row r="1410" spans="2:7" ht="14.25" customHeight="1">
      <c r="B1410" s="2" t="s">
        <v>105</v>
      </c>
      <c r="C1410" s="90"/>
      <c r="D1410" s="89"/>
      <c r="E1410" s="89" t="s">
        <v>2282</v>
      </c>
      <c r="F1410" s="89"/>
      <c r="G1410" s="89"/>
    </row>
    <row r="1411" spans="2:7" ht="14.25" customHeight="1">
      <c r="B1411" s="2" t="s">
        <v>105</v>
      </c>
      <c r="C1411" s="90"/>
      <c r="D1411" s="89"/>
      <c r="E1411" s="89" t="s">
        <v>2283</v>
      </c>
      <c r="F1411" s="89"/>
      <c r="G1411" s="89"/>
    </row>
    <row r="1412" spans="2:7" ht="14.25" customHeight="1">
      <c r="B1412" s="2" t="s">
        <v>105</v>
      </c>
      <c r="C1412" s="90"/>
      <c r="D1412" s="89"/>
      <c r="E1412" s="89" t="s">
        <v>2284</v>
      </c>
      <c r="F1412" s="89"/>
      <c r="G1412" s="89"/>
    </row>
    <row r="1413" spans="2:7" ht="14.25" customHeight="1">
      <c r="B1413" s="2" t="s">
        <v>105</v>
      </c>
      <c r="C1413" s="90" t="s">
        <v>2280</v>
      </c>
      <c r="D1413" s="90" t="s">
        <v>813</v>
      </c>
      <c r="E1413" s="90" t="s">
        <v>813</v>
      </c>
      <c r="F1413" s="90" t="s">
        <v>813</v>
      </c>
      <c r="G1413" s="90" t="s">
        <v>813</v>
      </c>
    </row>
    <row r="1414" spans="2:7" ht="14.25" customHeight="1">
      <c r="B1414" s="2" t="s">
        <v>105</v>
      </c>
      <c r="C1414" s="90"/>
      <c r="D1414" s="89"/>
      <c r="E1414" s="89" t="s">
        <v>2285</v>
      </c>
      <c r="F1414" s="89"/>
      <c r="G1414" s="89"/>
    </row>
    <row r="1415" spans="2:7" ht="14.25" customHeight="1">
      <c r="B1415" s="2" t="s">
        <v>105</v>
      </c>
      <c r="C1415" s="90"/>
      <c r="D1415" s="89"/>
      <c r="E1415" s="89" t="s">
        <v>2286</v>
      </c>
      <c r="F1415" s="89"/>
      <c r="G1415" s="89"/>
    </row>
    <row r="1416" spans="2:7" ht="14.25" customHeight="1">
      <c r="B1416" s="2" t="s">
        <v>105</v>
      </c>
      <c r="C1416" s="90"/>
      <c r="D1416" s="89"/>
      <c r="E1416" s="89" t="s">
        <v>2287</v>
      </c>
      <c r="F1416" s="89"/>
      <c r="G1416" s="89"/>
    </row>
    <row r="1417" spans="2:7" ht="14.25" customHeight="1">
      <c r="B1417" s="2" t="s">
        <v>105</v>
      </c>
      <c r="C1417" s="90"/>
      <c r="D1417" s="89"/>
      <c r="E1417" s="89" t="s">
        <v>2288</v>
      </c>
      <c r="F1417" s="89"/>
      <c r="G1417" s="89"/>
    </row>
    <row r="1418" spans="2:7" ht="14.25" customHeight="1">
      <c r="B1418" s="2" t="s">
        <v>105</v>
      </c>
      <c r="C1418" s="90" t="s">
        <v>2289</v>
      </c>
      <c r="D1418" s="90" t="s">
        <v>814</v>
      </c>
      <c r="E1418" s="90" t="s">
        <v>814</v>
      </c>
      <c r="F1418" s="90" t="s">
        <v>814</v>
      </c>
      <c r="G1418" s="90" t="s">
        <v>814</v>
      </c>
    </row>
    <row r="1419" spans="2:7" ht="14.25" customHeight="1">
      <c r="B1419" s="2" t="s">
        <v>105</v>
      </c>
      <c r="C1419" s="90"/>
      <c r="D1419" s="89"/>
      <c r="E1419" s="89" t="s">
        <v>2290</v>
      </c>
      <c r="F1419" s="89"/>
      <c r="G1419" s="89"/>
    </row>
    <row r="1420" spans="2:7" ht="14.25" customHeight="1">
      <c r="B1420" s="2" t="s">
        <v>105</v>
      </c>
      <c r="C1420" s="90"/>
      <c r="D1420" s="89"/>
      <c r="E1420" s="89" t="s">
        <v>2291</v>
      </c>
      <c r="F1420" s="89"/>
      <c r="G1420" s="89"/>
    </row>
    <row r="1421" spans="2:7" ht="14.25" customHeight="1">
      <c r="B1421" s="2" t="s">
        <v>105</v>
      </c>
      <c r="C1421" s="90"/>
      <c r="D1421" s="89"/>
      <c r="E1421" s="89" t="s">
        <v>2292</v>
      </c>
      <c r="F1421" s="89"/>
      <c r="G1421" s="89"/>
    </row>
    <row r="1422" spans="2:7" ht="14.25" customHeight="1">
      <c r="B1422" s="2" t="s">
        <v>105</v>
      </c>
      <c r="C1422" s="90"/>
      <c r="D1422" s="89"/>
      <c r="E1422" s="89" t="s">
        <v>2293</v>
      </c>
      <c r="F1422" s="89"/>
      <c r="G1422" s="89"/>
    </row>
    <row r="1423" spans="2:7" ht="14.25" customHeight="1">
      <c r="B1423" s="2" t="s">
        <v>105</v>
      </c>
      <c r="C1423" s="90" t="s">
        <v>2289</v>
      </c>
      <c r="D1423" s="90" t="s">
        <v>815</v>
      </c>
      <c r="E1423" s="90" t="s">
        <v>815</v>
      </c>
      <c r="F1423" s="90" t="s">
        <v>815</v>
      </c>
      <c r="G1423" s="90" t="s">
        <v>815</v>
      </c>
    </row>
    <row r="1424" spans="2:7" ht="14.25" customHeight="1">
      <c r="B1424" s="2" t="s">
        <v>105</v>
      </c>
      <c r="C1424" s="90"/>
      <c r="D1424" s="89"/>
      <c r="E1424" s="89" t="s">
        <v>2294</v>
      </c>
      <c r="F1424" s="89"/>
      <c r="G1424" s="89"/>
    </row>
    <row r="1425" spans="2:7" ht="14.25" customHeight="1">
      <c r="B1425" s="2" t="s">
        <v>105</v>
      </c>
      <c r="C1425" s="90"/>
      <c r="D1425" s="89"/>
      <c r="E1425" s="89" t="s">
        <v>2295</v>
      </c>
      <c r="F1425" s="89"/>
      <c r="G1425" s="89"/>
    </row>
    <row r="1426" spans="2:7" ht="14.25" customHeight="1">
      <c r="B1426" s="2" t="s">
        <v>105</v>
      </c>
      <c r="C1426" s="90"/>
      <c r="D1426" s="89"/>
      <c r="E1426" s="89" t="s">
        <v>2296</v>
      </c>
      <c r="F1426" s="89"/>
      <c r="G1426" s="89"/>
    </row>
    <row r="1427" spans="2:7" ht="14.25" customHeight="1">
      <c r="B1427" s="2" t="s">
        <v>105</v>
      </c>
      <c r="C1427" s="90"/>
      <c r="D1427" s="89"/>
      <c r="E1427" s="89" t="s">
        <v>2297</v>
      </c>
      <c r="F1427" s="89"/>
      <c r="G1427" s="89"/>
    </row>
    <row r="1428" spans="2:7" ht="14.25" customHeight="1">
      <c r="B1428" s="2" t="s">
        <v>105</v>
      </c>
      <c r="C1428" s="90" t="s">
        <v>2289</v>
      </c>
      <c r="D1428" s="90" t="s">
        <v>816</v>
      </c>
      <c r="E1428" s="90" t="s">
        <v>816</v>
      </c>
      <c r="F1428" s="90" t="s">
        <v>816</v>
      </c>
      <c r="G1428" s="90" t="s">
        <v>816</v>
      </c>
    </row>
    <row r="1429" spans="2:7" ht="14.25" customHeight="1">
      <c r="B1429" s="2" t="s">
        <v>105</v>
      </c>
      <c r="C1429" s="90"/>
      <c r="D1429" s="89"/>
      <c r="E1429" s="89" t="s">
        <v>2298</v>
      </c>
      <c r="F1429" s="89"/>
      <c r="G1429" s="89"/>
    </row>
    <row r="1430" spans="2:7" ht="14.25" customHeight="1">
      <c r="B1430" s="2" t="s">
        <v>105</v>
      </c>
      <c r="C1430" s="90"/>
      <c r="D1430" s="89"/>
      <c r="E1430" s="89" t="s">
        <v>2299</v>
      </c>
      <c r="F1430" s="89"/>
      <c r="G1430" s="89"/>
    </row>
    <row r="1431" spans="2:7" ht="14.25" customHeight="1">
      <c r="B1431" s="2" t="s">
        <v>105</v>
      </c>
      <c r="C1431" s="90"/>
      <c r="D1431" s="89"/>
      <c r="E1431" s="89" t="s">
        <v>2300</v>
      </c>
      <c r="F1431" s="89"/>
      <c r="G1431" s="89"/>
    </row>
    <row r="1432" spans="2:7" ht="14.25" customHeight="1">
      <c r="B1432" s="2" t="s">
        <v>105</v>
      </c>
      <c r="C1432" s="90"/>
      <c r="D1432" s="89"/>
      <c r="E1432" s="89" t="s">
        <v>2301</v>
      </c>
      <c r="F1432" s="89"/>
      <c r="G1432" s="89"/>
    </row>
    <row r="1433" spans="2:7" ht="14.25" customHeight="1">
      <c r="B1433" s="2" t="s">
        <v>105</v>
      </c>
      <c r="C1433" s="90" t="s">
        <v>2289</v>
      </c>
      <c r="D1433" s="90" t="s">
        <v>817</v>
      </c>
      <c r="E1433" s="90" t="s">
        <v>817</v>
      </c>
      <c r="F1433" s="90" t="s">
        <v>817</v>
      </c>
      <c r="G1433" s="90" t="s">
        <v>817</v>
      </c>
    </row>
    <row r="1434" spans="2:7" ht="14.25" customHeight="1">
      <c r="B1434" s="2" t="s">
        <v>105</v>
      </c>
      <c r="C1434" s="90"/>
      <c r="D1434" s="89"/>
      <c r="E1434" s="89" t="s">
        <v>2302</v>
      </c>
      <c r="F1434" s="89"/>
      <c r="G1434" s="89"/>
    </row>
    <row r="1435" spans="2:7" ht="14.25" customHeight="1">
      <c r="B1435" s="2" t="s">
        <v>105</v>
      </c>
      <c r="C1435" s="90"/>
      <c r="D1435" s="89"/>
      <c r="E1435" s="89" t="s">
        <v>2303</v>
      </c>
      <c r="F1435" s="89"/>
      <c r="G1435" s="89"/>
    </row>
    <row r="1436" spans="2:7" ht="14.25" customHeight="1">
      <c r="B1436" s="2" t="s">
        <v>105</v>
      </c>
      <c r="C1436" s="90"/>
      <c r="D1436" s="89"/>
      <c r="E1436" s="89" t="s">
        <v>2304</v>
      </c>
      <c r="F1436" s="89"/>
      <c r="G1436" s="89"/>
    </row>
    <row r="1437" spans="2:7" ht="14.25" customHeight="1">
      <c r="B1437" s="2" t="s">
        <v>105</v>
      </c>
      <c r="C1437" s="90"/>
      <c r="D1437" s="89"/>
      <c r="E1437" s="89" t="s">
        <v>2305</v>
      </c>
      <c r="F1437" s="89"/>
      <c r="G1437" s="89"/>
    </row>
    <row r="1438" spans="2:7" ht="14.25" customHeight="1">
      <c r="B1438" s="2" t="s">
        <v>105</v>
      </c>
      <c r="C1438" s="90" t="s">
        <v>2289</v>
      </c>
      <c r="D1438" s="90" t="s">
        <v>818</v>
      </c>
      <c r="E1438" s="90" t="s">
        <v>818</v>
      </c>
      <c r="F1438" s="90" t="s">
        <v>818</v>
      </c>
      <c r="G1438" s="90" t="s">
        <v>818</v>
      </c>
    </row>
    <row r="1439" spans="2:7" ht="14.25" customHeight="1">
      <c r="B1439" s="2" t="s">
        <v>105</v>
      </c>
      <c r="C1439" s="90"/>
      <c r="D1439" s="89"/>
      <c r="E1439" s="89" t="s">
        <v>2306</v>
      </c>
      <c r="F1439" s="89"/>
      <c r="G1439" s="89"/>
    </row>
    <row r="1440" spans="2:7" ht="14.25" customHeight="1">
      <c r="B1440" s="2" t="s">
        <v>105</v>
      </c>
      <c r="C1440" s="90"/>
      <c r="D1440" s="89"/>
      <c r="E1440" s="89" t="s">
        <v>2307</v>
      </c>
      <c r="F1440" s="89"/>
      <c r="G1440" s="89"/>
    </row>
    <row r="1441" spans="2:7" ht="14.25" customHeight="1">
      <c r="B1441" s="2" t="s">
        <v>105</v>
      </c>
      <c r="C1441" s="90"/>
      <c r="D1441" s="89"/>
      <c r="E1441" s="89" t="s">
        <v>2308</v>
      </c>
      <c r="F1441" s="89"/>
      <c r="G1441" s="89"/>
    </row>
    <row r="1442" spans="2:7" ht="14.25" customHeight="1">
      <c r="B1442" s="2" t="s">
        <v>105</v>
      </c>
      <c r="C1442" s="90"/>
      <c r="D1442" s="89"/>
      <c r="E1442" s="89" t="s">
        <v>2309</v>
      </c>
      <c r="F1442" s="89"/>
      <c r="G1442" s="89"/>
    </row>
    <row r="1443" spans="2:7" ht="14.25" customHeight="1">
      <c r="B1443" s="2" t="s">
        <v>105</v>
      </c>
      <c r="C1443" s="90" t="s">
        <v>2310</v>
      </c>
      <c r="D1443" s="90" t="s">
        <v>819</v>
      </c>
      <c r="E1443" s="90" t="s">
        <v>819</v>
      </c>
      <c r="F1443" s="90" t="s">
        <v>819</v>
      </c>
      <c r="G1443" s="90" t="s">
        <v>819</v>
      </c>
    </row>
    <row r="1444" spans="2:7" ht="14.25" customHeight="1">
      <c r="B1444" s="2" t="s">
        <v>105</v>
      </c>
      <c r="C1444" s="90"/>
      <c r="D1444" s="89"/>
      <c r="E1444" s="89" t="s">
        <v>2311</v>
      </c>
      <c r="F1444" s="89"/>
      <c r="G1444" s="89"/>
    </row>
    <row r="1445" spans="2:7" ht="14.25" customHeight="1">
      <c r="B1445" s="2" t="s">
        <v>105</v>
      </c>
      <c r="C1445" s="90"/>
      <c r="D1445" s="89"/>
      <c r="E1445" s="89" t="s">
        <v>2312</v>
      </c>
      <c r="F1445" s="89"/>
      <c r="G1445" s="89"/>
    </row>
    <row r="1446" spans="2:7" ht="14.25" customHeight="1">
      <c r="B1446" s="2" t="s">
        <v>105</v>
      </c>
      <c r="C1446" s="90"/>
      <c r="D1446" s="89"/>
      <c r="E1446" s="89" t="s">
        <v>2313</v>
      </c>
      <c r="F1446" s="89"/>
      <c r="G1446" s="89"/>
    </row>
    <row r="1447" spans="2:7" ht="14.25" customHeight="1">
      <c r="B1447" s="2" t="s">
        <v>105</v>
      </c>
      <c r="C1447" s="90"/>
      <c r="D1447" s="89"/>
      <c r="E1447" s="89" t="s">
        <v>2314</v>
      </c>
      <c r="F1447" s="89"/>
      <c r="G1447" s="89"/>
    </row>
    <row r="1448" spans="2:7" ht="14.25" customHeight="1">
      <c r="B1448" s="2" t="s">
        <v>105</v>
      </c>
      <c r="C1448" s="90" t="s">
        <v>2310</v>
      </c>
      <c r="D1448" s="90" t="s">
        <v>820</v>
      </c>
      <c r="E1448" s="90" t="s">
        <v>820</v>
      </c>
      <c r="F1448" s="90" t="s">
        <v>820</v>
      </c>
      <c r="G1448" s="90" t="s">
        <v>820</v>
      </c>
    </row>
    <row r="1449" spans="2:7" ht="14.25" customHeight="1">
      <c r="B1449" s="2" t="s">
        <v>105</v>
      </c>
      <c r="C1449" s="90"/>
      <c r="D1449" s="89"/>
      <c r="E1449" s="89" t="s">
        <v>2315</v>
      </c>
      <c r="F1449" s="89"/>
      <c r="G1449" s="89"/>
    </row>
    <row r="1450" spans="2:7" ht="14.25" customHeight="1">
      <c r="B1450" s="2" t="s">
        <v>105</v>
      </c>
      <c r="C1450" s="90"/>
      <c r="D1450" s="89"/>
      <c r="E1450" s="89" t="s">
        <v>2316</v>
      </c>
      <c r="F1450" s="89"/>
      <c r="G1450" s="89"/>
    </row>
    <row r="1451" spans="2:7" ht="14.25" customHeight="1">
      <c r="B1451" s="2" t="s">
        <v>105</v>
      </c>
      <c r="C1451" s="90"/>
      <c r="D1451" s="89"/>
      <c r="E1451" s="89" t="s">
        <v>2317</v>
      </c>
      <c r="F1451" s="89"/>
      <c r="G1451" s="89"/>
    </row>
    <row r="1452" spans="2:7" ht="14.25" customHeight="1">
      <c r="B1452" s="2" t="s">
        <v>105</v>
      </c>
      <c r="C1452" s="90"/>
      <c r="D1452" s="89"/>
      <c r="E1452" s="89" t="s">
        <v>2318</v>
      </c>
      <c r="F1452" s="89"/>
      <c r="G1452" s="89"/>
    </row>
    <row r="1453" spans="2:7" ht="14.25" customHeight="1">
      <c r="B1453" s="2" t="s">
        <v>105</v>
      </c>
      <c r="C1453" s="90" t="s">
        <v>2310</v>
      </c>
      <c r="D1453" s="90" t="s">
        <v>821</v>
      </c>
      <c r="E1453" s="90" t="s">
        <v>821</v>
      </c>
      <c r="F1453" s="90" t="s">
        <v>821</v>
      </c>
      <c r="G1453" s="90" t="s">
        <v>821</v>
      </c>
    </row>
    <row r="1454" spans="2:7" ht="14.25" customHeight="1">
      <c r="B1454" s="2" t="s">
        <v>105</v>
      </c>
      <c r="C1454" s="90"/>
      <c r="D1454" s="89"/>
      <c r="E1454" s="89" t="s">
        <v>2319</v>
      </c>
      <c r="F1454" s="89"/>
      <c r="G1454" s="89"/>
    </row>
    <row r="1455" spans="2:7" ht="14.25" customHeight="1">
      <c r="B1455" s="2" t="s">
        <v>105</v>
      </c>
      <c r="C1455" s="90"/>
      <c r="D1455" s="89"/>
      <c r="E1455" s="89" t="s">
        <v>2320</v>
      </c>
      <c r="F1455" s="89"/>
      <c r="G1455" s="89"/>
    </row>
    <row r="1456" spans="2:7" ht="14.25" customHeight="1">
      <c r="B1456" s="2" t="s">
        <v>105</v>
      </c>
      <c r="C1456" s="90"/>
      <c r="D1456" s="89"/>
      <c r="E1456" s="89" t="s">
        <v>2321</v>
      </c>
      <c r="F1456" s="89"/>
      <c r="G1456" s="89"/>
    </row>
    <row r="1457" spans="2:7" ht="14.25" customHeight="1">
      <c r="B1457" s="2" t="s">
        <v>105</v>
      </c>
      <c r="C1457" s="90"/>
      <c r="D1457" s="89"/>
      <c r="E1457" s="89" t="s">
        <v>2322</v>
      </c>
      <c r="F1457" s="89"/>
      <c r="G1457" s="89"/>
    </row>
    <row r="1458" spans="2:7" ht="14.25" customHeight="1">
      <c r="B1458" s="2" t="s">
        <v>105</v>
      </c>
      <c r="C1458" s="90" t="s">
        <v>2310</v>
      </c>
      <c r="D1458" s="90" t="s">
        <v>822</v>
      </c>
      <c r="E1458" s="90" t="s">
        <v>822</v>
      </c>
      <c r="F1458" s="90" t="s">
        <v>822</v>
      </c>
      <c r="G1458" s="90" t="s">
        <v>822</v>
      </c>
    </row>
    <row r="1459" spans="2:7" ht="14.25" customHeight="1">
      <c r="B1459" s="2" t="s">
        <v>105</v>
      </c>
      <c r="C1459" s="90"/>
      <c r="D1459" s="89"/>
      <c r="E1459" s="89" t="s">
        <v>2323</v>
      </c>
      <c r="F1459" s="89"/>
      <c r="G1459" s="89"/>
    </row>
    <row r="1460" spans="2:7" ht="14.25" customHeight="1">
      <c r="B1460" s="2" t="s">
        <v>105</v>
      </c>
      <c r="C1460" s="90"/>
      <c r="D1460" s="89"/>
      <c r="E1460" s="89" t="s">
        <v>2324</v>
      </c>
      <c r="F1460" s="89"/>
      <c r="G1460" s="89"/>
    </row>
    <row r="1461" spans="2:7" ht="14.25" customHeight="1">
      <c r="B1461" s="2" t="s">
        <v>105</v>
      </c>
      <c r="C1461" s="90"/>
      <c r="D1461" s="89"/>
      <c r="E1461" s="89" t="s">
        <v>2325</v>
      </c>
      <c r="F1461" s="89"/>
      <c r="G1461" s="89"/>
    </row>
    <row r="1462" spans="2:7" ht="14.25" customHeight="1">
      <c r="B1462" s="2" t="s">
        <v>105</v>
      </c>
      <c r="C1462" s="90"/>
      <c r="D1462" s="89"/>
      <c r="E1462" s="89" t="s">
        <v>2326</v>
      </c>
      <c r="F1462" s="89"/>
      <c r="G1462" s="89"/>
    </row>
    <row r="1463" spans="2:7" ht="14.25" customHeight="1">
      <c r="B1463" s="2" t="s">
        <v>105</v>
      </c>
      <c r="C1463" s="90" t="s">
        <v>2310</v>
      </c>
      <c r="D1463" s="90" t="s">
        <v>823</v>
      </c>
      <c r="E1463" s="90" t="s">
        <v>823</v>
      </c>
      <c r="F1463" s="90" t="s">
        <v>823</v>
      </c>
      <c r="G1463" s="90" t="s">
        <v>823</v>
      </c>
    </row>
    <row r="1464" spans="2:7" ht="14.25" customHeight="1">
      <c r="B1464" s="2" t="s">
        <v>105</v>
      </c>
      <c r="C1464" s="90"/>
      <c r="D1464" s="89"/>
      <c r="E1464" s="89" t="s">
        <v>2327</v>
      </c>
      <c r="F1464" s="89"/>
      <c r="G1464" s="89"/>
    </row>
    <row r="1465" spans="2:7" ht="14.25" customHeight="1">
      <c r="B1465" s="2" t="s">
        <v>105</v>
      </c>
      <c r="C1465" s="90"/>
      <c r="D1465" s="89"/>
      <c r="E1465" s="89" t="s">
        <v>2328</v>
      </c>
      <c r="F1465" s="89"/>
      <c r="G1465" s="89"/>
    </row>
    <row r="1466" spans="2:7" ht="14.25" customHeight="1">
      <c r="B1466" s="2" t="s">
        <v>105</v>
      </c>
      <c r="C1466" s="90"/>
      <c r="D1466" s="89"/>
      <c r="E1466" s="89" t="s">
        <v>2329</v>
      </c>
      <c r="F1466" s="89"/>
      <c r="G1466" s="89"/>
    </row>
    <row r="1467" spans="2:7" ht="14.25" customHeight="1">
      <c r="B1467" s="2" t="s">
        <v>105</v>
      </c>
      <c r="C1467" s="90"/>
      <c r="D1467" s="89"/>
      <c r="E1467" s="89" t="s">
        <v>2330</v>
      </c>
      <c r="F1467" s="89"/>
      <c r="G1467" s="89"/>
    </row>
    <row r="1468" spans="2:7" ht="14.25" customHeight="1">
      <c r="B1468" s="2" t="s">
        <v>105</v>
      </c>
      <c r="C1468" s="90" t="s">
        <v>2331</v>
      </c>
      <c r="D1468" s="90" t="s">
        <v>824</v>
      </c>
      <c r="E1468" s="90" t="s">
        <v>824</v>
      </c>
      <c r="F1468" s="90" t="s">
        <v>824</v>
      </c>
      <c r="G1468" s="90" t="s">
        <v>824</v>
      </c>
    </row>
    <row r="1469" spans="2:7" ht="14.25" customHeight="1">
      <c r="B1469" s="2" t="s">
        <v>105</v>
      </c>
      <c r="C1469" s="90"/>
      <c r="D1469" s="89"/>
      <c r="E1469" s="89" t="s">
        <v>2332</v>
      </c>
      <c r="F1469" s="89"/>
      <c r="G1469" s="89"/>
    </row>
    <row r="1470" spans="2:7" ht="14.25" customHeight="1">
      <c r="B1470" s="2" t="s">
        <v>105</v>
      </c>
      <c r="C1470" s="90"/>
      <c r="D1470" s="89"/>
      <c r="E1470" s="89" t="s">
        <v>2333</v>
      </c>
      <c r="F1470" s="89"/>
      <c r="G1470" s="89"/>
    </row>
    <row r="1471" spans="2:7" ht="14.25" customHeight="1">
      <c r="B1471" s="2" t="s">
        <v>105</v>
      </c>
      <c r="C1471" s="90"/>
      <c r="D1471" s="89"/>
      <c r="E1471" s="89" t="s">
        <v>2334</v>
      </c>
      <c r="F1471" s="89"/>
      <c r="G1471" s="89"/>
    </row>
    <row r="1472" spans="2:7" ht="14.25" customHeight="1">
      <c r="B1472" s="2" t="s">
        <v>105</v>
      </c>
      <c r="C1472" s="90"/>
      <c r="D1472" s="89"/>
      <c r="E1472" s="89" t="s">
        <v>2335</v>
      </c>
      <c r="F1472" s="89"/>
      <c r="G1472" s="89"/>
    </row>
    <row r="1473" spans="2:7" ht="14.25" customHeight="1">
      <c r="B1473" s="2" t="s">
        <v>105</v>
      </c>
      <c r="C1473" s="90" t="s">
        <v>2331</v>
      </c>
      <c r="D1473" s="90" t="s">
        <v>825</v>
      </c>
      <c r="E1473" s="90" t="s">
        <v>825</v>
      </c>
      <c r="F1473" s="90" t="s">
        <v>825</v>
      </c>
      <c r="G1473" s="90" t="s">
        <v>825</v>
      </c>
    </row>
    <row r="1474" spans="2:7" ht="14.25" customHeight="1">
      <c r="B1474" s="2" t="s">
        <v>105</v>
      </c>
      <c r="C1474" s="90"/>
      <c r="D1474" s="89"/>
      <c r="E1474" s="89" t="s">
        <v>2336</v>
      </c>
      <c r="F1474" s="89"/>
      <c r="G1474" s="89"/>
    </row>
    <row r="1475" spans="2:7" ht="14.25" customHeight="1">
      <c r="B1475" s="2" t="s">
        <v>105</v>
      </c>
      <c r="C1475" s="90"/>
      <c r="D1475" s="89"/>
      <c r="E1475" s="89" t="s">
        <v>2337</v>
      </c>
      <c r="F1475" s="89"/>
      <c r="G1475" s="89"/>
    </row>
    <row r="1476" spans="2:7" ht="14.25" customHeight="1">
      <c r="B1476" s="2" t="s">
        <v>105</v>
      </c>
      <c r="C1476" s="90"/>
      <c r="D1476" s="89"/>
      <c r="E1476" s="89" t="s">
        <v>2338</v>
      </c>
      <c r="F1476" s="89"/>
      <c r="G1476" s="89"/>
    </row>
    <row r="1477" spans="2:7" ht="14.25" customHeight="1">
      <c r="B1477" s="2" t="s">
        <v>105</v>
      </c>
      <c r="C1477" s="90"/>
      <c r="D1477" s="89"/>
      <c r="E1477" s="89" t="s">
        <v>2339</v>
      </c>
      <c r="F1477" s="89"/>
      <c r="G1477" s="89"/>
    </row>
    <row r="1478" spans="2:7" ht="14.25" customHeight="1">
      <c r="B1478" s="2" t="s">
        <v>105</v>
      </c>
      <c r="C1478" s="90" t="s">
        <v>2331</v>
      </c>
      <c r="D1478" s="90" t="s">
        <v>826</v>
      </c>
      <c r="E1478" s="90" t="s">
        <v>826</v>
      </c>
      <c r="F1478" s="90" t="s">
        <v>826</v>
      </c>
      <c r="G1478" s="90" t="s">
        <v>826</v>
      </c>
    </row>
    <row r="1479" spans="2:7" ht="14.25" customHeight="1">
      <c r="B1479" s="2" t="s">
        <v>105</v>
      </c>
      <c r="C1479" s="90"/>
      <c r="D1479" s="89"/>
      <c r="E1479" s="89" t="s">
        <v>2340</v>
      </c>
      <c r="F1479" s="89"/>
      <c r="G1479" s="89"/>
    </row>
    <row r="1480" spans="2:7" ht="14.25" customHeight="1">
      <c r="B1480" s="2" t="s">
        <v>105</v>
      </c>
      <c r="C1480" s="90"/>
      <c r="D1480" s="89"/>
      <c r="E1480" s="89" t="s">
        <v>2341</v>
      </c>
      <c r="F1480" s="89"/>
      <c r="G1480" s="89"/>
    </row>
    <row r="1481" spans="2:7" ht="14.25" customHeight="1">
      <c r="B1481" s="2" t="s">
        <v>105</v>
      </c>
      <c r="C1481" s="90"/>
      <c r="D1481" s="89"/>
      <c r="E1481" s="89" t="s">
        <v>2342</v>
      </c>
      <c r="F1481" s="89"/>
      <c r="G1481" s="89"/>
    </row>
    <row r="1482" spans="2:7" ht="14.25" customHeight="1">
      <c r="B1482" s="2" t="s">
        <v>105</v>
      </c>
      <c r="C1482" s="90"/>
      <c r="D1482" s="89"/>
      <c r="E1482" s="89" t="s">
        <v>2343</v>
      </c>
      <c r="F1482" s="89"/>
      <c r="G1482" s="89"/>
    </row>
    <row r="1483" spans="2:7" ht="14.25" customHeight="1">
      <c r="B1483" s="2" t="s">
        <v>105</v>
      </c>
      <c r="C1483" s="90" t="s">
        <v>2331</v>
      </c>
      <c r="D1483" s="90" t="s">
        <v>827</v>
      </c>
      <c r="E1483" s="90" t="s">
        <v>827</v>
      </c>
      <c r="F1483" s="90" t="s">
        <v>827</v>
      </c>
      <c r="G1483" s="90" t="s">
        <v>827</v>
      </c>
    </row>
    <row r="1484" spans="2:7" ht="14.25" customHeight="1">
      <c r="B1484" s="2" t="s">
        <v>105</v>
      </c>
      <c r="C1484" s="90"/>
      <c r="D1484" s="89"/>
      <c r="E1484" s="89" t="s">
        <v>2344</v>
      </c>
      <c r="F1484" s="89"/>
      <c r="G1484" s="89"/>
    </row>
    <row r="1485" spans="2:7" ht="14.25" customHeight="1">
      <c r="B1485" s="2" t="s">
        <v>105</v>
      </c>
      <c r="C1485" s="90"/>
      <c r="D1485" s="89"/>
      <c r="E1485" s="89" t="s">
        <v>2345</v>
      </c>
      <c r="F1485" s="89"/>
      <c r="G1485" s="89"/>
    </row>
    <row r="1486" spans="2:7" ht="14.25" customHeight="1">
      <c r="B1486" s="2" t="s">
        <v>105</v>
      </c>
      <c r="C1486" s="90"/>
      <c r="D1486" s="89"/>
      <c r="E1486" s="89" t="s">
        <v>2346</v>
      </c>
      <c r="F1486" s="89"/>
      <c r="G1486" s="89"/>
    </row>
    <row r="1487" spans="2:7" ht="14.25" customHeight="1">
      <c r="B1487" s="2" t="s">
        <v>105</v>
      </c>
      <c r="C1487" s="90"/>
      <c r="D1487" s="89"/>
      <c r="E1487" s="89" t="s">
        <v>2347</v>
      </c>
      <c r="F1487" s="89"/>
      <c r="G1487" s="89"/>
    </row>
    <row r="1488" spans="2:7" ht="14.25" customHeight="1">
      <c r="B1488" s="2" t="s">
        <v>105</v>
      </c>
      <c r="C1488" s="90" t="s">
        <v>2348</v>
      </c>
      <c r="D1488" s="90" t="s">
        <v>828</v>
      </c>
      <c r="E1488" s="90" t="s">
        <v>828</v>
      </c>
      <c r="F1488" s="90" t="s">
        <v>828</v>
      </c>
      <c r="G1488" s="90" t="s">
        <v>828</v>
      </c>
    </row>
    <row r="1489" spans="2:7" ht="14.25" customHeight="1">
      <c r="B1489" s="2" t="s">
        <v>105</v>
      </c>
      <c r="C1489" s="90"/>
      <c r="D1489" s="89"/>
      <c r="E1489" s="89" t="s">
        <v>2349</v>
      </c>
      <c r="F1489" s="89"/>
      <c r="G1489" s="89"/>
    </row>
    <row r="1490" spans="2:7" ht="14.25" customHeight="1">
      <c r="B1490" s="2" t="s">
        <v>105</v>
      </c>
      <c r="C1490" s="90"/>
      <c r="D1490" s="89"/>
      <c r="E1490" s="89" t="s">
        <v>2350</v>
      </c>
      <c r="F1490" s="89"/>
      <c r="G1490" s="89"/>
    </row>
    <row r="1491" spans="2:7" ht="14.25" customHeight="1">
      <c r="B1491" s="2" t="s">
        <v>105</v>
      </c>
      <c r="C1491" s="90"/>
      <c r="D1491" s="89"/>
      <c r="E1491" s="89" t="s">
        <v>2351</v>
      </c>
      <c r="F1491" s="89"/>
      <c r="G1491" s="89"/>
    </row>
    <row r="1492" spans="2:7" ht="14.25" customHeight="1">
      <c r="B1492" s="2" t="s">
        <v>105</v>
      </c>
      <c r="C1492" s="90"/>
      <c r="D1492" s="89"/>
      <c r="E1492" s="89" t="s">
        <v>2352</v>
      </c>
      <c r="F1492" s="89"/>
      <c r="G1492" s="89"/>
    </row>
    <row r="1493" spans="2:7" ht="14.25" customHeight="1">
      <c r="B1493" s="2" t="s">
        <v>105</v>
      </c>
      <c r="C1493" s="90" t="s">
        <v>2348</v>
      </c>
      <c r="D1493" s="90" t="s">
        <v>829</v>
      </c>
      <c r="E1493" s="90" t="s">
        <v>829</v>
      </c>
      <c r="F1493" s="90" t="s">
        <v>829</v>
      </c>
      <c r="G1493" s="90" t="s">
        <v>829</v>
      </c>
    </row>
    <row r="1494" spans="2:7" ht="14.25" customHeight="1">
      <c r="B1494" s="2" t="s">
        <v>105</v>
      </c>
      <c r="C1494" s="90"/>
      <c r="D1494" s="89"/>
      <c r="E1494" s="89" t="s">
        <v>2353</v>
      </c>
      <c r="F1494" s="89"/>
      <c r="G1494" s="89"/>
    </row>
    <row r="1495" spans="2:7" ht="14.25" customHeight="1">
      <c r="B1495" s="2" t="s">
        <v>105</v>
      </c>
      <c r="C1495" s="90"/>
      <c r="D1495" s="89"/>
      <c r="E1495" s="89" t="s">
        <v>2354</v>
      </c>
      <c r="F1495" s="89"/>
      <c r="G1495" s="89"/>
    </row>
    <row r="1496" spans="2:7" ht="14.25" customHeight="1">
      <c r="B1496" s="2" t="s">
        <v>105</v>
      </c>
      <c r="C1496" s="90"/>
      <c r="D1496" s="89"/>
      <c r="E1496" s="89" t="s">
        <v>2355</v>
      </c>
      <c r="F1496" s="89"/>
      <c r="G1496" s="89"/>
    </row>
    <row r="1497" spans="2:7" ht="14.25" customHeight="1">
      <c r="B1497" s="2" t="s">
        <v>105</v>
      </c>
      <c r="C1497" s="90"/>
      <c r="D1497" s="89"/>
      <c r="E1497" s="89" t="s">
        <v>2356</v>
      </c>
      <c r="F1497" s="89"/>
      <c r="G1497" s="89"/>
    </row>
    <row r="1498" spans="2:7" ht="14.25" customHeight="1">
      <c r="B1498" s="2" t="s">
        <v>105</v>
      </c>
      <c r="C1498" s="90" t="s">
        <v>2348</v>
      </c>
      <c r="D1498" s="90" t="s">
        <v>830</v>
      </c>
      <c r="E1498" s="90" t="s">
        <v>830</v>
      </c>
      <c r="F1498" s="90" t="s">
        <v>830</v>
      </c>
      <c r="G1498" s="90" t="s">
        <v>830</v>
      </c>
    </row>
    <row r="1499" spans="2:7" ht="14.25" customHeight="1">
      <c r="B1499" s="2" t="s">
        <v>105</v>
      </c>
      <c r="C1499" s="90"/>
      <c r="D1499" s="89"/>
      <c r="E1499" s="89" t="s">
        <v>2357</v>
      </c>
      <c r="F1499" s="89"/>
      <c r="G1499" s="89"/>
    </row>
    <row r="1500" spans="2:7" ht="14.25" customHeight="1">
      <c r="B1500" s="2" t="s">
        <v>105</v>
      </c>
      <c r="C1500" s="90"/>
      <c r="D1500" s="89"/>
      <c r="E1500" s="89" t="s">
        <v>2358</v>
      </c>
      <c r="F1500" s="89"/>
      <c r="G1500" s="89"/>
    </row>
    <row r="1501" spans="2:7" ht="14.25" customHeight="1">
      <c r="B1501" s="2" t="s">
        <v>105</v>
      </c>
      <c r="C1501" s="90"/>
      <c r="D1501" s="89"/>
      <c r="E1501" s="89" t="s">
        <v>2359</v>
      </c>
      <c r="F1501" s="89"/>
      <c r="G1501" s="89"/>
    </row>
    <row r="1502" spans="2:7" ht="14.25" customHeight="1">
      <c r="B1502" s="2" t="s">
        <v>105</v>
      </c>
      <c r="C1502" s="90"/>
      <c r="D1502" s="89"/>
      <c r="E1502" s="89" t="s">
        <v>2360</v>
      </c>
      <c r="F1502" s="89"/>
      <c r="G1502" s="89"/>
    </row>
    <row r="1503" spans="2:7" ht="14.25" customHeight="1">
      <c r="B1503" s="2" t="s">
        <v>105</v>
      </c>
      <c r="C1503" s="90" t="s">
        <v>2361</v>
      </c>
      <c r="D1503" s="90" t="s">
        <v>831</v>
      </c>
      <c r="E1503" s="90" t="s">
        <v>831</v>
      </c>
      <c r="F1503" s="90" t="s">
        <v>831</v>
      </c>
      <c r="G1503" s="90" t="s">
        <v>831</v>
      </c>
    </row>
    <row r="1504" spans="2:7" ht="14.25" customHeight="1">
      <c r="B1504" s="2" t="s">
        <v>105</v>
      </c>
      <c r="C1504" s="90"/>
      <c r="D1504" s="89" t="str">
        <f t="shared" ref="D1504:D1505" si="21">E1504</f>
        <v>PR35-1</v>
      </c>
      <c r="E1504" s="89" t="s">
        <v>2362</v>
      </c>
      <c r="F1504" s="89"/>
      <c r="G1504" s="89"/>
    </row>
    <row r="1505" spans="2:7" ht="14.25" customHeight="1">
      <c r="B1505" s="2" t="s">
        <v>105</v>
      </c>
      <c r="C1505" s="90"/>
      <c r="D1505" s="89" t="str">
        <f t="shared" si="21"/>
        <v>PR35-2</v>
      </c>
      <c r="E1505" s="89" t="s">
        <v>2363</v>
      </c>
      <c r="F1505" s="89"/>
      <c r="G1505" s="89"/>
    </row>
    <row r="1506" spans="2:7" ht="14.25" customHeight="1">
      <c r="B1506" s="2" t="s">
        <v>105</v>
      </c>
      <c r="C1506" s="90"/>
      <c r="D1506" s="89"/>
      <c r="E1506" s="89" t="s">
        <v>2364</v>
      </c>
      <c r="F1506" s="89"/>
      <c r="G1506" s="89"/>
    </row>
    <row r="1507" spans="2:7" ht="14.25" customHeight="1">
      <c r="B1507" s="2" t="s">
        <v>105</v>
      </c>
      <c r="C1507" s="90"/>
      <c r="D1507" s="89"/>
      <c r="E1507" s="89" t="s">
        <v>2365</v>
      </c>
      <c r="F1507" s="89"/>
      <c r="G1507" s="89"/>
    </row>
    <row r="1508" spans="2:7" ht="14.25" customHeight="1">
      <c r="B1508" s="2" t="s">
        <v>105</v>
      </c>
      <c r="C1508" s="90"/>
      <c r="D1508" s="89"/>
      <c r="E1508" s="89" t="s">
        <v>2366</v>
      </c>
      <c r="F1508" s="89"/>
      <c r="G1508" s="89"/>
    </row>
    <row r="1509" spans="2:7" ht="14.25" customHeight="1">
      <c r="B1509" s="2" t="s">
        <v>105</v>
      </c>
      <c r="C1509" s="90"/>
      <c r="D1509" s="89"/>
      <c r="E1509" s="89" t="s">
        <v>2367</v>
      </c>
      <c r="F1509" s="89"/>
      <c r="G1509" s="89"/>
    </row>
    <row r="1510" spans="2:7" ht="14.25" customHeight="1">
      <c r="B1510" s="2" t="s">
        <v>105</v>
      </c>
      <c r="C1510" s="90" t="s">
        <v>2368</v>
      </c>
      <c r="D1510" s="90" t="s">
        <v>832</v>
      </c>
      <c r="E1510" s="90" t="s">
        <v>832</v>
      </c>
      <c r="F1510" s="90" t="s">
        <v>832</v>
      </c>
      <c r="G1510" s="90" t="s">
        <v>832</v>
      </c>
    </row>
    <row r="1511" spans="2:7" ht="14.25" customHeight="1">
      <c r="B1511" s="2" t="s">
        <v>105</v>
      </c>
      <c r="C1511" s="90"/>
      <c r="D1511" s="89" t="str">
        <f t="shared" ref="D1511:D1512" si="22">E1511</f>
        <v>PR36-1</v>
      </c>
      <c r="E1511" s="89" t="s">
        <v>2369</v>
      </c>
      <c r="F1511" s="89"/>
      <c r="G1511" s="89"/>
    </row>
    <row r="1512" spans="2:7" ht="14.25" customHeight="1">
      <c r="B1512" s="2" t="s">
        <v>105</v>
      </c>
      <c r="C1512" s="90"/>
      <c r="D1512" s="89" t="str">
        <f t="shared" si="22"/>
        <v>PR36-2</v>
      </c>
      <c r="E1512" s="89" t="s">
        <v>2370</v>
      </c>
      <c r="F1512" s="89"/>
      <c r="G1512" s="89"/>
    </row>
    <row r="1513" spans="2:7" ht="14.25" customHeight="1">
      <c r="B1513" s="2" t="s">
        <v>105</v>
      </c>
      <c r="C1513" s="90"/>
      <c r="D1513" s="89"/>
      <c r="E1513" s="89" t="s">
        <v>2371</v>
      </c>
      <c r="F1513" s="89"/>
      <c r="G1513" s="89"/>
    </row>
    <row r="1514" spans="2:7" ht="14.25" customHeight="1">
      <c r="B1514" s="2" t="s">
        <v>105</v>
      </c>
      <c r="C1514" s="90"/>
      <c r="D1514" s="89"/>
      <c r="E1514" s="89" t="s">
        <v>2372</v>
      </c>
      <c r="F1514" s="89"/>
      <c r="G1514" s="89"/>
    </row>
    <row r="1515" spans="2:7" ht="14.25" customHeight="1">
      <c r="B1515" s="2" t="s">
        <v>105</v>
      </c>
      <c r="C1515" s="90"/>
      <c r="D1515" s="89"/>
      <c r="E1515" s="89" t="s">
        <v>2373</v>
      </c>
      <c r="F1515" s="89"/>
      <c r="G1515" s="89"/>
    </row>
    <row r="1516" spans="2:7" ht="14.25" customHeight="1">
      <c r="B1516" s="2" t="s">
        <v>105</v>
      </c>
      <c r="C1516" s="90"/>
      <c r="D1516" s="89"/>
      <c r="E1516" s="89" t="s">
        <v>2374</v>
      </c>
      <c r="F1516" s="89"/>
      <c r="G1516" s="89"/>
    </row>
    <row r="1517" spans="2:7" ht="14.25" customHeight="1">
      <c r="B1517" s="2" t="s">
        <v>105</v>
      </c>
      <c r="C1517" s="90" t="s">
        <v>2375</v>
      </c>
      <c r="D1517" s="90" t="s">
        <v>833</v>
      </c>
      <c r="E1517" s="90" t="s">
        <v>833</v>
      </c>
      <c r="F1517" s="90" t="s">
        <v>833</v>
      </c>
      <c r="G1517" s="90" t="s">
        <v>833</v>
      </c>
    </row>
    <row r="1518" spans="2:7" ht="14.25" customHeight="1">
      <c r="B1518" s="2" t="s">
        <v>105</v>
      </c>
      <c r="C1518" s="90"/>
      <c r="D1518" s="89"/>
      <c r="E1518" s="89" t="s">
        <v>2376</v>
      </c>
      <c r="F1518" s="89"/>
      <c r="G1518" s="89"/>
    </row>
    <row r="1519" spans="2:7" ht="14.25" customHeight="1">
      <c r="B1519" s="2" t="s">
        <v>105</v>
      </c>
      <c r="C1519" s="90"/>
      <c r="D1519" s="89"/>
      <c r="E1519" s="89" t="s">
        <v>2377</v>
      </c>
      <c r="F1519" s="89"/>
      <c r="G1519" s="89"/>
    </row>
    <row r="1520" spans="2:7" ht="14.25" customHeight="1">
      <c r="B1520" s="2" t="s">
        <v>105</v>
      </c>
      <c r="C1520" s="90"/>
      <c r="D1520" s="89"/>
      <c r="E1520" s="89" t="s">
        <v>2378</v>
      </c>
      <c r="F1520" s="89"/>
      <c r="G1520" s="89"/>
    </row>
    <row r="1521" spans="2:7" ht="14.25" customHeight="1">
      <c r="B1521" s="2" t="s">
        <v>105</v>
      </c>
      <c r="C1521" s="90"/>
      <c r="D1521" s="89"/>
      <c r="E1521" s="89" t="s">
        <v>2379</v>
      </c>
      <c r="F1521" s="89"/>
      <c r="G1521" s="89"/>
    </row>
    <row r="1522" spans="2:7" ht="14.25" customHeight="1">
      <c r="B1522" s="2" t="s">
        <v>105</v>
      </c>
      <c r="C1522" s="90" t="s">
        <v>2375</v>
      </c>
      <c r="D1522" s="90" t="s">
        <v>834</v>
      </c>
      <c r="E1522" s="90" t="s">
        <v>834</v>
      </c>
      <c r="F1522" s="90" t="s">
        <v>834</v>
      </c>
      <c r="G1522" s="90" t="s">
        <v>834</v>
      </c>
    </row>
    <row r="1523" spans="2:7" ht="14.25" customHeight="1">
      <c r="B1523" s="2" t="s">
        <v>105</v>
      </c>
      <c r="C1523" s="90"/>
      <c r="D1523" s="89"/>
      <c r="E1523" s="89" t="s">
        <v>2380</v>
      </c>
      <c r="F1523" s="89"/>
      <c r="G1523" s="89"/>
    </row>
    <row r="1524" spans="2:7" ht="14.25" customHeight="1">
      <c r="B1524" s="2" t="s">
        <v>105</v>
      </c>
      <c r="C1524" s="90"/>
      <c r="D1524" s="89"/>
      <c r="E1524" s="89" t="s">
        <v>2381</v>
      </c>
      <c r="F1524" s="89"/>
      <c r="G1524" s="89"/>
    </row>
    <row r="1525" spans="2:7" ht="14.25" customHeight="1">
      <c r="B1525" s="2" t="s">
        <v>105</v>
      </c>
      <c r="C1525" s="90"/>
      <c r="D1525" s="89"/>
      <c r="E1525" s="89" t="s">
        <v>2382</v>
      </c>
      <c r="F1525" s="89"/>
      <c r="G1525" s="89"/>
    </row>
    <row r="1526" spans="2:7" ht="14.25" customHeight="1">
      <c r="B1526" s="2" t="s">
        <v>105</v>
      </c>
      <c r="C1526" s="90"/>
      <c r="D1526" s="89"/>
      <c r="E1526" s="89" t="s">
        <v>2383</v>
      </c>
      <c r="F1526" s="89"/>
      <c r="G1526" s="89"/>
    </row>
    <row r="1527" spans="2:7" ht="14.25" customHeight="1">
      <c r="B1527" s="2" t="s">
        <v>105</v>
      </c>
      <c r="C1527" s="90" t="s">
        <v>2375</v>
      </c>
      <c r="D1527" s="90" t="s">
        <v>835</v>
      </c>
      <c r="E1527" s="90" t="s">
        <v>835</v>
      </c>
      <c r="F1527" s="90" t="s">
        <v>835</v>
      </c>
      <c r="G1527" s="90" t="s">
        <v>835</v>
      </c>
    </row>
    <row r="1528" spans="2:7" ht="14.25" customHeight="1">
      <c r="B1528" s="2" t="s">
        <v>105</v>
      </c>
      <c r="C1528" s="90"/>
      <c r="D1528" s="89"/>
      <c r="E1528" s="89" t="s">
        <v>2384</v>
      </c>
      <c r="F1528" s="89"/>
      <c r="G1528" s="89"/>
    </row>
    <row r="1529" spans="2:7" ht="14.25" customHeight="1">
      <c r="B1529" s="2" t="s">
        <v>105</v>
      </c>
      <c r="C1529" s="90"/>
      <c r="D1529" s="89"/>
      <c r="E1529" s="89" t="s">
        <v>2385</v>
      </c>
      <c r="F1529" s="89"/>
      <c r="G1529" s="89"/>
    </row>
    <row r="1530" spans="2:7" ht="14.25" customHeight="1">
      <c r="B1530" s="2" t="s">
        <v>105</v>
      </c>
      <c r="C1530" s="90"/>
      <c r="D1530" s="89"/>
      <c r="E1530" s="89" t="s">
        <v>2386</v>
      </c>
      <c r="F1530" s="89"/>
      <c r="G1530" s="89"/>
    </row>
    <row r="1531" spans="2:7" ht="14.25" customHeight="1">
      <c r="B1531" s="2" t="s">
        <v>105</v>
      </c>
      <c r="C1531" s="90"/>
      <c r="D1531" s="89"/>
      <c r="E1531" s="89" t="s">
        <v>2387</v>
      </c>
      <c r="F1531" s="89"/>
      <c r="G1531" s="89"/>
    </row>
    <row r="1532" spans="2:7" ht="14.25" customHeight="1">
      <c r="B1532" s="2" t="s">
        <v>105</v>
      </c>
      <c r="C1532" s="90" t="s">
        <v>2375</v>
      </c>
      <c r="D1532" s="90" t="s">
        <v>836</v>
      </c>
      <c r="E1532" s="90" t="s">
        <v>836</v>
      </c>
      <c r="F1532" s="90" t="s">
        <v>836</v>
      </c>
      <c r="G1532" s="90" t="s">
        <v>836</v>
      </c>
    </row>
    <row r="1533" spans="2:7" ht="14.25" customHeight="1">
      <c r="B1533" s="2" t="s">
        <v>105</v>
      </c>
      <c r="C1533" s="90"/>
      <c r="D1533" s="89"/>
      <c r="E1533" s="89" t="s">
        <v>2388</v>
      </c>
      <c r="F1533" s="89"/>
      <c r="G1533" s="89"/>
    </row>
    <row r="1534" spans="2:7" ht="14.25" customHeight="1">
      <c r="B1534" s="2" t="s">
        <v>105</v>
      </c>
      <c r="C1534" s="90"/>
      <c r="D1534" s="89"/>
      <c r="E1534" s="89" t="s">
        <v>2389</v>
      </c>
      <c r="F1534" s="89"/>
      <c r="G1534" s="89"/>
    </row>
    <row r="1535" spans="2:7" ht="14.25" customHeight="1">
      <c r="B1535" s="2" t="s">
        <v>105</v>
      </c>
      <c r="C1535" s="90"/>
      <c r="D1535" s="89"/>
      <c r="E1535" s="89" t="s">
        <v>2390</v>
      </c>
      <c r="F1535" s="89"/>
      <c r="G1535" s="89"/>
    </row>
    <row r="1536" spans="2:7" ht="14.25" customHeight="1">
      <c r="B1536" s="2" t="s">
        <v>105</v>
      </c>
      <c r="C1536" s="90"/>
      <c r="D1536" s="89"/>
      <c r="E1536" s="89" t="s">
        <v>2391</v>
      </c>
      <c r="F1536" s="89"/>
      <c r="G1536" s="89"/>
    </row>
    <row r="1537" spans="2:7" ht="14.25" customHeight="1">
      <c r="B1537" s="2" t="s">
        <v>105</v>
      </c>
      <c r="C1537" s="90" t="s">
        <v>2375</v>
      </c>
      <c r="D1537" s="90" t="s">
        <v>837</v>
      </c>
      <c r="E1537" s="90" t="s">
        <v>837</v>
      </c>
      <c r="F1537" s="90" t="s">
        <v>837</v>
      </c>
      <c r="G1537" s="90" t="s">
        <v>837</v>
      </c>
    </row>
    <row r="1538" spans="2:7" ht="14.25" customHeight="1">
      <c r="B1538" s="2" t="s">
        <v>105</v>
      </c>
      <c r="C1538" s="90"/>
      <c r="D1538" s="89"/>
      <c r="E1538" s="89" t="s">
        <v>2392</v>
      </c>
      <c r="F1538" s="89"/>
      <c r="G1538" s="89"/>
    </row>
    <row r="1539" spans="2:7" ht="14.25" customHeight="1">
      <c r="B1539" s="2" t="s">
        <v>105</v>
      </c>
      <c r="C1539" s="90"/>
      <c r="D1539" s="89"/>
      <c r="E1539" s="89" t="s">
        <v>2393</v>
      </c>
      <c r="F1539" s="89"/>
      <c r="G1539" s="89"/>
    </row>
    <row r="1540" spans="2:7" ht="14.25" customHeight="1">
      <c r="B1540" s="2" t="s">
        <v>105</v>
      </c>
      <c r="C1540" s="90"/>
      <c r="D1540" s="89"/>
      <c r="E1540" s="89" t="s">
        <v>2394</v>
      </c>
      <c r="F1540" s="89"/>
      <c r="G1540" s="89"/>
    </row>
    <row r="1541" spans="2:7" ht="14.25" customHeight="1">
      <c r="B1541" s="2" t="s">
        <v>105</v>
      </c>
      <c r="C1541" s="90"/>
      <c r="D1541" s="89"/>
      <c r="E1541" s="89" t="s">
        <v>2395</v>
      </c>
      <c r="F1541" s="89"/>
      <c r="G1541" s="89"/>
    </row>
    <row r="1542" spans="2:7" ht="14.25" customHeight="1">
      <c r="B1542" s="2" t="s">
        <v>105</v>
      </c>
      <c r="C1542" s="90" t="s">
        <v>2396</v>
      </c>
      <c r="D1542" s="90" t="s">
        <v>838</v>
      </c>
      <c r="E1542" s="90" t="s">
        <v>838</v>
      </c>
      <c r="F1542" s="90" t="s">
        <v>838</v>
      </c>
      <c r="G1542" s="90" t="s">
        <v>838</v>
      </c>
    </row>
    <row r="1543" spans="2:7" ht="14.25" customHeight="1">
      <c r="B1543" s="2" t="s">
        <v>105</v>
      </c>
      <c r="C1543" s="90"/>
      <c r="D1543" s="89"/>
      <c r="E1543" s="89" t="s">
        <v>2397</v>
      </c>
      <c r="F1543" s="89"/>
      <c r="G1543" s="89"/>
    </row>
    <row r="1544" spans="2:7" ht="14.25" customHeight="1">
      <c r="B1544" s="2" t="s">
        <v>105</v>
      </c>
      <c r="C1544" s="90"/>
      <c r="D1544" s="89"/>
      <c r="E1544" s="89" t="s">
        <v>2398</v>
      </c>
      <c r="F1544" s="89"/>
      <c r="G1544" s="89"/>
    </row>
    <row r="1545" spans="2:7" ht="14.25" customHeight="1">
      <c r="B1545" s="2" t="s">
        <v>105</v>
      </c>
      <c r="C1545" s="90"/>
      <c r="D1545" s="89"/>
      <c r="E1545" s="89" t="s">
        <v>2399</v>
      </c>
      <c r="F1545" s="89"/>
      <c r="G1545" s="89"/>
    </row>
    <row r="1546" spans="2:7" ht="14.25" customHeight="1">
      <c r="B1546" s="2" t="s">
        <v>105</v>
      </c>
      <c r="C1546" s="90"/>
      <c r="D1546" s="89"/>
      <c r="E1546" s="89" t="s">
        <v>2400</v>
      </c>
      <c r="F1546" s="89"/>
      <c r="G1546" s="89"/>
    </row>
    <row r="1547" spans="2:7" ht="14.25" customHeight="1">
      <c r="B1547" s="2" t="s">
        <v>105</v>
      </c>
      <c r="C1547" s="90" t="s">
        <v>2396</v>
      </c>
      <c r="D1547" s="90" t="s">
        <v>839</v>
      </c>
      <c r="E1547" s="90" t="s">
        <v>839</v>
      </c>
      <c r="F1547" s="90" t="s">
        <v>839</v>
      </c>
      <c r="G1547" s="90" t="s">
        <v>839</v>
      </c>
    </row>
    <row r="1548" spans="2:7" ht="14.25" customHeight="1">
      <c r="B1548" s="2" t="s">
        <v>105</v>
      </c>
      <c r="C1548" s="90"/>
      <c r="D1548" s="89"/>
      <c r="E1548" s="89" t="s">
        <v>2401</v>
      </c>
      <c r="F1548" s="89"/>
      <c r="G1548" s="89"/>
    </row>
    <row r="1549" spans="2:7" ht="14.25" customHeight="1">
      <c r="B1549" s="2" t="s">
        <v>105</v>
      </c>
      <c r="C1549" s="90"/>
      <c r="D1549" s="89"/>
      <c r="E1549" s="89" t="s">
        <v>2402</v>
      </c>
      <c r="F1549" s="89"/>
      <c r="G1549" s="89"/>
    </row>
    <row r="1550" spans="2:7" ht="14.25" customHeight="1">
      <c r="B1550" s="2" t="s">
        <v>105</v>
      </c>
      <c r="C1550" s="90"/>
      <c r="D1550" s="89"/>
      <c r="E1550" s="89" t="s">
        <v>2403</v>
      </c>
      <c r="F1550" s="89"/>
      <c r="G1550" s="89"/>
    </row>
    <row r="1551" spans="2:7" ht="14.25" customHeight="1">
      <c r="B1551" s="2" t="s">
        <v>105</v>
      </c>
      <c r="C1551" s="90"/>
      <c r="D1551" s="89"/>
      <c r="E1551" s="89" t="s">
        <v>2404</v>
      </c>
      <c r="F1551" s="89"/>
      <c r="G1551" s="89"/>
    </row>
    <row r="1552" spans="2:7" ht="14.25" customHeight="1">
      <c r="B1552" s="2" t="s">
        <v>105</v>
      </c>
      <c r="C1552" s="90" t="s">
        <v>2396</v>
      </c>
      <c r="D1552" s="90" t="s">
        <v>840</v>
      </c>
      <c r="E1552" s="90" t="s">
        <v>840</v>
      </c>
      <c r="F1552" s="90" t="s">
        <v>840</v>
      </c>
      <c r="G1552" s="90" t="s">
        <v>840</v>
      </c>
    </row>
    <row r="1553" spans="2:7" ht="14.25" customHeight="1">
      <c r="B1553" s="2" t="s">
        <v>105</v>
      </c>
      <c r="C1553" s="90"/>
      <c r="D1553" s="89"/>
      <c r="E1553" s="89" t="s">
        <v>2405</v>
      </c>
      <c r="F1553" s="89"/>
      <c r="G1553" s="89"/>
    </row>
    <row r="1554" spans="2:7" ht="14.25" customHeight="1">
      <c r="B1554" s="2" t="s">
        <v>105</v>
      </c>
      <c r="C1554" s="90"/>
      <c r="D1554" s="89"/>
      <c r="E1554" s="89" t="s">
        <v>2406</v>
      </c>
      <c r="F1554" s="89"/>
      <c r="G1554" s="89"/>
    </row>
    <row r="1555" spans="2:7" ht="14.25" customHeight="1">
      <c r="B1555" s="2" t="s">
        <v>105</v>
      </c>
      <c r="C1555" s="90"/>
      <c r="D1555" s="89"/>
      <c r="E1555" s="89" t="s">
        <v>2407</v>
      </c>
      <c r="F1555" s="89"/>
      <c r="G1555" s="89"/>
    </row>
    <row r="1556" spans="2:7" ht="14.25" customHeight="1">
      <c r="B1556" s="2" t="s">
        <v>105</v>
      </c>
      <c r="C1556" s="90"/>
      <c r="D1556" s="89"/>
      <c r="E1556" s="89" t="s">
        <v>2408</v>
      </c>
      <c r="F1556" s="89"/>
      <c r="G1556" s="89"/>
    </row>
    <row r="1557" spans="2:7" ht="14.25" customHeight="1">
      <c r="B1557" s="2" t="s">
        <v>105</v>
      </c>
      <c r="C1557" s="90" t="s">
        <v>2396</v>
      </c>
      <c r="D1557" s="90" t="s">
        <v>841</v>
      </c>
      <c r="E1557" s="90" t="s">
        <v>841</v>
      </c>
      <c r="F1557" s="90" t="s">
        <v>841</v>
      </c>
      <c r="G1557" s="90" t="s">
        <v>841</v>
      </c>
    </row>
    <row r="1558" spans="2:7" ht="14.25" customHeight="1">
      <c r="B1558" s="2" t="s">
        <v>105</v>
      </c>
      <c r="C1558" s="90"/>
      <c r="D1558" s="89"/>
      <c r="E1558" s="89" t="s">
        <v>2409</v>
      </c>
      <c r="F1558" s="89"/>
      <c r="G1558" s="89"/>
    </row>
    <row r="1559" spans="2:7" ht="14.25" customHeight="1">
      <c r="B1559" s="2" t="s">
        <v>105</v>
      </c>
      <c r="C1559" s="90"/>
      <c r="D1559" s="89"/>
      <c r="E1559" s="89" t="s">
        <v>2410</v>
      </c>
      <c r="F1559" s="89"/>
      <c r="G1559" s="89"/>
    </row>
    <row r="1560" spans="2:7" ht="14.25" customHeight="1">
      <c r="B1560" s="2" t="s">
        <v>105</v>
      </c>
      <c r="C1560" s="90"/>
      <c r="D1560" s="89"/>
      <c r="E1560" s="89" t="s">
        <v>2411</v>
      </c>
      <c r="F1560" s="89"/>
      <c r="G1560" s="89"/>
    </row>
    <row r="1561" spans="2:7" ht="14.25" customHeight="1">
      <c r="B1561" s="2" t="s">
        <v>105</v>
      </c>
      <c r="C1561" s="90"/>
      <c r="D1561" s="89"/>
      <c r="E1561" s="89" t="s">
        <v>2412</v>
      </c>
      <c r="F1561" s="89"/>
      <c r="G1561" s="89"/>
    </row>
    <row r="1562" spans="2:7" ht="14.25" customHeight="1">
      <c r="B1562" s="2" t="s">
        <v>105</v>
      </c>
      <c r="C1562" s="90" t="s">
        <v>2413</v>
      </c>
      <c r="D1562" s="90" t="s">
        <v>842</v>
      </c>
      <c r="E1562" s="90" t="s">
        <v>842</v>
      </c>
      <c r="F1562" s="90" t="s">
        <v>842</v>
      </c>
      <c r="G1562" s="90" t="s">
        <v>842</v>
      </c>
    </row>
    <row r="1563" spans="2:7" ht="14.25" customHeight="1">
      <c r="B1563" s="2" t="s">
        <v>105</v>
      </c>
      <c r="C1563" s="90"/>
      <c r="D1563" s="89"/>
      <c r="E1563" s="89" t="s">
        <v>2414</v>
      </c>
      <c r="F1563" s="89"/>
      <c r="G1563" s="89"/>
    </row>
    <row r="1564" spans="2:7" ht="14.25" customHeight="1">
      <c r="B1564" s="2" t="s">
        <v>105</v>
      </c>
      <c r="C1564" s="90"/>
      <c r="D1564" s="89"/>
      <c r="E1564" s="89" t="s">
        <v>2415</v>
      </c>
      <c r="F1564" s="89"/>
      <c r="G1564" s="89"/>
    </row>
    <row r="1565" spans="2:7" ht="14.25" customHeight="1">
      <c r="B1565" s="2" t="s">
        <v>105</v>
      </c>
      <c r="C1565" s="90"/>
      <c r="D1565" s="89"/>
      <c r="E1565" s="89" t="s">
        <v>2416</v>
      </c>
      <c r="F1565" s="89"/>
      <c r="G1565" s="89"/>
    </row>
    <row r="1566" spans="2:7" ht="14.25" customHeight="1">
      <c r="B1566" s="2" t="s">
        <v>105</v>
      </c>
      <c r="C1566" s="90"/>
      <c r="D1566" s="89"/>
      <c r="E1566" s="89" t="s">
        <v>2417</v>
      </c>
      <c r="F1566" s="89"/>
      <c r="G1566" s="89"/>
    </row>
    <row r="1567" spans="2:7" ht="14.25" customHeight="1">
      <c r="B1567" s="2" t="s">
        <v>105</v>
      </c>
      <c r="C1567" s="90" t="s">
        <v>2413</v>
      </c>
      <c r="D1567" s="90" t="s">
        <v>843</v>
      </c>
      <c r="E1567" s="90" t="s">
        <v>843</v>
      </c>
      <c r="F1567" s="90" t="s">
        <v>843</v>
      </c>
      <c r="G1567" s="90" t="s">
        <v>843</v>
      </c>
    </row>
    <row r="1568" spans="2:7" ht="14.25" customHeight="1">
      <c r="B1568" s="2" t="s">
        <v>105</v>
      </c>
      <c r="C1568" s="90"/>
      <c r="D1568" s="89"/>
      <c r="E1568" s="89" t="s">
        <v>2418</v>
      </c>
      <c r="F1568" s="89"/>
      <c r="G1568" s="89"/>
    </row>
    <row r="1569" spans="2:7" ht="14.25" customHeight="1">
      <c r="B1569" s="2" t="s">
        <v>105</v>
      </c>
      <c r="C1569" s="90"/>
      <c r="D1569" s="89"/>
      <c r="E1569" s="89" t="s">
        <v>2419</v>
      </c>
      <c r="F1569" s="89"/>
      <c r="G1569" s="89"/>
    </row>
    <row r="1570" spans="2:7" ht="14.25" customHeight="1">
      <c r="B1570" s="2" t="s">
        <v>105</v>
      </c>
      <c r="C1570" s="90"/>
      <c r="D1570" s="89"/>
      <c r="E1570" s="89" t="s">
        <v>2420</v>
      </c>
      <c r="F1570" s="89"/>
      <c r="G1570" s="89"/>
    </row>
    <row r="1571" spans="2:7" ht="14.25" customHeight="1">
      <c r="B1571" s="2" t="s">
        <v>105</v>
      </c>
      <c r="C1571" s="90"/>
      <c r="D1571" s="89"/>
      <c r="E1571" s="89" t="s">
        <v>2421</v>
      </c>
      <c r="F1571" s="89"/>
      <c r="G1571" s="89"/>
    </row>
    <row r="1572" spans="2:7" ht="14.25" customHeight="1">
      <c r="B1572" s="2" t="s">
        <v>105</v>
      </c>
      <c r="C1572" s="90" t="s">
        <v>2413</v>
      </c>
      <c r="D1572" s="90" t="s">
        <v>844</v>
      </c>
      <c r="E1572" s="90" t="s">
        <v>844</v>
      </c>
      <c r="F1572" s="90" t="s">
        <v>844</v>
      </c>
      <c r="G1572" s="90" t="s">
        <v>844</v>
      </c>
    </row>
    <row r="1573" spans="2:7" ht="14.25" customHeight="1">
      <c r="B1573" s="2" t="s">
        <v>105</v>
      </c>
      <c r="C1573" s="90"/>
      <c r="D1573" s="89"/>
      <c r="E1573" s="89" t="s">
        <v>2422</v>
      </c>
      <c r="F1573" s="89"/>
      <c r="G1573" s="89"/>
    </row>
    <row r="1574" spans="2:7" ht="14.25" customHeight="1">
      <c r="B1574" s="2" t="s">
        <v>105</v>
      </c>
      <c r="C1574" s="90"/>
      <c r="D1574" s="89"/>
      <c r="E1574" s="89" t="s">
        <v>2423</v>
      </c>
      <c r="F1574" s="89"/>
      <c r="G1574" s="89"/>
    </row>
    <row r="1575" spans="2:7" ht="14.25" customHeight="1">
      <c r="B1575" s="2" t="s">
        <v>105</v>
      </c>
      <c r="C1575" s="90"/>
      <c r="D1575" s="89"/>
      <c r="E1575" s="89" t="s">
        <v>2424</v>
      </c>
      <c r="F1575" s="89"/>
      <c r="G1575" s="89"/>
    </row>
    <row r="1576" spans="2:7" ht="14.25" customHeight="1">
      <c r="B1576" s="2" t="s">
        <v>105</v>
      </c>
      <c r="C1576" s="90"/>
      <c r="D1576" s="89"/>
      <c r="E1576" s="89" t="s">
        <v>2425</v>
      </c>
      <c r="F1576" s="89"/>
      <c r="G1576" s="89"/>
    </row>
    <row r="1577" spans="2:7" ht="14.25" customHeight="1">
      <c r="B1577" s="2" t="s">
        <v>105</v>
      </c>
      <c r="C1577" s="90" t="s">
        <v>2413</v>
      </c>
      <c r="D1577" s="90" t="s">
        <v>845</v>
      </c>
      <c r="E1577" s="90" t="s">
        <v>845</v>
      </c>
      <c r="F1577" s="90" t="s">
        <v>845</v>
      </c>
      <c r="G1577" s="90" t="s">
        <v>845</v>
      </c>
    </row>
    <row r="1578" spans="2:7" ht="14.25" customHeight="1">
      <c r="B1578" s="2" t="s">
        <v>105</v>
      </c>
      <c r="C1578" s="90"/>
      <c r="D1578" s="89"/>
      <c r="E1578" s="89" t="s">
        <v>2426</v>
      </c>
      <c r="F1578" s="89"/>
      <c r="G1578" s="89"/>
    </row>
    <row r="1579" spans="2:7" ht="14.25" customHeight="1">
      <c r="B1579" s="2" t="s">
        <v>105</v>
      </c>
      <c r="C1579" s="90"/>
      <c r="D1579" s="89"/>
      <c r="E1579" s="89" t="s">
        <v>2427</v>
      </c>
      <c r="F1579" s="89"/>
      <c r="G1579" s="89"/>
    </row>
    <row r="1580" spans="2:7" ht="14.25" customHeight="1">
      <c r="B1580" s="2" t="s">
        <v>105</v>
      </c>
      <c r="C1580" s="90"/>
      <c r="D1580" s="89"/>
      <c r="E1580" s="89" t="s">
        <v>2428</v>
      </c>
      <c r="F1580" s="89"/>
      <c r="G1580" s="89"/>
    </row>
    <row r="1581" spans="2:7" ht="14.25" customHeight="1">
      <c r="B1581" s="2" t="s">
        <v>105</v>
      </c>
      <c r="C1581" s="90"/>
      <c r="D1581" s="89"/>
      <c r="E1581" s="89" t="s">
        <v>2429</v>
      </c>
      <c r="F1581" s="89"/>
      <c r="G1581" s="89"/>
    </row>
    <row r="1582" spans="2:7" ht="14.25" customHeight="1">
      <c r="B1582" s="2" t="s">
        <v>105</v>
      </c>
      <c r="C1582" s="90" t="s">
        <v>2430</v>
      </c>
      <c r="D1582" s="90" t="s">
        <v>846</v>
      </c>
      <c r="E1582" s="90" t="s">
        <v>846</v>
      </c>
      <c r="F1582" s="90" t="s">
        <v>846</v>
      </c>
      <c r="G1582" s="90" t="s">
        <v>846</v>
      </c>
    </row>
    <row r="1583" spans="2:7" ht="14.25" customHeight="1">
      <c r="B1583" s="2" t="s">
        <v>105</v>
      </c>
      <c r="C1583" s="90"/>
      <c r="D1583" s="89"/>
      <c r="E1583" s="89" t="s">
        <v>2431</v>
      </c>
      <c r="F1583" s="89"/>
      <c r="G1583" s="89"/>
    </row>
    <row r="1584" spans="2:7" ht="14.25" customHeight="1">
      <c r="B1584" s="2" t="s">
        <v>105</v>
      </c>
      <c r="C1584" s="90"/>
      <c r="D1584" s="89"/>
      <c r="E1584" s="89" t="s">
        <v>2432</v>
      </c>
      <c r="F1584" s="89"/>
      <c r="G1584" s="89"/>
    </row>
    <row r="1585" spans="2:7" ht="14.25" customHeight="1">
      <c r="B1585" s="2" t="s">
        <v>105</v>
      </c>
      <c r="C1585" s="90"/>
      <c r="D1585" s="89"/>
      <c r="E1585" s="89" t="s">
        <v>2433</v>
      </c>
      <c r="F1585" s="89"/>
      <c r="G1585" s="89"/>
    </row>
    <row r="1586" spans="2:7" ht="14.25" customHeight="1">
      <c r="B1586" s="2" t="s">
        <v>105</v>
      </c>
      <c r="C1586" s="90"/>
      <c r="D1586" s="89"/>
      <c r="E1586" s="89" t="s">
        <v>2434</v>
      </c>
      <c r="F1586" s="89"/>
      <c r="G1586" s="89"/>
    </row>
    <row r="1587" spans="2:7" ht="14.25" customHeight="1">
      <c r="B1587" s="2" t="s">
        <v>105</v>
      </c>
      <c r="C1587" s="90" t="s">
        <v>2430</v>
      </c>
      <c r="D1587" s="90" t="s">
        <v>847</v>
      </c>
      <c r="E1587" s="90" t="s">
        <v>847</v>
      </c>
      <c r="F1587" s="90" t="s">
        <v>847</v>
      </c>
      <c r="G1587" s="90" t="s">
        <v>847</v>
      </c>
    </row>
    <row r="1588" spans="2:7" ht="14.25" customHeight="1">
      <c r="B1588" s="2" t="s">
        <v>105</v>
      </c>
      <c r="C1588" s="90"/>
      <c r="D1588" s="89"/>
      <c r="E1588" s="89" t="s">
        <v>2435</v>
      </c>
      <c r="F1588" s="89"/>
      <c r="G1588" s="89"/>
    </row>
    <row r="1589" spans="2:7" ht="14.25" customHeight="1">
      <c r="B1589" s="2" t="s">
        <v>105</v>
      </c>
      <c r="C1589" s="90"/>
      <c r="D1589" s="89"/>
      <c r="E1589" s="89" t="s">
        <v>2436</v>
      </c>
      <c r="F1589" s="89"/>
      <c r="G1589" s="89"/>
    </row>
    <row r="1590" spans="2:7" ht="14.25" customHeight="1">
      <c r="B1590" s="2" t="s">
        <v>105</v>
      </c>
      <c r="C1590" s="90"/>
      <c r="D1590" s="89"/>
      <c r="E1590" s="89" t="s">
        <v>2437</v>
      </c>
      <c r="F1590" s="89"/>
      <c r="G1590" s="89"/>
    </row>
    <row r="1591" spans="2:7" ht="14.25" customHeight="1">
      <c r="B1591" s="2" t="s">
        <v>105</v>
      </c>
      <c r="C1591" s="90"/>
      <c r="D1591" s="89"/>
      <c r="E1591" s="89" t="s">
        <v>2438</v>
      </c>
      <c r="F1591" s="89"/>
      <c r="G1591" s="89"/>
    </row>
    <row r="1592" spans="2:7" ht="14.25" customHeight="1">
      <c r="B1592" s="2" t="s">
        <v>105</v>
      </c>
      <c r="C1592" s="90" t="s">
        <v>2430</v>
      </c>
      <c r="D1592" s="90" t="s">
        <v>848</v>
      </c>
      <c r="E1592" s="90" t="s">
        <v>848</v>
      </c>
      <c r="F1592" s="90" t="s">
        <v>848</v>
      </c>
      <c r="G1592" s="90" t="s">
        <v>848</v>
      </c>
    </row>
    <row r="1593" spans="2:7" ht="14.25" customHeight="1">
      <c r="B1593" s="2" t="s">
        <v>105</v>
      </c>
      <c r="C1593" s="90"/>
      <c r="D1593" s="89"/>
      <c r="E1593" s="89" t="s">
        <v>2439</v>
      </c>
      <c r="F1593" s="89"/>
      <c r="G1593" s="89"/>
    </row>
    <row r="1594" spans="2:7" ht="14.25" customHeight="1">
      <c r="B1594" s="2" t="s">
        <v>105</v>
      </c>
      <c r="C1594" s="90"/>
      <c r="D1594" s="89"/>
      <c r="E1594" s="89" t="s">
        <v>2440</v>
      </c>
      <c r="F1594" s="89"/>
      <c r="G1594" s="89"/>
    </row>
    <row r="1595" spans="2:7" ht="14.25" customHeight="1">
      <c r="B1595" s="2" t="s">
        <v>105</v>
      </c>
      <c r="C1595" s="90"/>
      <c r="D1595" s="89"/>
      <c r="E1595" s="89" t="s">
        <v>2441</v>
      </c>
      <c r="F1595" s="89"/>
      <c r="G1595" s="89"/>
    </row>
    <row r="1596" spans="2:7" ht="14.25" customHeight="1">
      <c r="B1596" s="2" t="s">
        <v>105</v>
      </c>
      <c r="C1596" s="90"/>
      <c r="D1596" s="89"/>
      <c r="E1596" s="89" t="s">
        <v>2442</v>
      </c>
      <c r="F1596" s="89"/>
      <c r="G1596" s="89"/>
    </row>
    <row r="1597" spans="2:7" ht="14.25" customHeight="1">
      <c r="B1597" s="2" t="s">
        <v>105</v>
      </c>
      <c r="C1597" s="90" t="s">
        <v>2430</v>
      </c>
      <c r="D1597" s="90" t="s">
        <v>849</v>
      </c>
      <c r="E1597" s="90" t="s">
        <v>849</v>
      </c>
      <c r="F1597" s="90" t="s">
        <v>849</v>
      </c>
      <c r="G1597" s="90" t="s">
        <v>849</v>
      </c>
    </row>
    <row r="1598" spans="2:7" ht="14.25" customHeight="1">
      <c r="B1598" s="2" t="s">
        <v>105</v>
      </c>
      <c r="C1598" s="90"/>
      <c r="D1598" s="89"/>
      <c r="E1598" s="89" t="s">
        <v>2443</v>
      </c>
      <c r="F1598" s="89"/>
      <c r="G1598" s="89"/>
    </row>
    <row r="1599" spans="2:7" ht="14.25" customHeight="1">
      <c r="B1599" s="2" t="s">
        <v>105</v>
      </c>
      <c r="C1599" s="90"/>
      <c r="D1599" s="89"/>
      <c r="E1599" s="89" t="s">
        <v>2444</v>
      </c>
      <c r="F1599" s="89"/>
      <c r="G1599" s="89"/>
    </row>
    <row r="1600" spans="2:7" ht="14.25" customHeight="1">
      <c r="B1600" s="2" t="s">
        <v>105</v>
      </c>
      <c r="C1600" s="90"/>
      <c r="D1600" s="89"/>
      <c r="E1600" s="89" t="s">
        <v>2445</v>
      </c>
      <c r="F1600" s="89"/>
      <c r="G1600" s="89"/>
    </row>
    <row r="1601" spans="2:7" ht="14.25" customHeight="1">
      <c r="B1601" s="2" t="s">
        <v>105</v>
      </c>
      <c r="C1601" s="90"/>
      <c r="D1601" s="89"/>
      <c r="E1601" s="89" t="s">
        <v>2446</v>
      </c>
      <c r="F1601" s="89"/>
      <c r="G1601" s="89"/>
    </row>
    <row r="1602" spans="2:7" ht="14.25" customHeight="1">
      <c r="B1602" s="2" t="s">
        <v>105</v>
      </c>
      <c r="C1602" s="90" t="s">
        <v>2447</v>
      </c>
      <c r="D1602" s="90" t="s">
        <v>850</v>
      </c>
      <c r="E1602" s="90" t="s">
        <v>850</v>
      </c>
      <c r="F1602" s="90" t="s">
        <v>850</v>
      </c>
      <c r="G1602" s="90" t="s">
        <v>850</v>
      </c>
    </row>
    <row r="1603" spans="2:7" ht="14.25" customHeight="1">
      <c r="B1603" s="2" t="s">
        <v>105</v>
      </c>
      <c r="C1603" s="90"/>
      <c r="D1603" s="89"/>
      <c r="E1603" s="89" t="s">
        <v>2448</v>
      </c>
      <c r="F1603" s="89"/>
      <c r="G1603" s="89"/>
    </row>
    <row r="1604" spans="2:7" ht="14.25" customHeight="1">
      <c r="B1604" s="2" t="s">
        <v>105</v>
      </c>
      <c r="C1604" s="90"/>
      <c r="D1604" s="89"/>
      <c r="E1604" s="89" t="s">
        <v>2449</v>
      </c>
      <c r="F1604" s="89"/>
      <c r="G1604" s="89"/>
    </row>
    <row r="1605" spans="2:7" ht="14.25" customHeight="1">
      <c r="B1605" s="2" t="s">
        <v>105</v>
      </c>
      <c r="C1605" s="90"/>
      <c r="D1605" s="89"/>
      <c r="E1605" s="89" t="s">
        <v>2450</v>
      </c>
      <c r="F1605" s="89"/>
      <c r="G1605" s="89"/>
    </row>
    <row r="1606" spans="2:7" ht="14.25" customHeight="1">
      <c r="B1606" s="2" t="s">
        <v>105</v>
      </c>
      <c r="C1606" s="90"/>
      <c r="D1606" s="89"/>
      <c r="E1606" s="89" t="s">
        <v>2451</v>
      </c>
      <c r="F1606" s="89"/>
      <c r="G1606" s="89"/>
    </row>
    <row r="1607" spans="2:7" ht="14.25" customHeight="1">
      <c r="B1607" s="2" t="s">
        <v>105</v>
      </c>
      <c r="C1607" s="90" t="s">
        <v>2447</v>
      </c>
      <c r="D1607" s="90" t="s">
        <v>851</v>
      </c>
      <c r="E1607" s="90" t="s">
        <v>851</v>
      </c>
      <c r="F1607" s="90" t="s">
        <v>851</v>
      </c>
      <c r="G1607" s="90" t="s">
        <v>851</v>
      </c>
    </row>
    <row r="1608" spans="2:7" ht="14.25" customHeight="1">
      <c r="B1608" s="2" t="s">
        <v>105</v>
      </c>
      <c r="C1608" s="90"/>
      <c r="D1608" s="89"/>
      <c r="E1608" s="89" t="s">
        <v>2452</v>
      </c>
      <c r="F1608" s="89"/>
      <c r="G1608" s="89"/>
    </row>
    <row r="1609" spans="2:7" ht="14.25" customHeight="1">
      <c r="B1609" s="2" t="s">
        <v>105</v>
      </c>
      <c r="C1609" s="90"/>
      <c r="D1609" s="89"/>
      <c r="E1609" s="89" t="s">
        <v>2453</v>
      </c>
      <c r="F1609" s="89"/>
      <c r="G1609" s="89"/>
    </row>
    <row r="1610" spans="2:7" ht="14.25" customHeight="1">
      <c r="B1610" s="2" t="s">
        <v>105</v>
      </c>
      <c r="C1610" s="90"/>
      <c r="D1610" s="89"/>
      <c r="E1610" s="89" t="s">
        <v>2454</v>
      </c>
      <c r="F1610" s="89"/>
      <c r="G1610" s="89"/>
    </row>
    <row r="1611" spans="2:7" ht="14.25" customHeight="1">
      <c r="B1611" s="2" t="s">
        <v>105</v>
      </c>
      <c r="C1611" s="90"/>
      <c r="D1611" s="89"/>
      <c r="E1611" s="89" t="s">
        <v>2455</v>
      </c>
      <c r="F1611" s="89"/>
      <c r="G1611" s="89"/>
    </row>
    <row r="1612" spans="2:7" ht="14.25" customHeight="1">
      <c r="B1612" s="2" t="s">
        <v>105</v>
      </c>
      <c r="C1612" s="90" t="s">
        <v>2447</v>
      </c>
      <c r="D1612" s="90" t="s">
        <v>852</v>
      </c>
      <c r="E1612" s="90" t="s">
        <v>852</v>
      </c>
      <c r="F1612" s="90" t="s">
        <v>852</v>
      </c>
      <c r="G1612" s="90" t="s">
        <v>852</v>
      </c>
    </row>
    <row r="1613" spans="2:7" ht="14.25" customHeight="1">
      <c r="B1613" s="2" t="s">
        <v>105</v>
      </c>
      <c r="C1613" s="90"/>
      <c r="D1613" s="89"/>
      <c r="E1613" s="89" t="s">
        <v>2456</v>
      </c>
      <c r="F1613" s="89"/>
      <c r="G1613" s="89"/>
    </row>
    <row r="1614" spans="2:7" ht="14.25" customHeight="1">
      <c r="B1614" s="2" t="s">
        <v>105</v>
      </c>
      <c r="C1614" s="90"/>
      <c r="D1614" s="89"/>
      <c r="E1614" s="89" t="s">
        <v>2457</v>
      </c>
      <c r="F1614" s="89"/>
      <c r="G1614" s="89"/>
    </row>
    <row r="1615" spans="2:7" ht="14.25" customHeight="1">
      <c r="B1615" s="2" t="s">
        <v>105</v>
      </c>
      <c r="C1615" s="90"/>
      <c r="D1615" s="89"/>
      <c r="E1615" s="89" t="s">
        <v>2458</v>
      </c>
      <c r="F1615" s="89"/>
      <c r="G1615" s="89"/>
    </row>
    <row r="1616" spans="2:7" ht="14.25" customHeight="1">
      <c r="B1616" s="2" t="s">
        <v>105</v>
      </c>
      <c r="C1616" s="90"/>
      <c r="D1616" s="89"/>
      <c r="E1616" s="89" t="s">
        <v>2459</v>
      </c>
      <c r="F1616" s="89"/>
      <c r="G1616" s="89"/>
    </row>
    <row r="1617" spans="2:7" ht="14.25" customHeight="1">
      <c r="B1617" s="2" t="s">
        <v>105</v>
      </c>
      <c r="C1617" s="90" t="s">
        <v>2460</v>
      </c>
      <c r="D1617" s="90" t="s">
        <v>853</v>
      </c>
      <c r="E1617" s="90" t="s">
        <v>853</v>
      </c>
      <c r="F1617" s="90" t="s">
        <v>853</v>
      </c>
      <c r="G1617" s="90" t="s">
        <v>853</v>
      </c>
    </row>
    <row r="1618" spans="2:7" ht="14.25" customHeight="1">
      <c r="B1618" s="2" t="s">
        <v>105</v>
      </c>
      <c r="C1618" s="90"/>
      <c r="D1618" s="89"/>
      <c r="E1618" s="89" t="s">
        <v>2461</v>
      </c>
      <c r="F1618" s="89"/>
      <c r="G1618" s="89"/>
    </row>
    <row r="1619" spans="2:7" ht="14.25" customHeight="1">
      <c r="B1619" s="2" t="s">
        <v>105</v>
      </c>
      <c r="C1619" s="90"/>
      <c r="D1619" s="89"/>
      <c r="E1619" s="89" t="s">
        <v>2462</v>
      </c>
      <c r="F1619" s="89"/>
      <c r="G1619" s="89"/>
    </row>
    <row r="1620" spans="2:7" ht="14.25" customHeight="1">
      <c r="B1620" s="2" t="s">
        <v>105</v>
      </c>
      <c r="C1620" s="90"/>
      <c r="D1620" s="89"/>
      <c r="E1620" s="89" t="s">
        <v>2463</v>
      </c>
      <c r="F1620" s="89"/>
      <c r="G1620" s="89"/>
    </row>
    <row r="1621" spans="2:7" ht="14.25" customHeight="1">
      <c r="B1621" s="2" t="s">
        <v>105</v>
      </c>
      <c r="C1621" s="90"/>
      <c r="D1621" s="89"/>
      <c r="E1621" s="89" t="s">
        <v>2464</v>
      </c>
      <c r="F1621" s="89"/>
      <c r="G1621" s="89"/>
    </row>
    <row r="1622" spans="2:7" ht="14.25" customHeight="1">
      <c r="B1622" s="2" t="s">
        <v>105</v>
      </c>
      <c r="C1622" s="90" t="s">
        <v>2460</v>
      </c>
      <c r="D1622" s="90" t="s">
        <v>854</v>
      </c>
      <c r="E1622" s="90" t="s">
        <v>854</v>
      </c>
      <c r="F1622" s="90" t="s">
        <v>854</v>
      </c>
      <c r="G1622" s="90" t="s">
        <v>854</v>
      </c>
    </row>
    <row r="1623" spans="2:7" ht="14.25" customHeight="1">
      <c r="B1623" s="2" t="s">
        <v>105</v>
      </c>
      <c r="C1623" s="90"/>
      <c r="D1623" s="89"/>
      <c r="E1623" s="89" t="s">
        <v>2465</v>
      </c>
      <c r="F1623" s="89"/>
      <c r="G1623" s="89"/>
    </row>
    <row r="1624" spans="2:7" ht="14.25" customHeight="1">
      <c r="B1624" s="2" t="s">
        <v>105</v>
      </c>
      <c r="C1624" s="90"/>
      <c r="D1624" s="89"/>
      <c r="E1624" s="89" t="s">
        <v>2466</v>
      </c>
      <c r="F1624" s="89"/>
      <c r="G1624" s="89"/>
    </row>
    <row r="1625" spans="2:7" ht="14.25" customHeight="1">
      <c r="B1625" s="2" t="s">
        <v>105</v>
      </c>
      <c r="C1625" s="90"/>
      <c r="D1625" s="89"/>
      <c r="E1625" s="89" t="s">
        <v>2467</v>
      </c>
      <c r="F1625" s="89"/>
      <c r="G1625" s="89"/>
    </row>
    <row r="1626" spans="2:7" ht="14.25" customHeight="1">
      <c r="B1626" s="2" t="s">
        <v>105</v>
      </c>
      <c r="C1626" s="90"/>
      <c r="D1626" s="89"/>
      <c r="E1626" s="89" t="s">
        <v>2468</v>
      </c>
      <c r="F1626" s="89"/>
      <c r="G1626" s="89"/>
    </row>
    <row r="1627" spans="2:7" ht="14.25" customHeight="1">
      <c r="B1627" s="2" t="s">
        <v>105</v>
      </c>
      <c r="C1627" s="90" t="s">
        <v>2460</v>
      </c>
      <c r="D1627" s="90" t="s">
        <v>855</v>
      </c>
      <c r="E1627" s="90" t="s">
        <v>855</v>
      </c>
      <c r="F1627" s="90" t="s">
        <v>855</v>
      </c>
      <c r="G1627" s="90" t="s">
        <v>855</v>
      </c>
    </row>
    <row r="1628" spans="2:7" ht="14.25" customHeight="1">
      <c r="B1628" s="2" t="s">
        <v>105</v>
      </c>
      <c r="C1628" s="90"/>
      <c r="D1628" s="89"/>
      <c r="E1628" s="89" t="s">
        <v>2469</v>
      </c>
      <c r="F1628" s="89"/>
      <c r="G1628" s="89"/>
    </row>
    <row r="1629" spans="2:7" ht="14.25" customHeight="1">
      <c r="B1629" s="2" t="s">
        <v>105</v>
      </c>
      <c r="C1629" s="90"/>
      <c r="D1629" s="89"/>
      <c r="E1629" s="89" t="s">
        <v>2470</v>
      </c>
      <c r="F1629" s="89"/>
      <c r="G1629" s="89"/>
    </row>
    <row r="1630" spans="2:7" ht="14.25" customHeight="1">
      <c r="B1630" s="2" t="s">
        <v>105</v>
      </c>
      <c r="C1630" s="90"/>
      <c r="D1630" s="89"/>
      <c r="E1630" s="89" t="s">
        <v>2471</v>
      </c>
      <c r="F1630" s="89"/>
      <c r="G1630" s="89"/>
    </row>
    <row r="1631" spans="2:7" ht="14.25" customHeight="1">
      <c r="B1631" s="2" t="s">
        <v>105</v>
      </c>
      <c r="C1631" s="90"/>
      <c r="D1631" s="89"/>
      <c r="E1631" s="89" t="s">
        <v>2472</v>
      </c>
      <c r="F1631" s="89"/>
      <c r="G1631" s="89"/>
    </row>
    <row r="1632" spans="2:7" ht="14.25" customHeight="1">
      <c r="B1632" s="2" t="s">
        <v>105</v>
      </c>
      <c r="C1632" s="90" t="s">
        <v>2460</v>
      </c>
      <c r="D1632" s="90" t="s">
        <v>856</v>
      </c>
      <c r="E1632" s="90" t="s">
        <v>856</v>
      </c>
      <c r="F1632" s="90" t="s">
        <v>856</v>
      </c>
      <c r="G1632" s="90" t="s">
        <v>856</v>
      </c>
    </row>
    <row r="1633" spans="2:7" ht="14.25" customHeight="1">
      <c r="B1633" s="2" t="s">
        <v>105</v>
      </c>
      <c r="C1633" s="90"/>
      <c r="D1633" s="89"/>
      <c r="E1633" s="89" t="s">
        <v>2473</v>
      </c>
      <c r="F1633" s="89"/>
      <c r="G1633" s="89"/>
    </row>
    <row r="1634" spans="2:7" ht="14.25" customHeight="1">
      <c r="B1634" s="2" t="s">
        <v>105</v>
      </c>
      <c r="C1634" s="90"/>
      <c r="D1634" s="89"/>
      <c r="E1634" s="89" t="s">
        <v>2474</v>
      </c>
      <c r="F1634" s="89"/>
      <c r="G1634" s="89"/>
    </row>
    <row r="1635" spans="2:7" ht="14.25" customHeight="1">
      <c r="B1635" s="2" t="s">
        <v>105</v>
      </c>
      <c r="C1635" s="90"/>
      <c r="D1635" s="89"/>
      <c r="E1635" s="89" t="s">
        <v>2475</v>
      </c>
      <c r="F1635" s="89"/>
      <c r="G1635" s="89"/>
    </row>
    <row r="1636" spans="2:7" ht="14.25" customHeight="1">
      <c r="B1636" s="2" t="s">
        <v>105</v>
      </c>
      <c r="C1636" s="90"/>
      <c r="D1636" s="89"/>
      <c r="E1636" s="89" t="s">
        <v>2476</v>
      </c>
      <c r="F1636" s="89"/>
      <c r="G1636" s="89"/>
    </row>
    <row r="1637" spans="2:7" ht="14.25" customHeight="1">
      <c r="B1637" s="2" t="s">
        <v>105</v>
      </c>
      <c r="C1637" s="90" t="s">
        <v>2460</v>
      </c>
      <c r="D1637" s="90" t="s">
        <v>857</v>
      </c>
      <c r="E1637" s="90" t="s">
        <v>857</v>
      </c>
      <c r="F1637" s="90" t="s">
        <v>857</v>
      </c>
      <c r="G1637" s="90" t="s">
        <v>857</v>
      </c>
    </row>
    <row r="1638" spans="2:7" ht="14.25" customHeight="1">
      <c r="B1638" s="2" t="s">
        <v>105</v>
      </c>
      <c r="C1638" s="90"/>
      <c r="D1638" s="89"/>
      <c r="E1638" s="89" t="s">
        <v>2477</v>
      </c>
      <c r="F1638" s="89"/>
      <c r="G1638" s="89"/>
    </row>
    <row r="1639" spans="2:7" ht="14.25" customHeight="1">
      <c r="B1639" s="2" t="s">
        <v>105</v>
      </c>
      <c r="C1639" s="90"/>
      <c r="D1639" s="89"/>
      <c r="E1639" s="89" t="s">
        <v>2478</v>
      </c>
      <c r="F1639" s="89"/>
      <c r="G1639" s="89"/>
    </row>
    <row r="1640" spans="2:7" ht="14.25" customHeight="1">
      <c r="B1640" s="2" t="s">
        <v>105</v>
      </c>
      <c r="C1640" s="90"/>
      <c r="D1640" s="89"/>
      <c r="E1640" s="89" t="s">
        <v>2479</v>
      </c>
      <c r="F1640" s="89"/>
      <c r="G1640" s="89"/>
    </row>
    <row r="1641" spans="2:7" ht="14.25" customHeight="1">
      <c r="B1641" s="2" t="s">
        <v>105</v>
      </c>
      <c r="C1641" s="90"/>
      <c r="D1641" s="89"/>
      <c r="E1641" s="89" t="s">
        <v>2480</v>
      </c>
      <c r="F1641" s="89"/>
      <c r="G1641" s="89"/>
    </row>
    <row r="1642" spans="2:7" ht="14.25" customHeight="1">
      <c r="B1642" s="2" t="s">
        <v>105</v>
      </c>
      <c r="C1642" s="90" t="s">
        <v>2481</v>
      </c>
      <c r="D1642" s="90" t="s">
        <v>858</v>
      </c>
      <c r="E1642" s="90" t="s">
        <v>858</v>
      </c>
      <c r="F1642" s="90" t="s">
        <v>858</v>
      </c>
      <c r="G1642" s="90" t="s">
        <v>858</v>
      </c>
    </row>
    <row r="1643" spans="2:7" ht="14.25" customHeight="1">
      <c r="B1643" s="2" t="s">
        <v>105</v>
      </c>
      <c r="C1643" s="90"/>
      <c r="D1643" s="89"/>
      <c r="E1643" s="89" t="s">
        <v>2482</v>
      </c>
      <c r="F1643" s="89"/>
      <c r="G1643" s="89"/>
    </row>
    <row r="1644" spans="2:7" ht="14.25" customHeight="1">
      <c r="B1644" s="2" t="s">
        <v>105</v>
      </c>
      <c r="C1644" s="90"/>
      <c r="D1644" s="89"/>
      <c r="E1644" s="89" t="s">
        <v>2483</v>
      </c>
      <c r="F1644" s="89"/>
      <c r="G1644" s="89"/>
    </row>
    <row r="1645" spans="2:7" ht="14.25" customHeight="1">
      <c r="B1645" s="2" t="s">
        <v>105</v>
      </c>
      <c r="C1645" s="90"/>
      <c r="D1645" s="89"/>
      <c r="E1645" s="89" t="s">
        <v>2484</v>
      </c>
      <c r="F1645" s="89"/>
      <c r="G1645" s="89"/>
    </row>
    <row r="1646" spans="2:7" ht="14.25" customHeight="1">
      <c r="B1646" s="2" t="s">
        <v>105</v>
      </c>
      <c r="C1646" s="90"/>
      <c r="D1646" s="89"/>
      <c r="E1646" s="89" t="s">
        <v>2485</v>
      </c>
      <c r="F1646" s="89"/>
      <c r="G1646" s="89"/>
    </row>
    <row r="1647" spans="2:7" ht="14.25" customHeight="1">
      <c r="B1647" s="2" t="s">
        <v>105</v>
      </c>
      <c r="C1647" s="90"/>
      <c r="D1647" s="89"/>
      <c r="E1647" s="89" t="s">
        <v>2486</v>
      </c>
      <c r="F1647" s="89"/>
      <c r="G1647" s="89"/>
    </row>
    <row r="1648" spans="2:7" ht="14.25" customHeight="1">
      <c r="B1648" s="2" t="s">
        <v>105</v>
      </c>
      <c r="C1648" s="90"/>
      <c r="D1648" s="89"/>
      <c r="E1648" s="89" t="s">
        <v>2487</v>
      </c>
      <c r="F1648" s="89"/>
      <c r="G1648" s="89"/>
    </row>
    <row r="1649" spans="2:7" ht="14.25" customHeight="1">
      <c r="B1649" s="2" t="s">
        <v>105</v>
      </c>
      <c r="C1649" s="90" t="s">
        <v>2481</v>
      </c>
      <c r="D1649" s="90" t="s">
        <v>859</v>
      </c>
      <c r="E1649" s="90" t="s">
        <v>859</v>
      </c>
      <c r="F1649" s="90" t="s">
        <v>859</v>
      </c>
      <c r="G1649" s="90" t="s">
        <v>859</v>
      </c>
    </row>
    <row r="1650" spans="2:7" ht="14.25" customHeight="1">
      <c r="B1650" s="2" t="s">
        <v>105</v>
      </c>
      <c r="C1650" s="90"/>
      <c r="D1650" s="89"/>
      <c r="E1650" s="89" t="s">
        <v>2488</v>
      </c>
      <c r="F1650" s="89"/>
      <c r="G1650" s="89"/>
    </row>
    <row r="1651" spans="2:7" ht="14.25" customHeight="1">
      <c r="B1651" s="2" t="s">
        <v>105</v>
      </c>
      <c r="C1651" s="90"/>
      <c r="D1651" s="89"/>
      <c r="E1651" s="89" t="s">
        <v>2489</v>
      </c>
      <c r="F1651" s="89"/>
      <c r="G1651" s="89"/>
    </row>
    <row r="1652" spans="2:7" ht="14.25" customHeight="1">
      <c r="B1652" s="2" t="s">
        <v>105</v>
      </c>
      <c r="C1652" s="90"/>
      <c r="D1652" s="89"/>
      <c r="E1652" s="89" t="s">
        <v>2490</v>
      </c>
      <c r="F1652" s="89"/>
      <c r="G1652" s="89"/>
    </row>
    <row r="1653" spans="2:7" ht="14.25" customHeight="1">
      <c r="B1653" s="2" t="s">
        <v>105</v>
      </c>
      <c r="C1653" s="90"/>
      <c r="D1653" s="89"/>
      <c r="E1653" s="89" t="s">
        <v>2491</v>
      </c>
      <c r="F1653" s="89"/>
      <c r="G1653" s="89"/>
    </row>
    <row r="1654" spans="2:7" ht="14.25" customHeight="1">
      <c r="B1654" s="2" t="s">
        <v>105</v>
      </c>
      <c r="C1654" s="90"/>
      <c r="D1654" s="89"/>
      <c r="E1654" s="89" t="s">
        <v>2492</v>
      </c>
      <c r="F1654" s="89"/>
      <c r="G1654" s="89"/>
    </row>
    <row r="1655" spans="2:7" ht="14.25" customHeight="1">
      <c r="B1655" s="2" t="s">
        <v>105</v>
      </c>
      <c r="C1655" s="90"/>
      <c r="D1655" s="89"/>
      <c r="E1655" s="89" t="s">
        <v>2493</v>
      </c>
      <c r="F1655" s="89"/>
      <c r="G1655" s="89"/>
    </row>
    <row r="1656" spans="2:7" ht="14.25" customHeight="1">
      <c r="B1656" s="2" t="s">
        <v>105</v>
      </c>
      <c r="C1656" s="90"/>
      <c r="D1656" s="89"/>
      <c r="E1656" s="89" t="s">
        <v>2494</v>
      </c>
      <c r="F1656" s="89"/>
      <c r="G1656" s="89"/>
    </row>
    <row r="1657" spans="2:7" ht="14.25" customHeight="1">
      <c r="B1657" s="2" t="s">
        <v>105</v>
      </c>
      <c r="C1657" s="90"/>
      <c r="D1657" s="89"/>
      <c r="E1657" s="89" t="s">
        <v>2495</v>
      </c>
      <c r="F1657" s="89"/>
      <c r="G1657" s="89"/>
    </row>
    <row r="1658" spans="2:7" ht="14.25" customHeight="1">
      <c r="B1658" s="2" t="s">
        <v>105</v>
      </c>
      <c r="C1658" s="90"/>
      <c r="D1658" s="89"/>
      <c r="E1658" s="89" t="s">
        <v>2496</v>
      </c>
      <c r="F1658" s="89"/>
      <c r="G1658" s="89"/>
    </row>
    <row r="1659" spans="2:7" ht="14.25" customHeight="1">
      <c r="B1659" s="2" t="s">
        <v>105</v>
      </c>
      <c r="C1659" s="90"/>
      <c r="D1659" s="89"/>
      <c r="E1659" s="89" t="s">
        <v>2497</v>
      </c>
      <c r="F1659" s="89"/>
      <c r="G1659" s="89"/>
    </row>
    <row r="1660" spans="2:7" ht="14.25" customHeight="1">
      <c r="B1660" s="2" t="s">
        <v>105</v>
      </c>
      <c r="C1660" s="90"/>
      <c r="D1660" s="89"/>
      <c r="E1660" s="89" t="s">
        <v>2498</v>
      </c>
      <c r="F1660" s="89"/>
      <c r="G1660" s="89"/>
    </row>
    <row r="1661" spans="2:7" ht="14.25" customHeight="1">
      <c r="B1661" s="2" t="s">
        <v>105</v>
      </c>
      <c r="C1661" s="90"/>
      <c r="D1661" s="89"/>
      <c r="E1661" s="89" t="s">
        <v>2499</v>
      </c>
      <c r="F1661" s="89"/>
      <c r="G1661" s="89"/>
    </row>
    <row r="1662" spans="2:7" ht="14.25" customHeight="1">
      <c r="B1662" s="2" t="s">
        <v>105</v>
      </c>
      <c r="C1662" s="90"/>
      <c r="D1662" s="89"/>
      <c r="E1662" s="89" t="s">
        <v>2500</v>
      </c>
      <c r="F1662" s="89"/>
      <c r="G1662" s="89"/>
    </row>
    <row r="1663" spans="2:7" ht="14.25" customHeight="1">
      <c r="B1663" s="2" t="s">
        <v>105</v>
      </c>
      <c r="C1663" s="90"/>
      <c r="D1663" s="89"/>
      <c r="E1663" s="89" t="s">
        <v>2501</v>
      </c>
      <c r="F1663" s="89"/>
      <c r="G1663" s="89"/>
    </row>
    <row r="1664" spans="2:7" ht="14.25" customHeight="1">
      <c r="B1664" s="2" t="s">
        <v>105</v>
      </c>
      <c r="C1664" s="90"/>
      <c r="D1664" s="89"/>
      <c r="E1664" s="89" t="s">
        <v>2502</v>
      </c>
      <c r="F1664" s="89"/>
      <c r="G1664" s="89"/>
    </row>
    <row r="1665" spans="2:7" ht="14.25" customHeight="1">
      <c r="B1665" s="2" t="s">
        <v>105</v>
      </c>
      <c r="C1665" s="90"/>
      <c r="D1665" s="89"/>
      <c r="E1665" s="89" t="s">
        <v>2503</v>
      </c>
      <c r="F1665" s="89"/>
      <c r="G1665" s="89"/>
    </row>
    <row r="1666" spans="2:7" ht="14.25" customHeight="1">
      <c r="B1666" s="2" t="s">
        <v>105</v>
      </c>
      <c r="C1666" s="90" t="s">
        <v>2481</v>
      </c>
      <c r="D1666" s="90" t="s">
        <v>860</v>
      </c>
      <c r="E1666" s="90" t="s">
        <v>860</v>
      </c>
      <c r="F1666" s="90" t="s">
        <v>860</v>
      </c>
      <c r="G1666" s="90" t="s">
        <v>860</v>
      </c>
    </row>
    <row r="1667" spans="2:7" ht="14.25" customHeight="1">
      <c r="B1667" s="2" t="s">
        <v>105</v>
      </c>
      <c r="C1667" s="90"/>
      <c r="D1667" s="89"/>
      <c r="E1667" s="89" t="s">
        <v>2504</v>
      </c>
      <c r="F1667" s="89"/>
      <c r="G1667" s="89"/>
    </row>
    <row r="1668" spans="2:7" ht="14.25" customHeight="1">
      <c r="B1668" s="2" t="s">
        <v>105</v>
      </c>
      <c r="C1668" s="90"/>
      <c r="D1668" s="89"/>
      <c r="E1668" s="89" t="s">
        <v>2505</v>
      </c>
      <c r="F1668" s="89"/>
      <c r="G1668" s="89"/>
    </row>
    <row r="1669" spans="2:7" ht="14.25" customHeight="1">
      <c r="B1669" s="2" t="s">
        <v>105</v>
      </c>
      <c r="C1669" s="90"/>
      <c r="D1669" s="89"/>
      <c r="E1669" s="89" t="s">
        <v>2506</v>
      </c>
      <c r="F1669" s="89"/>
      <c r="G1669" s="89"/>
    </row>
    <row r="1670" spans="2:7" ht="14.25" customHeight="1">
      <c r="B1670" s="2" t="s">
        <v>105</v>
      </c>
      <c r="C1670" s="90"/>
      <c r="D1670" s="89"/>
      <c r="E1670" s="89" t="s">
        <v>2507</v>
      </c>
      <c r="F1670" s="89"/>
      <c r="G1670" s="89"/>
    </row>
    <row r="1671" spans="2:7" ht="14.25" customHeight="1">
      <c r="B1671" s="2" t="s">
        <v>105</v>
      </c>
      <c r="C1671" s="90"/>
      <c r="D1671" s="89"/>
      <c r="E1671" s="89" t="s">
        <v>2508</v>
      </c>
      <c r="F1671" s="89"/>
      <c r="G1671" s="89"/>
    </row>
    <row r="1672" spans="2:7" ht="14.25" customHeight="1">
      <c r="B1672" s="2" t="s">
        <v>105</v>
      </c>
      <c r="C1672" s="90"/>
      <c r="D1672" s="89"/>
      <c r="E1672" s="89" t="s">
        <v>2509</v>
      </c>
      <c r="F1672" s="89"/>
      <c r="G1672" s="89"/>
    </row>
    <row r="1673" spans="2:7" ht="14.25" customHeight="1">
      <c r="B1673" s="2" t="s">
        <v>105</v>
      </c>
      <c r="C1673" s="90"/>
      <c r="D1673" s="89"/>
      <c r="E1673" s="89" t="s">
        <v>2510</v>
      </c>
      <c r="F1673" s="89"/>
      <c r="G1673" s="89"/>
    </row>
    <row r="1674" spans="2:7" ht="14.25" customHeight="1">
      <c r="B1674" s="2" t="s">
        <v>105</v>
      </c>
      <c r="C1674" s="90"/>
      <c r="D1674" s="89"/>
      <c r="E1674" s="89" t="s">
        <v>2511</v>
      </c>
      <c r="F1674" s="89"/>
      <c r="G1674" s="89"/>
    </row>
    <row r="1675" spans="2:7" ht="14.25" customHeight="1">
      <c r="B1675" s="2" t="s">
        <v>105</v>
      </c>
      <c r="C1675" s="90"/>
      <c r="D1675" s="89"/>
      <c r="E1675" s="89" t="s">
        <v>2512</v>
      </c>
      <c r="F1675" s="89"/>
      <c r="G1675" s="89"/>
    </row>
    <row r="1676" spans="2:7" ht="14.25" customHeight="1">
      <c r="B1676" s="2" t="s">
        <v>105</v>
      </c>
      <c r="C1676" s="90"/>
      <c r="D1676" s="89"/>
      <c r="E1676" s="89" t="s">
        <v>2513</v>
      </c>
      <c r="F1676" s="89"/>
      <c r="G1676" s="89"/>
    </row>
    <row r="1677" spans="2:7" ht="14.25" customHeight="1">
      <c r="B1677" s="2" t="s">
        <v>105</v>
      </c>
      <c r="C1677" s="90"/>
      <c r="D1677" s="89"/>
      <c r="E1677" s="89" t="s">
        <v>2514</v>
      </c>
      <c r="F1677" s="89"/>
      <c r="G1677" s="89"/>
    </row>
    <row r="1678" spans="2:7" ht="14.25" customHeight="1">
      <c r="B1678" s="2" t="s">
        <v>105</v>
      </c>
      <c r="C1678" s="90"/>
      <c r="D1678" s="89"/>
      <c r="E1678" s="89" t="s">
        <v>2515</v>
      </c>
      <c r="F1678" s="89"/>
      <c r="G1678" s="89"/>
    </row>
    <row r="1679" spans="2:7" ht="14.25" customHeight="1">
      <c r="B1679" s="2" t="s">
        <v>105</v>
      </c>
      <c r="C1679" s="90"/>
      <c r="D1679" s="89"/>
      <c r="E1679" s="89" t="s">
        <v>2516</v>
      </c>
      <c r="F1679" s="89"/>
      <c r="G1679" s="89"/>
    </row>
    <row r="1680" spans="2:7" ht="14.25" customHeight="1">
      <c r="B1680" s="2" t="s">
        <v>105</v>
      </c>
      <c r="C1680" s="90"/>
      <c r="D1680" s="89"/>
      <c r="E1680" s="89" t="s">
        <v>2517</v>
      </c>
      <c r="F1680" s="89"/>
      <c r="G1680" s="89"/>
    </row>
    <row r="1681" spans="2:7" ht="14.25" customHeight="1">
      <c r="B1681" s="2" t="s">
        <v>105</v>
      </c>
      <c r="C1681" s="90"/>
      <c r="D1681" s="89"/>
      <c r="E1681" s="89" t="s">
        <v>2518</v>
      </c>
      <c r="F1681" s="89"/>
      <c r="G1681" s="89"/>
    </row>
    <row r="1682" spans="2:7" ht="14.25" customHeight="1">
      <c r="B1682" s="2" t="s">
        <v>105</v>
      </c>
      <c r="C1682" s="90"/>
      <c r="D1682" s="89"/>
      <c r="E1682" s="89" t="s">
        <v>2519</v>
      </c>
      <c r="F1682" s="89"/>
      <c r="G1682" s="89"/>
    </row>
    <row r="1683" spans="2:7" ht="14.25" customHeight="1">
      <c r="B1683" s="2" t="s">
        <v>105</v>
      </c>
      <c r="C1683" s="90" t="s">
        <v>2481</v>
      </c>
      <c r="D1683" s="90" t="s">
        <v>861</v>
      </c>
      <c r="E1683" s="90" t="s">
        <v>861</v>
      </c>
      <c r="F1683" s="90" t="s">
        <v>861</v>
      </c>
      <c r="G1683" s="90" t="s">
        <v>861</v>
      </c>
    </row>
    <row r="1684" spans="2:7" ht="14.25" customHeight="1">
      <c r="B1684" s="2" t="s">
        <v>105</v>
      </c>
      <c r="C1684" s="90"/>
      <c r="D1684" s="89"/>
      <c r="E1684" s="89" t="s">
        <v>2520</v>
      </c>
      <c r="F1684" s="89"/>
      <c r="G1684" s="89"/>
    </row>
    <row r="1685" spans="2:7" ht="14.25" customHeight="1">
      <c r="B1685" s="2" t="s">
        <v>105</v>
      </c>
      <c r="C1685" s="90"/>
      <c r="D1685" s="89"/>
      <c r="E1685" s="89" t="s">
        <v>2521</v>
      </c>
      <c r="F1685" s="89"/>
      <c r="G1685" s="89"/>
    </row>
    <row r="1686" spans="2:7" ht="14.25" customHeight="1">
      <c r="B1686" s="2" t="s">
        <v>105</v>
      </c>
      <c r="C1686" s="90"/>
      <c r="D1686" s="89"/>
      <c r="E1686" s="89" t="s">
        <v>2522</v>
      </c>
      <c r="F1686" s="89"/>
      <c r="G1686" s="89"/>
    </row>
    <row r="1687" spans="2:7" ht="14.25" customHeight="1">
      <c r="B1687" s="2" t="s">
        <v>105</v>
      </c>
      <c r="C1687" s="90"/>
      <c r="D1687" s="89"/>
      <c r="E1687" s="89" t="s">
        <v>2523</v>
      </c>
      <c r="F1687" s="89"/>
      <c r="G1687" s="89"/>
    </row>
    <row r="1688" spans="2:7" ht="14.25" customHeight="1">
      <c r="B1688" s="2" t="s">
        <v>105</v>
      </c>
      <c r="C1688" s="90"/>
      <c r="D1688" s="89"/>
      <c r="E1688" s="89" t="s">
        <v>2524</v>
      </c>
      <c r="F1688" s="89"/>
      <c r="G1688" s="89"/>
    </row>
    <row r="1689" spans="2:7" ht="14.25" customHeight="1">
      <c r="B1689" s="2" t="s">
        <v>105</v>
      </c>
      <c r="C1689" s="90"/>
      <c r="D1689" s="89"/>
      <c r="E1689" s="89" t="s">
        <v>2525</v>
      </c>
      <c r="F1689" s="89"/>
      <c r="G1689" s="89"/>
    </row>
    <row r="1690" spans="2:7" ht="14.25" customHeight="1">
      <c r="B1690" s="2" t="s">
        <v>105</v>
      </c>
      <c r="C1690" s="90" t="s">
        <v>2526</v>
      </c>
      <c r="D1690" s="90" t="s">
        <v>862</v>
      </c>
      <c r="E1690" s="90" t="s">
        <v>862</v>
      </c>
      <c r="F1690" s="90" t="s">
        <v>862</v>
      </c>
      <c r="G1690" s="90" t="s">
        <v>862</v>
      </c>
    </row>
    <row r="1691" spans="2:7" ht="14.25" customHeight="1">
      <c r="B1691" s="2" t="s">
        <v>105</v>
      </c>
      <c r="C1691" s="90"/>
      <c r="D1691" s="89"/>
      <c r="E1691" s="89" t="s">
        <v>2527</v>
      </c>
      <c r="F1691" s="89"/>
      <c r="G1691" s="89"/>
    </row>
    <row r="1692" spans="2:7" ht="14.25" customHeight="1">
      <c r="B1692" s="2" t="s">
        <v>105</v>
      </c>
      <c r="C1692" s="90"/>
      <c r="D1692" s="89"/>
      <c r="E1692" s="89" t="s">
        <v>2528</v>
      </c>
      <c r="F1692" s="89"/>
      <c r="G1692" s="89"/>
    </row>
    <row r="1693" spans="2:7" ht="14.25" customHeight="1">
      <c r="B1693" s="2" t="s">
        <v>105</v>
      </c>
      <c r="C1693" s="90"/>
      <c r="D1693" s="89"/>
      <c r="E1693" s="89" t="s">
        <v>2529</v>
      </c>
      <c r="F1693" s="89"/>
      <c r="G1693" s="89"/>
    </row>
    <row r="1694" spans="2:7" ht="14.25" customHeight="1">
      <c r="B1694" s="2" t="s">
        <v>105</v>
      </c>
      <c r="C1694" s="90"/>
      <c r="D1694" s="89"/>
      <c r="E1694" s="89" t="s">
        <v>2530</v>
      </c>
      <c r="F1694" s="89"/>
      <c r="G1694" s="89"/>
    </row>
    <row r="1695" spans="2:7" ht="14.25" customHeight="1">
      <c r="B1695" s="2" t="s">
        <v>105</v>
      </c>
      <c r="C1695" s="90" t="s">
        <v>2526</v>
      </c>
      <c r="D1695" s="90" t="s">
        <v>863</v>
      </c>
      <c r="E1695" s="90" t="s">
        <v>863</v>
      </c>
      <c r="F1695" s="90" t="s">
        <v>863</v>
      </c>
      <c r="G1695" s="90" t="s">
        <v>863</v>
      </c>
    </row>
    <row r="1696" spans="2:7" ht="14.25" customHeight="1">
      <c r="B1696" s="2" t="s">
        <v>105</v>
      </c>
      <c r="C1696" s="90"/>
      <c r="D1696" s="89"/>
      <c r="E1696" s="89" t="s">
        <v>2531</v>
      </c>
      <c r="F1696" s="89"/>
      <c r="G1696" s="89"/>
    </row>
    <row r="1697" spans="2:7" ht="14.25" customHeight="1">
      <c r="B1697" s="2" t="s">
        <v>105</v>
      </c>
      <c r="C1697" s="90"/>
      <c r="D1697" s="89"/>
      <c r="E1697" s="89" t="s">
        <v>2532</v>
      </c>
      <c r="F1697" s="89"/>
      <c r="G1697" s="89"/>
    </row>
    <row r="1698" spans="2:7" ht="14.25" customHeight="1">
      <c r="B1698" s="2" t="s">
        <v>105</v>
      </c>
      <c r="C1698" s="90"/>
      <c r="D1698" s="89"/>
      <c r="E1698" s="89" t="s">
        <v>2533</v>
      </c>
      <c r="F1698" s="89"/>
      <c r="G1698" s="89"/>
    </row>
    <row r="1699" spans="2:7" ht="14.25" customHeight="1">
      <c r="B1699" s="2" t="s">
        <v>105</v>
      </c>
      <c r="C1699" s="90"/>
      <c r="D1699" s="89"/>
      <c r="E1699" s="89" t="s">
        <v>2534</v>
      </c>
      <c r="F1699" s="89"/>
      <c r="G1699" s="89"/>
    </row>
    <row r="1700" spans="2:7" ht="14.25" customHeight="1">
      <c r="B1700" s="2" t="s">
        <v>105</v>
      </c>
      <c r="C1700" s="90" t="s">
        <v>2535</v>
      </c>
      <c r="D1700" s="90" t="s">
        <v>864</v>
      </c>
      <c r="E1700" s="90" t="s">
        <v>864</v>
      </c>
      <c r="F1700" s="90" t="s">
        <v>864</v>
      </c>
      <c r="G1700" s="90" t="s">
        <v>864</v>
      </c>
    </row>
    <row r="1701" spans="2:7" ht="14.25" customHeight="1">
      <c r="B1701" s="2" t="s">
        <v>105</v>
      </c>
      <c r="C1701" s="90"/>
      <c r="D1701" s="89" t="str">
        <f t="shared" ref="D1701:D1702" si="23">E1701</f>
        <v>PR68-1</v>
      </c>
      <c r="E1701" s="89" t="s">
        <v>2536</v>
      </c>
      <c r="F1701" s="89"/>
      <c r="G1701" s="89"/>
    </row>
    <row r="1702" spans="2:7" ht="14.25" customHeight="1">
      <c r="B1702" s="2" t="s">
        <v>105</v>
      </c>
      <c r="C1702" s="90"/>
      <c r="D1702" s="89" t="str">
        <f t="shared" si="23"/>
        <v>PR68-2</v>
      </c>
      <c r="E1702" s="89" t="s">
        <v>2537</v>
      </c>
      <c r="F1702" s="89"/>
      <c r="G1702" s="89"/>
    </row>
    <row r="1703" spans="2:7" ht="14.25" customHeight="1">
      <c r="B1703" s="2" t="s">
        <v>105</v>
      </c>
      <c r="C1703" s="90"/>
      <c r="D1703" s="89"/>
      <c r="E1703" s="89" t="s">
        <v>2538</v>
      </c>
      <c r="F1703" s="89"/>
      <c r="G1703" s="89"/>
    </row>
    <row r="1704" spans="2:7" ht="14.25" customHeight="1">
      <c r="B1704" s="2" t="s">
        <v>105</v>
      </c>
      <c r="C1704" s="90"/>
      <c r="D1704" s="89"/>
      <c r="E1704" s="89" t="s">
        <v>2539</v>
      </c>
      <c r="F1704" s="89"/>
      <c r="G1704" s="89"/>
    </row>
    <row r="1705" spans="2:7" ht="14.25" customHeight="1">
      <c r="B1705" s="2" t="s">
        <v>105</v>
      </c>
      <c r="C1705" s="90"/>
      <c r="D1705" s="89"/>
      <c r="E1705" s="89" t="s">
        <v>2540</v>
      </c>
      <c r="F1705" s="89"/>
      <c r="G1705" s="89"/>
    </row>
    <row r="1706" spans="2:7" ht="14.25" customHeight="1">
      <c r="B1706" s="2" t="s">
        <v>105</v>
      </c>
      <c r="C1706" s="90"/>
      <c r="D1706" s="89"/>
      <c r="E1706" s="89" t="s">
        <v>2541</v>
      </c>
      <c r="F1706" s="89"/>
      <c r="G1706" s="89"/>
    </row>
    <row r="1707" spans="2:7" ht="14.25" customHeight="1">
      <c r="B1707" s="2" t="s">
        <v>105</v>
      </c>
      <c r="C1707" s="90" t="s">
        <v>2535</v>
      </c>
      <c r="D1707" s="90" t="s">
        <v>865</v>
      </c>
      <c r="E1707" s="90" t="s">
        <v>865</v>
      </c>
      <c r="F1707" s="90" t="s">
        <v>865</v>
      </c>
      <c r="G1707" s="90" t="s">
        <v>865</v>
      </c>
    </row>
    <row r="1708" spans="2:7" ht="14.25" customHeight="1">
      <c r="B1708" s="2" t="s">
        <v>105</v>
      </c>
      <c r="C1708" s="90"/>
      <c r="D1708" s="89" t="str">
        <f t="shared" ref="D1708:D1709" si="24">E1708</f>
        <v>PR69-1</v>
      </c>
      <c r="E1708" s="89" t="s">
        <v>2542</v>
      </c>
      <c r="F1708" s="89"/>
      <c r="G1708" s="89"/>
    </row>
    <row r="1709" spans="2:7" ht="14.25" customHeight="1">
      <c r="B1709" s="2" t="s">
        <v>105</v>
      </c>
      <c r="C1709" s="90"/>
      <c r="D1709" s="89" t="str">
        <f t="shared" si="24"/>
        <v>PR69-2</v>
      </c>
      <c r="E1709" s="89" t="s">
        <v>2543</v>
      </c>
      <c r="F1709" s="89"/>
      <c r="G1709" s="89"/>
    </row>
    <row r="1710" spans="2:7" ht="14.25" customHeight="1">
      <c r="B1710" s="2" t="s">
        <v>105</v>
      </c>
      <c r="C1710" s="90"/>
      <c r="D1710" s="89"/>
      <c r="E1710" s="89" t="s">
        <v>2544</v>
      </c>
      <c r="F1710" s="89"/>
      <c r="G1710" s="89"/>
    </row>
    <row r="1711" spans="2:7" ht="14.25" customHeight="1">
      <c r="B1711" s="2" t="s">
        <v>105</v>
      </c>
      <c r="C1711" s="90"/>
      <c r="D1711" s="89"/>
      <c r="E1711" s="89" t="s">
        <v>2545</v>
      </c>
      <c r="F1711" s="89"/>
      <c r="G1711" s="89"/>
    </row>
    <row r="1712" spans="2:7" ht="14.25" customHeight="1">
      <c r="B1712" s="2" t="s">
        <v>105</v>
      </c>
      <c r="C1712" s="90"/>
      <c r="D1712" s="89"/>
      <c r="E1712" s="89" t="s">
        <v>2546</v>
      </c>
      <c r="F1712" s="89"/>
      <c r="G1712" s="89"/>
    </row>
    <row r="1713" spans="2:7" ht="14.25" customHeight="1">
      <c r="B1713" s="2" t="s">
        <v>105</v>
      </c>
      <c r="C1713" s="90"/>
      <c r="D1713" s="89"/>
      <c r="E1713" s="89" t="s">
        <v>2547</v>
      </c>
      <c r="F1713" s="89"/>
      <c r="G1713" s="89"/>
    </row>
    <row r="1714" spans="2:7" ht="14.25" customHeight="1">
      <c r="B1714" s="2" t="s">
        <v>105</v>
      </c>
      <c r="C1714" s="90" t="s">
        <v>2535</v>
      </c>
      <c r="D1714" s="90" t="s">
        <v>866</v>
      </c>
      <c r="E1714" s="90" t="s">
        <v>866</v>
      </c>
      <c r="F1714" s="90" t="s">
        <v>866</v>
      </c>
      <c r="G1714" s="90" t="s">
        <v>866</v>
      </c>
    </row>
    <row r="1715" spans="2:7" ht="14.25" customHeight="1">
      <c r="B1715" s="2" t="s">
        <v>105</v>
      </c>
      <c r="C1715" s="90"/>
      <c r="D1715" s="89" t="str">
        <f t="shared" ref="D1715:D1716" si="25">E1715</f>
        <v>PR70-1</v>
      </c>
      <c r="E1715" s="89" t="s">
        <v>2548</v>
      </c>
      <c r="F1715" s="89"/>
      <c r="G1715" s="89"/>
    </row>
    <row r="1716" spans="2:7" ht="14.25" customHeight="1">
      <c r="B1716" s="2" t="s">
        <v>105</v>
      </c>
      <c r="C1716" s="90"/>
      <c r="D1716" s="89" t="str">
        <f t="shared" si="25"/>
        <v>PR70-2</v>
      </c>
      <c r="E1716" s="89" t="s">
        <v>2549</v>
      </c>
      <c r="F1716" s="89"/>
      <c r="G1716" s="89"/>
    </row>
    <row r="1717" spans="2:7" ht="14.25" customHeight="1">
      <c r="B1717" s="2" t="s">
        <v>105</v>
      </c>
      <c r="C1717" s="90"/>
      <c r="D1717" s="89"/>
      <c r="E1717" s="89" t="s">
        <v>2550</v>
      </c>
      <c r="F1717" s="89"/>
      <c r="G1717" s="89"/>
    </row>
    <row r="1718" spans="2:7" ht="14.25" customHeight="1">
      <c r="B1718" s="2" t="s">
        <v>105</v>
      </c>
      <c r="C1718" s="90"/>
      <c r="D1718" s="89"/>
      <c r="E1718" s="89" t="s">
        <v>2551</v>
      </c>
      <c r="F1718" s="89"/>
      <c r="G1718" s="89"/>
    </row>
    <row r="1719" spans="2:7" ht="14.25" customHeight="1">
      <c r="B1719" s="2" t="s">
        <v>105</v>
      </c>
      <c r="C1719" s="90"/>
      <c r="D1719" s="89"/>
      <c r="E1719" s="89" t="s">
        <v>2552</v>
      </c>
      <c r="F1719" s="89"/>
      <c r="G1719" s="89"/>
    </row>
    <row r="1720" spans="2:7" ht="14.25" customHeight="1">
      <c r="B1720" s="2" t="s">
        <v>105</v>
      </c>
      <c r="C1720" s="90"/>
      <c r="D1720" s="89"/>
      <c r="E1720" s="89" t="s">
        <v>2553</v>
      </c>
      <c r="F1720" s="89"/>
      <c r="G1720" s="89"/>
    </row>
    <row r="1721" spans="2:7" ht="14.25" customHeight="1">
      <c r="B1721" s="2" t="s">
        <v>105</v>
      </c>
      <c r="C1721" s="90" t="s">
        <v>2535</v>
      </c>
      <c r="D1721" s="90" t="s">
        <v>867</v>
      </c>
      <c r="E1721" s="90" t="s">
        <v>867</v>
      </c>
      <c r="F1721" s="90" t="s">
        <v>867</v>
      </c>
      <c r="G1721" s="90" t="s">
        <v>867</v>
      </c>
    </row>
    <row r="1722" spans="2:7" ht="14.25" customHeight="1">
      <c r="B1722" s="2" t="s">
        <v>105</v>
      </c>
      <c r="C1722" s="90"/>
      <c r="D1722" s="89" t="str">
        <f t="shared" ref="D1722:D1723" si="26">E1722</f>
        <v>PR71-1</v>
      </c>
      <c r="E1722" s="89" t="s">
        <v>2554</v>
      </c>
      <c r="F1722" s="89"/>
      <c r="G1722" s="89"/>
    </row>
    <row r="1723" spans="2:7" ht="14.25" customHeight="1">
      <c r="B1723" s="2" t="s">
        <v>105</v>
      </c>
      <c r="C1723" s="90"/>
      <c r="D1723" s="89" t="str">
        <f t="shared" si="26"/>
        <v>PR71-2</v>
      </c>
      <c r="E1723" s="89" t="s">
        <v>2555</v>
      </c>
      <c r="F1723" s="89"/>
      <c r="G1723" s="89"/>
    </row>
    <row r="1724" spans="2:7" ht="14.25" customHeight="1">
      <c r="B1724" s="2" t="s">
        <v>105</v>
      </c>
      <c r="C1724" s="90"/>
      <c r="D1724" s="89"/>
      <c r="E1724" s="89" t="s">
        <v>2556</v>
      </c>
      <c r="F1724" s="89"/>
      <c r="G1724" s="89"/>
    </row>
    <row r="1725" spans="2:7" ht="14.25" customHeight="1">
      <c r="B1725" s="2" t="s">
        <v>105</v>
      </c>
      <c r="C1725" s="90"/>
      <c r="D1725" s="89"/>
      <c r="E1725" s="89" t="s">
        <v>2557</v>
      </c>
      <c r="F1725" s="89"/>
      <c r="G1725" s="89"/>
    </row>
    <row r="1726" spans="2:7" ht="14.25" customHeight="1">
      <c r="B1726" s="2" t="s">
        <v>105</v>
      </c>
      <c r="C1726" s="90"/>
      <c r="D1726" s="89"/>
      <c r="E1726" s="89" t="s">
        <v>2558</v>
      </c>
      <c r="F1726" s="89"/>
      <c r="G1726" s="89"/>
    </row>
    <row r="1727" spans="2:7" ht="14.25" customHeight="1">
      <c r="B1727" s="2" t="s">
        <v>105</v>
      </c>
      <c r="C1727" s="90"/>
      <c r="D1727" s="89"/>
      <c r="E1727" s="89" t="s">
        <v>2559</v>
      </c>
      <c r="F1727" s="89"/>
      <c r="G1727" s="89"/>
    </row>
    <row r="1728" spans="2:7" ht="14.25" customHeight="1">
      <c r="B1728" s="2" t="s">
        <v>105</v>
      </c>
      <c r="C1728" s="90" t="s">
        <v>2535</v>
      </c>
      <c r="D1728" s="90" t="s">
        <v>868</v>
      </c>
      <c r="E1728" s="90" t="s">
        <v>868</v>
      </c>
      <c r="F1728" s="90" t="s">
        <v>868</v>
      </c>
      <c r="G1728" s="90" t="s">
        <v>868</v>
      </c>
    </row>
    <row r="1729" spans="2:7" ht="14.25" customHeight="1">
      <c r="B1729" s="2" t="s">
        <v>105</v>
      </c>
      <c r="C1729" s="90"/>
      <c r="D1729" s="89" t="str">
        <f t="shared" ref="D1729:D1730" si="27">E1729</f>
        <v>PR72-1</v>
      </c>
      <c r="E1729" s="89" t="s">
        <v>2560</v>
      </c>
      <c r="F1729" s="89"/>
      <c r="G1729" s="89"/>
    </row>
    <row r="1730" spans="2:7" ht="14.25" customHeight="1">
      <c r="B1730" s="2" t="s">
        <v>105</v>
      </c>
      <c r="C1730" s="90"/>
      <c r="D1730" s="89" t="str">
        <f t="shared" si="27"/>
        <v>PR72-2</v>
      </c>
      <c r="E1730" s="89" t="s">
        <v>2561</v>
      </c>
      <c r="F1730" s="89"/>
      <c r="G1730" s="89"/>
    </row>
    <row r="1731" spans="2:7" ht="14.25" customHeight="1">
      <c r="B1731" s="2" t="s">
        <v>105</v>
      </c>
      <c r="C1731" s="90"/>
      <c r="D1731" s="89"/>
      <c r="E1731" s="89" t="s">
        <v>2562</v>
      </c>
      <c r="F1731" s="89"/>
      <c r="G1731" s="89"/>
    </row>
    <row r="1732" spans="2:7" ht="14.25" customHeight="1">
      <c r="B1732" s="2" t="s">
        <v>105</v>
      </c>
      <c r="C1732" s="90"/>
      <c r="D1732" s="89"/>
      <c r="E1732" s="89" t="s">
        <v>2563</v>
      </c>
      <c r="F1732" s="89"/>
      <c r="G1732" s="89"/>
    </row>
    <row r="1733" spans="2:7" ht="14.25" customHeight="1">
      <c r="B1733" s="2" t="s">
        <v>105</v>
      </c>
      <c r="C1733" s="90"/>
      <c r="D1733" s="89"/>
      <c r="E1733" s="89" t="s">
        <v>2564</v>
      </c>
      <c r="F1733" s="89"/>
      <c r="G1733" s="89"/>
    </row>
    <row r="1734" spans="2:7" ht="14.25" customHeight="1">
      <c r="B1734" s="2" t="s">
        <v>105</v>
      </c>
      <c r="C1734" s="90"/>
      <c r="D1734" s="89"/>
      <c r="E1734" s="89" t="s">
        <v>2565</v>
      </c>
      <c r="F1734" s="89"/>
      <c r="G1734" s="89"/>
    </row>
    <row r="1735" spans="2:7" ht="14.25" customHeight="1">
      <c r="B1735" s="2" t="s">
        <v>105</v>
      </c>
      <c r="C1735" s="90" t="s">
        <v>2535</v>
      </c>
      <c r="D1735" s="90" t="s">
        <v>869</v>
      </c>
      <c r="E1735" s="90" t="s">
        <v>869</v>
      </c>
      <c r="F1735" s="90" t="s">
        <v>869</v>
      </c>
      <c r="G1735" s="90" t="s">
        <v>869</v>
      </c>
    </row>
    <row r="1736" spans="2:7" ht="14.25" customHeight="1">
      <c r="B1736" s="2" t="s">
        <v>105</v>
      </c>
      <c r="C1736" s="90"/>
      <c r="D1736" s="89" t="str">
        <f t="shared" ref="D1736:D1737" si="28">E1736</f>
        <v>PR73-1</v>
      </c>
      <c r="E1736" s="89" t="s">
        <v>2566</v>
      </c>
      <c r="F1736" s="89"/>
      <c r="G1736" s="89"/>
    </row>
    <row r="1737" spans="2:7" ht="14.25" customHeight="1">
      <c r="B1737" s="2" t="s">
        <v>105</v>
      </c>
      <c r="C1737" s="90"/>
      <c r="D1737" s="89" t="str">
        <f t="shared" si="28"/>
        <v>PR73-2</v>
      </c>
      <c r="E1737" s="89" t="s">
        <v>2567</v>
      </c>
      <c r="F1737" s="89"/>
      <c r="G1737" s="89"/>
    </row>
    <row r="1738" spans="2:7" ht="14.25" customHeight="1">
      <c r="B1738" s="2" t="s">
        <v>105</v>
      </c>
      <c r="C1738" s="90"/>
      <c r="D1738" s="89"/>
      <c r="E1738" s="89" t="s">
        <v>2568</v>
      </c>
      <c r="F1738" s="89"/>
      <c r="G1738" s="89"/>
    </row>
    <row r="1739" spans="2:7" ht="14.25" customHeight="1">
      <c r="B1739" s="2" t="s">
        <v>105</v>
      </c>
      <c r="C1739" s="90"/>
      <c r="D1739" s="89"/>
      <c r="E1739" s="89" t="s">
        <v>2569</v>
      </c>
      <c r="F1739" s="89"/>
      <c r="G1739" s="89"/>
    </row>
    <row r="1740" spans="2:7" ht="14.25" customHeight="1">
      <c r="B1740" s="2" t="s">
        <v>105</v>
      </c>
      <c r="C1740" s="90"/>
      <c r="D1740" s="89"/>
      <c r="E1740" s="89" t="s">
        <v>2570</v>
      </c>
      <c r="F1740" s="89"/>
      <c r="G1740" s="89"/>
    </row>
    <row r="1741" spans="2:7" ht="14.25" customHeight="1">
      <c r="B1741" s="2" t="s">
        <v>105</v>
      </c>
      <c r="C1741" s="90"/>
      <c r="D1741" s="89"/>
      <c r="E1741" s="89" t="s">
        <v>2571</v>
      </c>
      <c r="F1741" s="89"/>
      <c r="G1741" s="89"/>
    </row>
    <row r="1742" spans="2:7" ht="14.25" customHeight="1">
      <c r="B1742" s="2" t="s">
        <v>105</v>
      </c>
      <c r="C1742" s="90" t="s">
        <v>2572</v>
      </c>
      <c r="D1742" s="90" t="s">
        <v>870</v>
      </c>
      <c r="E1742" s="90" t="s">
        <v>870</v>
      </c>
      <c r="F1742" s="90" t="s">
        <v>870</v>
      </c>
      <c r="G1742" s="90" t="s">
        <v>870</v>
      </c>
    </row>
    <row r="1743" spans="2:7" ht="14.25" customHeight="1">
      <c r="B1743" s="2" t="s">
        <v>105</v>
      </c>
      <c r="C1743" s="90"/>
      <c r="D1743" s="89"/>
      <c r="E1743" s="89" t="s">
        <v>2573</v>
      </c>
      <c r="F1743" s="89"/>
      <c r="G1743" s="89"/>
    </row>
    <row r="1744" spans="2:7" ht="14.25" customHeight="1">
      <c r="B1744" s="2" t="s">
        <v>105</v>
      </c>
      <c r="C1744" s="90"/>
      <c r="D1744" s="89"/>
      <c r="E1744" s="89" t="s">
        <v>2574</v>
      </c>
      <c r="F1744" s="89"/>
      <c r="G1744" s="89"/>
    </row>
    <row r="1745" spans="2:7" ht="14.25" customHeight="1">
      <c r="B1745" s="2" t="s">
        <v>105</v>
      </c>
      <c r="C1745" s="90"/>
      <c r="D1745" s="89"/>
      <c r="E1745" s="89" t="s">
        <v>2575</v>
      </c>
      <c r="F1745" s="89"/>
      <c r="G1745" s="89"/>
    </row>
    <row r="1746" spans="2:7" ht="14.25" customHeight="1">
      <c r="B1746" s="2" t="s">
        <v>105</v>
      </c>
      <c r="C1746" s="90"/>
      <c r="D1746" s="89"/>
      <c r="E1746" s="89" t="s">
        <v>2576</v>
      </c>
      <c r="F1746" s="89"/>
      <c r="G1746" s="89"/>
    </row>
    <row r="1747" spans="2:7" ht="14.25" customHeight="1">
      <c r="B1747" s="2" t="s">
        <v>105</v>
      </c>
      <c r="C1747" s="90" t="s">
        <v>2572</v>
      </c>
      <c r="D1747" s="90" t="s">
        <v>871</v>
      </c>
      <c r="E1747" s="90" t="s">
        <v>871</v>
      </c>
      <c r="F1747" s="90" t="s">
        <v>871</v>
      </c>
      <c r="G1747" s="90" t="s">
        <v>871</v>
      </c>
    </row>
    <row r="1748" spans="2:7" ht="14.25" customHeight="1">
      <c r="B1748" s="2" t="s">
        <v>105</v>
      </c>
      <c r="C1748" s="90"/>
      <c r="D1748" s="89"/>
      <c r="E1748" s="89" t="s">
        <v>2577</v>
      </c>
      <c r="F1748" s="89"/>
      <c r="G1748" s="89"/>
    </row>
    <row r="1749" spans="2:7" ht="14.25" customHeight="1">
      <c r="B1749" s="2" t="s">
        <v>105</v>
      </c>
      <c r="C1749" s="90"/>
      <c r="D1749" s="89"/>
      <c r="E1749" s="89" t="s">
        <v>2578</v>
      </c>
      <c r="F1749" s="89"/>
      <c r="G1749" s="89"/>
    </row>
    <row r="1750" spans="2:7" ht="14.25" customHeight="1">
      <c r="B1750" s="2" t="s">
        <v>105</v>
      </c>
      <c r="C1750" s="90"/>
      <c r="D1750" s="89"/>
      <c r="E1750" s="89" t="s">
        <v>2579</v>
      </c>
      <c r="F1750" s="89"/>
      <c r="G1750" s="89"/>
    </row>
    <row r="1751" spans="2:7" ht="14.25" customHeight="1">
      <c r="B1751" s="2" t="s">
        <v>105</v>
      </c>
      <c r="C1751" s="90"/>
      <c r="D1751" s="89"/>
      <c r="E1751" s="89" t="s">
        <v>2580</v>
      </c>
      <c r="F1751" s="89"/>
      <c r="G1751" s="89"/>
    </row>
    <row r="1752" spans="2:7" ht="14.25" customHeight="1">
      <c r="B1752" s="2" t="s">
        <v>105</v>
      </c>
      <c r="C1752" s="90" t="s">
        <v>2572</v>
      </c>
      <c r="D1752" s="90" t="s">
        <v>872</v>
      </c>
      <c r="E1752" s="90" t="s">
        <v>872</v>
      </c>
      <c r="F1752" s="90" t="s">
        <v>872</v>
      </c>
      <c r="G1752" s="90" t="s">
        <v>872</v>
      </c>
    </row>
    <row r="1753" spans="2:7" ht="14.25" customHeight="1">
      <c r="B1753" s="2" t="s">
        <v>105</v>
      </c>
      <c r="C1753" s="90"/>
      <c r="D1753" s="89"/>
      <c r="E1753" s="89" t="s">
        <v>2581</v>
      </c>
      <c r="F1753" s="89"/>
      <c r="G1753" s="89"/>
    </row>
    <row r="1754" spans="2:7" ht="14.25" customHeight="1">
      <c r="B1754" s="2" t="s">
        <v>105</v>
      </c>
      <c r="C1754" s="90"/>
      <c r="D1754" s="89"/>
      <c r="E1754" s="89" t="s">
        <v>2582</v>
      </c>
      <c r="F1754" s="89"/>
      <c r="G1754" s="89"/>
    </row>
    <row r="1755" spans="2:7" ht="14.25" customHeight="1">
      <c r="B1755" s="2" t="s">
        <v>105</v>
      </c>
      <c r="C1755" s="90"/>
      <c r="D1755" s="89"/>
      <c r="E1755" s="89" t="s">
        <v>2583</v>
      </c>
      <c r="F1755" s="89"/>
      <c r="G1755" s="89"/>
    </row>
    <row r="1756" spans="2:7" ht="14.25" customHeight="1">
      <c r="B1756" s="2" t="s">
        <v>105</v>
      </c>
      <c r="C1756" s="90"/>
      <c r="D1756" s="89"/>
      <c r="E1756" s="89" t="s">
        <v>2584</v>
      </c>
      <c r="F1756" s="89"/>
      <c r="G1756" s="89"/>
    </row>
    <row r="1757" spans="2:7" ht="14.25" customHeight="1">
      <c r="B1757" s="2" t="s">
        <v>105</v>
      </c>
      <c r="C1757" s="90" t="s">
        <v>2585</v>
      </c>
      <c r="D1757" s="90" t="s">
        <v>873</v>
      </c>
      <c r="E1757" s="90" t="s">
        <v>873</v>
      </c>
      <c r="F1757" s="90" t="s">
        <v>873</v>
      </c>
      <c r="G1757" s="90" t="s">
        <v>873</v>
      </c>
    </row>
    <row r="1758" spans="2:7" ht="14.25" customHeight="1">
      <c r="B1758" s="2" t="s">
        <v>105</v>
      </c>
      <c r="C1758" s="90"/>
      <c r="D1758" s="89"/>
      <c r="E1758" s="89" t="s">
        <v>2586</v>
      </c>
      <c r="F1758" s="89"/>
      <c r="G1758" s="89"/>
    </row>
    <row r="1759" spans="2:7" ht="14.25" customHeight="1">
      <c r="B1759" s="2" t="s">
        <v>105</v>
      </c>
      <c r="C1759" s="90"/>
      <c r="D1759" s="89"/>
      <c r="E1759" s="89" t="s">
        <v>2587</v>
      </c>
      <c r="F1759" s="89"/>
      <c r="G1759" s="89"/>
    </row>
    <row r="1760" spans="2:7" ht="14.25" customHeight="1">
      <c r="B1760" s="2" t="s">
        <v>105</v>
      </c>
      <c r="C1760" s="90"/>
      <c r="D1760" s="89"/>
      <c r="E1760" s="89" t="s">
        <v>2588</v>
      </c>
      <c r="F1760" s="89"/>
      <c r="G1760" s="89"/>
    </row>
    <row r="1761" spans="2:7" ht="14.25" customHeight="1">
      <c r="B1761" s="2" t="s">
        <v>105</v>
      </c>
      <c r="C1761" s="90"/>
      <c r="D1761" s="89"/>
      <c r="E1761" s="89" t="s">
        <v>2589</v>
      </c>
      <c r="F1761" s="89"/>
      <c r="G1761" s="89"/>
    </row>
    <row r="1762" spans="2:7" ht="14.25" customHeight="1">
      <c r="B1762" s="2" t="s">
        <v>105</v>
      </c>
      <c r="C1762" s="90" t="s">
        <v>2590</v>
      </c>
      <c r="D1762" s="90" t="s">
        <v>874</v>
      </c>
      <c r="E1762" s="90" t="s">
        <v>874</v>
      </c>
      <c r="F1762" s="90" t="s">
        <v>874</v>
      </c>
      <c r="G1762" s="90" t="s">
        <v>874</v>
      </c>
    </row>
    <row r="1763" spans="2:7" ht="14.25" customHeight="1">
      <c r="B1763" s="2" t="s">
        <v>105</v>
      </c>
      <c r="C1763" s="90"/>
      <c r="D1763" s="89" t="str">
        <f t="shared" ref="D1763:D1764" si="29">E1763</f>
        <v>PR78-1</v>
      </c>
      <c r="E1763" s="89" t="s">
        <v>2591</v>
      </c>
      <c r="F1763" s="89"/>
      <c r="G1763" s="89"/>
    </row>
    <row r="1764" spans="2:7" ht="14.25" customHeight="1">
      <c r="B1764" s="2" t="s">
        <v>105</v>
      </c>
      <c r="C1764" s="90"/>
      <c r="D1764" s="89" t="str">
        <f t="shared" si="29"/>
        <v>PR78-2</v>
      </c>
      <c r="E1764" s="89" t="s">
        <v>2592</v>
      </c>
      <c r="F1764" s="89"/>
      <c r="G1764" s="89"/>
    </row>
    <row r="1765" spans="2:7" ht="14.25" customHeight="1">
      <c r="B1765" s="2" t="s">
        <v>105</v>
      </c>
      <c r="C1765" s="90"/>
      <c r="D1765" s="89"/>
      <c r="E1765" s="89" t="s">
        <v>2593</v>
      </c>
      <c r="F1765" s="89"/>
      <c r="G1765" s="89"/>
    </row>
    <row r="1766" spans="2:7" ht="14.25" customHeight="1">
      <c r="B1766" s="2" t="s">
        <v>105</v>
      </c>
      <c r="C1766" s="90"/>
      <c r="D1766" s="89"/>
      <c r="E1766" s="89" t="s">
        <v>2594</v>
      </c>
      <c r="F1766" s="89"/>
      <c r="G1766" s="89"/>
    </row>
    <row r="1767" spans="2:7" ht="14.25" customHeight="1">
      <c r="B1767" s="2" t="s">
        <v>105</v>
      </c>
      <c r="C1767" s="90"/>
      <c r="D1767" s="89"/>
      <c r="E1767" s="89" t="s">
        <v>2595</v>
      </c>
      <c r="F1767" s="89"/>
      <c r="G1767" s="89"/>
    </row>
    <row r="1768" spans="2:7" ht="14.25" customHeight="1">
      <c r="B1768" s="2" t="s">
        <v>105</v>
      </c>
      <c r="C1768" s="90"/>
      <c r="D1768" s="89"/>
      <c r="E1768" s="89" t="s">
        <v>2596</v>
      </c>
      <c r="F1768" s="89"/>
      <c r="G1768" s="89"/>
    </row>
    <row r="1769" spans="2:7" ht="14.25" customHeight="1">
      <c r="B1769" s="2" t="s">
        <v>105</v>
      </c>
      <c r="C1769" s="90" t="s">
        <v>2590</v>
      </c>
      <c r="D1769" s="90" t="s">
        <v>875</v>
      </c>
      <c r="E1769" s="90" t="s">
        <v>875</v>
      </c>
      <c r="F1769" s="90" t="s">
        <v>875</v>
      </c>
      <c r="G1769" s="90" t="s">
        <v>875</v>
      </c>
    </row>
    <row r="1770" spans="2:7" ht="14.25" customHeight="1">
      <c r="B1770" s="2" t="s">
        <v>105</v>
      </c>
      <c r="C1770" s="90"/>
      <c r="D1770" s="89" t="str">
        <f t="shared" ref="D1770:D1771" si="30">E1770</f>
        <v>PR79-1</v>
      </c>
      <c r="E1770" s="89" t="s">
        <v>2597</v>
      </c>
      <c r="F1770" s="89"/>
      <c r="G1770" s="89"/>
    </row>
    <row r="1771" spans="2:7" ht="14.25" customHeight="1">
      <c r="B1771" s="2" t="s">
        <v>105</v>
      </c>
      <c r="C1771" s="90"/>
      <c r="D1771" s="89" t="str">
        <f t="shared" si="30"/>
        <v>PR79-2</v>
      </c>
      <c r="E1771" s="89" t="s">
        <v>2598</v>
      </c>
      <c r="F1771" s="89"/>
      <c r="G1771" s="89"/>
    </row>
    <row r="1772" spans="2:7" ht="14.25" customHeight="1">
      <c r="B1772" s="2" t="s">
        <v>105</v>
      </c>
      <c r="C1772" s="90"/>
      <c r="D1772" s="89"/>
      <c r="E1772" s="89" t="s">
        <v>2599</v>
      </c>
      <c r="F1772" s="89"/>
      <c r="G1772" s="89"/>
    </row>
    <row r="1773" spans="2:7" ht="14.25" customHeight="1">
      <c r="B1773" s="2" t="s">
        <v>105</v>
      </c>
      <c r="C1773" s="90"/>
      <c r="D1773" s="89"/>
      <c r="E1773" s="89" t="s">
        <v>2600</v>
      </c>
      <c r="F1773" s="89"/>
      <c r="G1773" s="89"/>
    </row>
    <row r="1774" spans="2:7" ht="14.25" customHeight="1">
      <c r="B1774" s="2" t="s">
        <v>105</v>
      </c>
      <c r="C1774" s="90"/>
      <c r="D1774" s="89"/>
      <c r="E1774" s="89" t="s">
        <v>2601</v>
      </c>
      <c r="F1774" s="89"/>
      <c r="G1774" s="89"/>
    </row>
    <row r="1775" spans="2:7" ht="14.25" customHeight="1">
      <c r="B1775" s="2" t="s">
        <v>105</v>
      </c>
      <c r="C1775" s="90"/>
      <c r="D1775" s="89"/>
      <c r="E1775" s="89" t="s">
        <v>2602</v>
      </c>
      <c r="F1775" s="89"/>
      <c r="G1775" s="89"/>
    </row>
    <row r="1776" spans="2:7" ht="14.25" customHeight="1">
      <c r="B1776" s="2" t="s">
        <v>105</v>
      </c>
      <c r="C1776" s="90" t="s">
        <v>2590</v>
      </c>
      <c r="D1776" s="90" t="s">
        <v>876</v>
      </c>
      <c r="E1776" s="90" t="s">
        <v>876</v>
      </c>
      <c r="F1776" s="90" t="s">
        <v>876</v>
      </c>
      <c r="G1776" s="90" t="s">
        <v>876</v>
      </c>
    </row>
    <row r="1777" spans="2:7" ht="14.25" customHeight="1">
      <c r="B1777" s="2" t="s">
        <v>105</v>
      </c>
      <c r="C1777" s="90"/>
      <c r="D1777" s="89" t="str">
        <f t="shared" ref="D1777:D1778" si="31">E1777</f>
        <v>PR80-1</v>
      </c>
      <c r="E1777" s="89" t="s">
        <v>2603</v>
      </c>
      <c r="F1777" s="89"/>
      <c r="G1777" s="89"/>
    </row>
    <row r="1778" spans="2:7" ht="14.25" customHeight="1">
      <c r="B1778" s="2" t="s">
        <v>105</v>
      </c>
      <c r="C1778" s="90"/>
      <c r="D1778" s="89" t="str">
        <f t="shared" si="31"/>
        <v>PR80-2</v>
      </c>
      <c r="E1778" s="89" t="s">
        <v>2604</v>
      </c>
      <c r="F1778" s="89"/>
      <c r="G1778" s="89"/>
    </row>
    <row r="1779" spans="2:7" ht="14.25" customHeight="1">
      <c r="B1779" s="2" t="s">
        <v>105</v>
      </c>
      <c r="C1779" s="90"/>
      <c r="D1779" s="89"/>
      <c r="E1779" s="89" t="s">
        <v>2605</v>
      </c>
      <c r="F1779" s="89"/>
      <c r="G1779" s="89"/>
    </row>
    <row r="1780" spans="2:7" ht="14.25" customHeight="1">
      <c r="B1780" s="2" t="s">
        <v>105</v>
      </c>
      <c r="C1780" s="90"/>
      <c r="D1780" s="89"/>
      <c r="E1780" s="89" t="s">
        <v>2606</v>
      </c>
      <c r="F1780" s="89"/>
      <c r="G1780" s="89"/>
    </row>
    <row r="1781" spans="2:7" ht="14.25" customHeight="1">
      <c r="B1781" s="2" t="s">
        <v>105</v>
      </c>
      <c r="C1781" s="90"/>
      <c r="D1781" s="89"/>
      <c r="E1781" s="89" t="s">
        <v>2607</v>
      </c>
      <c r="F1781" s="89"/>
      <c r="G1781" s="89"/>
    </row>
    <row r="1782" spans="2:7" ht="14.25" customHeight="1">
      <c r="B1782" s="2" t="s">
        <v>105</v>
      </c>
      <c r="C1782" s="90"/>
      <c r="D1782" s="89"/>
      <c r="E1782" s="89" t="s">
        <v>2608</v>
      </c>
      <c r="F1782" s="89"/>
      <c r="G1782" s="89"/>
    </row>
    <row r="1783" spans="2:7" ht="14.25" customHeight="1">
      <c r="B1783" s="2" t="s">
        <v>105</v>
      </c>
      <c r="C1783" s="90" t="s">
        <v>2590</v>
      </c>
      <c r="D1783" s="90" t="s">
        <v>877</v>
      </c>
      <c r="E1783" s="90" t="s">
        <v>877</v>
      </c>
      <c r="F1783" s="90" t="s">
        <v>877</v>
      </c>
      <c r="G1783" s="90" t="s">
        <v>877</v>
      </c>
    </row>
    <row r="1784" spans="2:7" ht="14.25" customHeight="1">
      <c r="B1784" s="2" t="s">
        <v>105</v>
      </c>
      <c r="C1784" s="90"/>
      <c r="D1784" s="89" t="str">
        <f t="shared" ref="D1784:D1785" si="32">E1784</f>
        <v>PR81-1</v>
      </c>
      <c r="E1784" s="89" t="s">
        <v>2609</v>
      </c>
      <c r="F1784" s="89"/>
      <c r="G1784" s="5"/>
    </row>
    <row r="1785" spans="2:7" ht="14.25" customHeight="1">
      <c r="B1785" s="2" t="s">
        <v>105</v>
      </c>
      <c r="C1785" s="90"/>
      <c r="D1785" s="89" t="str">
        <f t="shared" si="32"/>
        <v>PR81-2</v>
      </c>
      <c r="E1785" s="89" t="s">
        <v>2610</v>
      </c>
      <c r="F1785" s="89"/>
      <c r="G1785" s="5"/>
    </row>
    <row r="1786" spans="2:7" ht="14.25" customHeight="1">
      <c r="B1786" s="2" t="s">
        <v>105</v>
      </c>
      <c r="C1786" s="90"/>
      <c r="D1786" s="89"/>
      <c r="E1786" s="89" t="s">
        <v>2611</v>
      </c>
      <c r="F1786" s="89"/>
      <c r="G1786" s="5"/>
    </row>
    <row r="1787" spans="2:7" ht="14.25" customHeight="1">
      <c r="B1787" s="2" t="s">
        <v>105</v>
      </c>
      <c r="C1787" s="90"/>
      <c r="D1787" s="89"/>
      <c r="E1787" s="89" t="s">
        <v>2612</v>
      </c>
      <c r="F1787" s="89"/>
      <c r="G1787" s="5"/>
    </row>
    <row r="1788" spans="2:7" ht="14.25" customHeight="1">
      <c r="B1788" s="2" t="s">
        <v>105</v>
      </c>
      <c r="C1788" s="90"/>
      <c r="D1788" s="89"/>
      <c r="E1788" s="89" t="s">
        <v>2613</v>
      </c>
      <c r="F1788" s="89"/>
      <c r="G1788" s="5"/>
    </row>
    <row r="1789" spans="2:7" ht="14.25" customHeight="1">
      <c r="B1789" s="2" t="s">
        <v>105</v>
      </c>
      <c r="C1789" s="90"/>
      <c r="D1789" s="89"/>
      <c r="E1789" s="89" t="s">
        <v>2614</v>
      </c>
      <c r="F1789" s="89"/>
      <c r="G1789" s="5"/>
    </row>
  </sheetData>
  <autoFilter ref="B3:G1789" xr:uid="{00000000-0009-0000-0000-00000B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C1:E1000"/>
  <sheetViews>
    <sheetView showGridLines="0" topLeftCell="A31" workbookViewId="0"/>
  </sheetViews>
  <sheetFormatPr defaultColWidth="14.44140625" defaultRowHeight="15" customHeight="1"/>
  <cols>
    <col min="1" max="2" width="8.6640625" customWidth="1"/>
    <col min="3" max="3" width="35.44140625" customWidth="1"/>
    <col min="4" max="4" width="23.6640625" customWidth="1"/>
    <col min="5" max="5" width="31.5546875" customWidth="1"/>
    <col min="6" max="26" width="8.6640625" customWidth="1"/>
  </cols>
  <sheetData>
    <row r="1" spans="3:5" ht="14.25" customHeight="1"/>
    <row r="2" spans="3:5" ht="14.25" customHeight="1">
      <c r="C2" s="91" t="s">
        <v>2615</v>
      </c>
      <c r="D2" s="5"/>
      <c r="E2" s="2" t="s">
        <v>2616</v>
      </c>
    </row>
    <row r="3" spans="3:5" ht="14.25" customHeight="1">
      <c r="C3" s="92">
        <v>20368169</v>
      </c>
      <c r="D3" s="93" t="s">
        <v>2617</v>
      </c>
      <c r="E3" s="5" t="s">
        <v>2618</v>
      </c>
    </row>
    <row r="4" spans="3:5" ht="14.25" customHeight="1">
      <c r="C4" s="92">
        <v>164294</v>
      </c>
      <c r="D4" s="94" t="s">
        <v>2619</v>
      </c>
      <c r="E4" s="5" t="s">
        <v>2620</v>
      </c>
    </row>
    <row r="5" spans="3:5" ht="14.25" customHeight="1">
      <c r="C5" s="91" t="s">
        <v>2621</v>
      </c>
      <c r="D5" s="5"/>
      <c r="E5" s="5"/>
    </row>
    <row r="6" spans="3:5" ht="14.25" customHeight="1">
      <c r="C6" s="92">
        <v>20037715</v>
      </c>
      <c r="D6" s="93" t="s">
        <v>2622</v>
      </c>
      <c r="E6" s="5" t="s">
        <v>2623</v>
      </c>
    </row>
    <row r="7" spans="3:5" ht="14.25" customHeight="1">
      <c r="C7" s="92">
        <v>20146611</v>
      </c>
      <c r="D7" s="93" t="s">
        <v>2624</v>
      </c>
      <c r="E7" s="5" t="s">
        <v>2625</v>
      </c>
    </row>
    <row r="8" spans="3:5" ht="14.25" customHeight="1">
      <c r="C8" s="92">
        <v>20170326</v>
      </c>
      <c r="D8" s="94" t="s">
        <v>2626</v>
      </c>
      <c r="E8" s="5" t="s">
        <v>2627</v>
      </c>
    </row>
    <row r="9" spans="3:5" ht="14.25" customHeight="1">
      <c r="C9" s="92">
        <v>20116188</v>
      </c>
      <c r="D9" s="94" t="s">
        <v>2628</v>
      </c>
      <c r="E9" s="5" t="s">
        <v>2629</v>
      </c>
    </row>
    <row r="10" spans="3:5" ht="14.25" customHeight="1">
      <c r="C10" s="92">
        <v>20099108</v>
      </c>
      <c r="D10" s="94" t="s">
        <v>2630</v>
      </c>
      <c r="E10" s="5" t="s">
        <v>2631</v>
      </c>
    </row>
    <row r="11" spans="3:5" ht="14.25" customHeight="1">
      <c r="C11" s="92">
        <v>20188708</v>
      </c>
      <c r="D11" s="93" t="s">
        <v>2632</v>
      </c>
      <c r="E11" s="5" t="s">
        <v>2633</v>
      </c>
    </row>
    <row r="12" spans="3:5" ht="14.25" customHeight="1">
      <c r="C12" s="92">
        <v>20193077</v>
      </c>
      <c r="D12" s="94" t="s">
        <v>2634</v>
      </c>
      <c r="E12" s="5" t="s">
        <v>2635</v>
      </c>
    </row>
    <row r="13" spans="3:5" ht="14.25" customHeight="1">
      <c r="C13" s="92">
        <v>20187679</v>
      </c>
      <c r="D13" s="93" t="s">
        <v>2636</v>
      </c>
      <c r="E13" s="5" t="s">
        <v>2637</v>
      </c>
    </row>
    <row r="14" spans="3:5" ht="14.25" customHeight="1">
      <c r="C14" s="91" t="s">
        <v>2638</v>
      </c>
      <c r="D14" s="5"/>
      <c r="E14" s="5"/>
    </row>
    <row r="15" spans="3:5" ht="14.25" customHeight="1">
      <c r="C15" s="95" t="s">
        <v>2639</v>
      </c>
      <c r="D15" s="5"/>
      <c r="E15" s="5"/>
    </row>
    <row r="16" spans="3:5" ht="14.25" customHeight="1">
      <c r="C16" s="92">
        <v>20175794</v>
      </c>
      <c r="D16" s="94" t="s">
        <v>2640</v>
      </c>
      <c r="E16" s="5" t="s">
        <v>2641</v>
      </c>
    </row>
    <row r="17" spans="3:5" ht="14.25" customHeight="1">
      <c r="C17" s="92">
        <v>20157137</v>
      </c>
      <c r="D17" s="93" t="s">
        <v>2642</v>
      </c>
      <c r="E17" s="5" t="s">
        <v>2643</v>
      </c>
    </row>
    <row r="18" spans="3:5" ht="14.25" customHeight="1">
      <c r="C18" s="92">
        <v>20383202</v>
      </c>
      <c r="D18" s="94" t="s">
        <v>2644</v>
      </c>
      <c r="E18" s="5" t="s">
        <v>2645</v>
      </c>
    </row>
    <row r="19" spans="3:5" ht="14.25" customHeight="1">
      <c r="C19" s="92">
        <v>20317710</v>
      </c>
      <c r="D19" s="93" t="s">
        <v>2646</v>
      </c>
      <c r="E19" s="5" t="s">
        <v>2647</v>
      </c>
    </row>
    <row r="20" spans="3:5" ht="14.25" customHeight="1">
      <c r="C20" s="92">
        <v>20143909</v>
      </c>
      <c r="D20" s="93" t="s">
        <v>2648</v>
      </c>
      <c r="E20" s="5" t="s">
        <v>2649</v>
      </c>
    </row>
    <row r="21" spans="3:5" ht="14.25" customHeight="1">
      <c r="C21" s="92">
        <v>20315341</v>
      </c>
      <c r="D21" s="93" t="s">
        <v>2650</v>
      </c>
      <c r="E21" s="5" t="s">
        <v>2651</v>
      </c>
    </row>
    <row r="22" spans="3:5" ht="14.25" customHeight="1">
      <c r="C22" s="95" t="s">
        <v>2652</v>
      </c>
      <c r="D22" s="5"/>
      <c r="E22" s="5"/>
    </row>
    <row r="23" spans="3:5" ht="14.25" customHeight="1">
      <c r="C23" s="92">
        <v>20374366</v>
      </c>
      <c r="D23" s="94" t="s">
        <v>2653</v>
      </c>
      <c r="E23" s="5" t="s">
        <v>2654</v>
      </c>
    </row>
    <row r="24" spans="3:5" ht="14.25" customHeight="1">
      <c r="C24" s="92">
        <v>20031045</v>
      </c>
      <c r="D24" s="93" t="s">
        <v>2655</v>
      </c>
      <c r="E24" s="5" t="s">
        <v>2656</v>
      </c>
    </row>
    <row r="25" spans="3:5" ht="14.25" customHeight="1">
      <c r="C25" s="95" t="s">
        <v>2657</v>
      </c>
      <c r="D25" s="5"/>
      <c r="E25" s="5"/>
    </row>
    <row r="26" spans="3:5" ht="14.25" customHeight="1">
      <c r="C26" s="92">
        <v>173982</v>
      </c>
      <c r="D26" s="93" t="s">
        <v>2658</v>
      </c>
      <c r="E26" s="5" t="s">
        <v>2659</v>
      </c>
    </row>
    <row r="27" spans="3:5" ht="14.25" customHeight="1">
      <c r="C27" s="92">
        <v>20038736</v>
      </c>
      <c r="D27" s="94" t="s">
        <v>2660</v>
      </c>
      <c r="E27" s="5" t="s">
        <v>2661</v>
      </c>
    </row>
    <row r="28" spans="3:5" ht="14.25" customHeight="1">
      <c r="C28" s="92">
        <v>20193071</v>
      </c>
      <c r="D28" s="93" t="s">
        <v>2662</v>
      </c>
      <c r="E28" s="5" t="s">
        <v>2663</v>
      </c>
    </row>
    <row r="29" spans="3:5" ht="14.25" customHeight="1">
      <c r="C29" s="92">
        <v>20187365</v>
      </c>
      <c r="D29" s="93" t="s">
        <v>2664</v>
      </c>
      <c r="E29" s="5" t="s">
        <v>2665</v>
      </c>
    </row>
    <row r="30" spans="3:5" ht="14.25" customHeight="1">
      <c r="C30" s="92">
        <v>20359894</v>
      </c>
      <c r="D30" s="93" t="s">
        <v>2666</v>
      </c>
      <c r="E30" s="5" t="s">
        <v>2667</v>
      </c>
    </row>
    <row r="31" spans="3:5" ht="14.25" customHeight="1">
      <c r="C31" s="92">
        <v>10004018</v>
      </c>
      <c r="D31" s="93" t="s">
        <v>2668</v>
      </c>
      <c r="E31" s="5" t="s">
        <v>2669</v>
      </c>
    </row>
    <row r="32" spans="3:5" ht="14.25" customHeight="1">
      <c r="C32" s="92">
        <v>20383242</v>
      </c>
      <c r="D32" s="93" t="s">
        <v>2670</v>
      </c>
      <c r="E32" s="5" t="s">
        <v>2671</v>
      </c>
    </row>
    <row r="33" spans="3:5" ht="14.25" customHeight="1">
      <c r="C33" s="92">
        <v>20192859</v>
      </c>
      <c r="D33" s="93" t="s">
        <v>2672</v>
      </c>
      <c r="E33" s="5" t="s">
        <v>2673</v>
      </c>
    </row>
    <row r="34" spans="3:5" ht="14.25" customHeight="1">
      <c r="C34" s="91" t="s">
        <v>2674</v>
      </c>
      <c r="D34" s="5"/>
      <c r="E34" s="5"/>
    </row>
    <row r="35" spans="3:5" ht="14.25" customHeight="1">
      <c r="C35" s="92">
        <v>20368555</v>
      </c>
      <c r="D35" s="93" t="s">
        <v>2675</v>
      </c>
      <c r="E35" s="5" t="s">
        <v>2676</v>
      </c>
    </row>
    <row r="36" spans="3:5" ht="14.25" customHeight="1">
      <c r="C36" s="92">
        <v>20188245</v>
      </c>
      <c r="D36" s="93" t="s">
        <v>2677</v>
      </c>
      <c r="E36" s="5" t="s">
        <v>2678</v>
      </c>
    </row>
    <row r="37" spans="3:5" ht="14.25" customHeight="1">
      <c r="C37" s="95" t="s">
        <v>2679</v>
      </c>
      <c r="D37" s="5"/>
      <c r="E37" s="5"/>
    </row>
    <row r="38" spans="3:5" ht="14.25" customHeight="1">
      <c r="C38" s="92">
        <v>20061940</v>
      </c>
      <c r="D38" s="93" t="s">
        <v>2680</v>
      </c>
      <c r="E38" s="5" t="s">
        <v>2681</v>
      </c>
    </row>
    <row r="39" spans="3:5" ht="14.25" customHeight="1">
      <c r="C39" s="92">
        <v>20074231</v>
      </c>
      <c r="D39" s="93" t="s">
        <v>2682</v>
      </c>
      <c r="E39" s="5" t="s">
        <v>2683</v>
      </c>
    </row>
    <row r="40" spans="3:5" ht="14.25" customHeight="1">
      <c r="C40" s="92">
        <v>20383243</v>
      </c>
      <c r="D40" s="93" t="s">
        <v>2684</v>
      </c>
      <c r="E40" s="5" t="s">
        <v>2685</v>
      </c>
    </row>
    <row r="41" spans="3:5" ht="14.25" customHeight="1">
      <c r="C41" s="95" t="s">
        <v>2686</v>
      </c>
      <c r="D41" s="5"/>
      <c r="E41" s="5"/>
    </row>
    <row r="42" spans="3:5" ht="14.25" customHeight="1">
      <c r="C42" s="92">
        <v>20327558</v>
      </c>
      <c r="D42" s="93" t="s">
        <v>2687</v>
      </c>
      <c r="E42" s="5" t="s">
        <v>2688</v>
      </c>
    </row>
    <row r="43" spans="3:5" ht="14.25" customHeight="1">
      <c r="C43" s="92">
        <v>20053347</v>
      </c>
      <c r="D43" s="93" t="s">
        <v>2689</v>
      </c>
      <c r="E43" s="5" t="s">
        <v>2690</v>
      </c>
    </row>
    <row r="44" spans="3:5" ht="14.25" customHeight="1">
      <c r="C44" s="95" t="s">
        <v>2691</v>
      </c>
      <c r="D44" s="96"/>
      <c r="E44" s="97"/>
    </row>
    <row r="45" spans="3:5" ht="14.25" customHeight="1">
      <c r="C45" s="95" t="s">
        <v>2692</v>
      </c>
      <c r="D45" s="5"/>
      <c r="E45" s="5"/>
    </row>
    <row r="46" spans="3:5" ht="14.25" customHeight="1">
      <c r="C46" s="92">
        <v>20192241</v>
      </c>
      <c r="D46" s="93" t="s">
        <v>2693</v>
      </c>
      <c r="E46" s="5"/>
    </row>
    <row r="47" spans="3:5" ht="14.25" customHeight="1">
      <c r="C47" s="92">
        <v>20145727</v>
      </c>
      <c r="D47" s="93" t="s">
        <v>2694</v>
      </c>
      <c r="E47" s="5"/>
    </row>
    <row r="48" spans="3:5" ht="14.25" customHeight="1">
      <c r="C48" s="92">
        <v>20174760</v>
      </c>
      <c r="D48" s="93" t="s">
        <v>2695</v>
      </c>
      <c r="E48" s="5" t="s">
        <v>2696</v>
      </c>
    </row>
    <row r="49" spans="3:5" ht="14.25" customHeight="1">
      <c r="C49" s="92">
        <v>20383327</v>
      </c>
      <c r="D49" s="93" t="s">
        <v>2697</v>
      </c>
      <c r="E49" s="5" t="s">
        <v>2698</v>
      </c>
    </row>
    <row r="50" spans="3:5" ht="14.25" customHeight="1">
      <c r="C50" s="98" t="s">
        <v>2699</v>
      </c>
    </row>
    <row r="51" spans="3:5" ht="14.25" customHeight="1">
      <c r="C51" s="99">
        <v>198283</v>
      </c>
      <c r="D51" s="100" t="s">
        <v>2700</v>
      </c>
      <c r="E51" s="8" t="s">
        <v>2701</v>
      </c>
    </row>
    <row r="52" spans="3:5" ht="14.25" customHeight="1">
      <c r="C52" s="99">
        <v>20193435</v>
      </c>
      <c r="D52" s="101" t="s">
        <v>2702</v>
      </c>
      <c r="E52" s="8" t="s">
        <v>2703</v>
      </c>
    </row>
    <row r="53" spans="3:5" ht="14.25" customHeight="1"/>
    <row r="54" spans="3:5" ht="14.25" customHeight="1"/>
    <row r="55" spans="3:5" ht="14.25" customHeight="1"/>
    <row r="56" spans="3:5" ht="14.25" customHeight="1"/>
    <row r="57" spans="3:5" ht="14.25" customHeight="1"/>
    <row r="58" spans="3:5" ht="14.25" customHeight="1"/>
    <row r="59" spans="3:5" ht="14.25" customHeight="1"/>
    <row r="60" spans="3:5" ht="14.25" customHeight="1"/>
    <row r="61" spans="3:5" ht="14.25" customHeight="1"/>
    <row r="62" spans="3:5" ht="14.25" customHeight="1"/>
    <row r="63" spans="3:5" ht="14.25" customHeight="1"/>
    <row r="64" spans="3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DK1000"/>
  <sheetViews>
    <sheetView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J4" sqref="J4"/>
    </sheetView>
  </sheetViews>
  <sheetFormatPr defaultColWidth="14.44140625" defaultRowHeight="15" customHeight="1"/>
  <cols>
    <col min="1" max="1" width="2.6640625" customWidth="1"/>
    <col min="2" max="2" width="5.33203125" customWidth="1"/>
    <col min="3" max="4" width="10.109375" customWidth="1"/>
    <col min="5" max="5" width="8.33203125" customWidth="1"/>
    <col min="6" max="6" width="8.109375" customWidth="1"/>
    <col min="7" max="7" width="5.33203125" customWidth="1"/>
    <col min="8" max="9" width="8.6640625" customWidth="1"/>
    <col min="10" max="10" width="6.6640625" customWidth="1"/>
    <col min="11" max="11" width="7.6640625" customWidth="1"/>
    <col min="12" max="23" width="5.33203125" customWidth="1"/>
    <col min="24" max="24" width="6.33203125" customWidth="1"/>
    <col min="25" max="115" width="5.33203125" customWidth="1"/>
  </cols>
  <sheetData>
    <row r="1" spans="2:115" ht="14.25" customHeight="1">
      <c r="H1" s="102"/>
      <c r="I1" s="102"/>
      <c r="J1" s="103"/>
    </row>
    <row r="2" spans="2:115" ht="14.25" customHeight="1">
      <c r="H2" s="104">
        <v>0</v>
      </c>
      <c r="I2" s="104">
        <v>0</v>
      </c>
      <c r="J2" s="105"/>
    </row>
    <row r="3" spans="2:115" ht="14.25" customHeight="1">
      <c r="B3" s="106" t="s">
        <v>126</v>
      </c>
      <c r="C3" s="106" t="s">
        <v>143</v>
      </c>
      <c r="D3" s="106" t="s">
        <v>705</v>
      </c>
      <c r="E3" s="106" t="s">
        <v>1108</v>
      </c>
      <c r="F3" s="107" t="s">
        <v>2704</v>
      </c>
      <c r="G3" s="107" t="s">
        <v>2705</v>
      </c>
      <c r="H3" s="108" t="s">
        <v>2706</v>
      </c>
      <c r="I3" s="108" t="s">
        <v>2707</v>
      </c>
      <c r="J3" s="102" t="s">
        <v>87</v>
      </c>
      <c r="K3" s="106" t="s">
        <v>2708</v>
      </c>
      <c r="L3" s="106" t="s">
        <v>2709</v>
      </c>
      <c r="M3" s="106" t="s">
        <v>2710</v>
      </c>
      <c r="N3" s="106" t="s">
        <v>2711</v>
      </c>
      <c r="O3" s="106" t="s">
        <v>2712</v>
      </c>
      <c r="P3" s="106" t="s">
        <v>2713</v>
      </c>
      <c r="Q3" s="106" t="s">
        <v>2714</v>
      </c>
      <c r="R3" s="106" t="s">
        <v>2715</v>
      </c>
      <c r="S3" s="106" t="s">
        <v>2716</v>
      </c>
      <c r="T3" s="106" t="s">
        <v>2717</v>
      </c>
      <c r="U3" s="106" t="s">
        <v>2718</v>
      </c>
      <c r="V3" s="106" t="s">
        <v>2719</v>
      </c>
      <c r="W3" s="106" t="s">
        <v>2720</v>
      </c>
      <c r="X3" s="106" t="s">
        <v>2721</v>
      </c>
      <c r="Y3" s="106" t="s">
        <v>2722</v>
      </c>
      <c r="Z3" s="106" t="s">
        <v>2723</v>
      </c>
      <c r="AA3" s="106" t="s">
        <v>2724</v>
      </c>
      <c r="AB3" s="106" t="s">
        <v>2725</v>
      </c>
      <c r="AC3" s="106" t="s">
        <v>2726</v>
      </c>
      <c r="AD3" s="106" t="s">
        <v>2727</v>
      </c>
      <c r="AE3" s="106" t="s">
        <v>2728</v>
      </c>
      <c r="AF3" s="106" t="s">
        <v>2729</v>
      </c>
      <c r="AG3" s="106" t="s">
        <v>2730</v>
      </c>
      <c r="AH3" s="106" t="s">
        <v>2731</v>
      </c>
      <c r="AI3" s="106" t="s">
        <v>2732</v>
      </c>
      <c r="AJ3" s="106" t="s">
        <v>2733</v>
      </c>
      <c r="AK3" s="106" t="s">
        <v>2734</v>
      </c>
      <c r="AL3" s="106" t="s">
        <v>2735</v>
      </c>
      <c r="AM3" s="106" t="s">
        <v>2736</v>
      </c>
      <c r="AN3" s="106" t="s">
        <v>2737</v>
      </c>
      <c r="AO3" s="106" t="s">
        <v>2738</v>
      </c>
      <c r="AP3" s="106" t="s">
        <v>2739</v>
      </c>
      <c r="AQ3" s="106" t="s">
        <v>2740</v>
      </c>
      <c r="AR3" s="106" t="s">
        <v>2741</v>
      </c>
      <c r="AS3" s="106" t="s">
        <v>2742</v>
      </c>
      <c r="AT3" s="106" t="s">
        <v>2743</v>
      </c>
      <c r="AU3" s="106" t="s">
        <v>2744</v>
      </c>
      <c r="AV3" s="106" t="s">
        <v>2745</v>
      </c>
      <c r="AW3" s="106" t="s">
        <v>2746</v>
      </c>
      <c r="AX3" s="106" t="s">
        <v>2747</v>
      </c>
      <c r="AY3" s="106" t="s">
        <v>2748</v>
      </c>
      <c r="AZ3" s="106" t="s">
        <v>2749</v>
      </c>
      <c r="BA3" s="106" t="s">
        <v>2750</v>
      </c>
      <c r="BB3" s="106" t="s">
        <v>2751</v>
      </c>
      <c r="BC3" s="106" t="s">
        <v>2752</v>
      </c>
      <c r="BD3" s="106" t="s">
        <v>2753</v>
      </c>
      <c r="BE3" s="106" t="s">
        <v>2754</v>
      </c>
      <c r="BF3" s="106" t="s">
        <v>2755</v>
      </c>
      <c r="BG3" s="106" t="s">
        <v>2756</v>
      </c>
      <c r="BH3" s="106" t="s">
        <v>2757</v>
      </c>
      <c r="BI3" s="106" t="s">
        <v>2758</v>
      </c>
      <c r="BJ3" s="106" t="s">
        <v>2759</v>
      </c>
      <c r="BK3" s="106" t="s">
        <v>2760</v>
      </c>
      <c r="BL3" s="106" t="s">
        <v>2761</v>
      </c>
      <c r="BM3" s="106" t="s">
        <v>2762</v>
      </c>
      <c r="BN3" s="106" t="s">
        <v>2763</v>
      </c>
      <c r="BO3" s="106" t="s">
        <v>2764</v>
      </c>
      <c r="BP3" s="106" t="s">
        <v>2765</v>
      </c>
      <c r="BQ3" s="106" t="s">
        <v>2766</v>
      </c>
      <c r="BR3" s="106" t="s">
        <v>2767</v>
      </c>
      <c r="BS3" s="106" t="s">
        <v>2768</v>
      </c>
      <c r="BT3" s="106" t="s">
        <v>2769</v>
      </c>
      <c r="BU3" s="106" t="s">
        <v>2770</v>
      </c>
      <c r="BV3" s="106" t="s">
        <v>2771</v>
      </c>
      <c r="BW3" s="106" t="s">
        <v>2772</v>
      </c>
      <c r="BX3" s="106" t="s">
        <v>2773</v>
      </c>
      <c r="BY3" s="106" t="s">
        <v>2774</v>
      </c>
      <c r="BZ3" s="106" t="s">
        <v>2775</v>
      </c>
      <c r="CA3" s="106" t="s">
        <v>2776</v>
      </c>
      <c r="CB3" s="106" t="s">
        <v>2777</v>
      </c>
      <c r="CC3" s="106" t="s">
        <v>2778</v>
      </c>
      <c r="CD3" s="106" t="s">
        <v>2779</v>
      </c>
      <c r="CE3" s="106" t="s">
        <v>2780</v>
      </c>
      <c r="CF3" s="106" t="s">
        <v>2781</v>
      </c>
      <c r="CG3" s="106" t="s">
        <v>2782</v>
      </c>
      <c r="CH3" s="106" t="s">
        <v>2783</v>
      </c>
      <c r="CI3" s="106" t="s">
        <v>2784</v>
      </c>
      <c r="CJ3" s="106" t="s">
        <v>2785</v>
      </c>
      <c r="CK3" s="106" t="s">
        <v>2786</v>
      </c>
      <c r="CL3" s="106" t="s">
        <v>2787</v>
      </c>
      <c r="CM3" s="106" t="s">
        <v>2788</v>
      </c>
      <c r="CN3" s="106" t="s">
        <v>2789</v>
      </c>
      <c r="CO3" s="106" t="s">
        <v>2790</v>
      </c>
      <c r="CP3" s="106" t="s">
        <v>2791</v>
      </c>
      <c r="CQ3" s="106" t="s">
        <v>2792</v>
      </c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</row>
    <row r="4" spans="2:115" ht="14.25" customHeight="1">
      <c r="B4" s="106" t="s">
        <v>708</v>
      </c>
      <c r="D4" s="109">
        <v>11000</v>
      </c>
      <c r="E4" s="106"/>
      <c r="G4" s="106" t="s">
        <v>2793</v>
      </c>
      <c r="H4" s="102">
        <v>0</v>
      </c>
      <c r="I4" s="102">
        <v>0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S4" s="103"/>
    </row>
    <row r="5" spans="2:115" ht="14.25" customHeight="1">
      <c r="B5" s="106" t="s">
        <v>709</v>
      </c>
      <c r="C5" s="106" t="s">
        <v>2794</v>
      </c>
      <c r="D5" s="109">
        <v>11026.773999999999</v>
      </c>
      <c r="E5" s="106" t="s">
        <v>1753</v>
      </c>
      <c r="F5" s="110">
        <v>26.773999999999432</v>
      </c>
      <c r="G5" s="106" t="s">
        <v>2795</v>
      </c>
      <c r="H5" s="102">
        <v>0</v>
      </c>
      <c r="I5" s="102">
        <v>0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</row>
    <row r="6" spans="2:115" ht="14.25" customHeight="1">
      <c r="B6" s="106" t="s">
        <v>711</v>
      </c>
      <c r="C6" s="106" t="s">
        <v>2796</v>
      </c>
      <c r="D6" s="109">
        <v>11053.549000000001</v>
      </c>
      <c r="E6" s="106" t="s">
        <v>1753</v>
      </c>
      <c r="F6" s="110">
        <v>26.775000000001455</v>
      </c>
      <c r="G6" s="106" t="s">
        <v>2793</v>
      </c>
      <c r="H6" s="102">
        <v>0</v>
      </c>
      <c r="I6" s="102">
        <v>0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</row>
    <row r="7" spans="2:115" ht="14.25" customHeight="1">
      <c r="B7" s="106" t="s">
        <v>712</v>
      </c>
      <c r="C7" s="106" t="s">
        <v>2797</v>
      </c>
      <c r="D7" s="109">
        <v>11094.175999999999</v>
      </c>
      <c r="E7" s="106" t="s">
        <v>1764</v>
      </c>
      <c r="F7" s="110">
        <v>40.626999999998588</v>
      </c>
      <c r="G7" s="106" t="s">
        <v>2795</v>
      </c>
      <c r="H7" s="102">
        <v>0</v>
      </c>
      <c r="I7" s="102">
        <v>0</v>
      </c>
      <c r="J7" s="111" t="s">
        <v>87</v>
      </c>
      <c r="K7" s="111" t="s">
        <v>2708</v>
      </c>
      <c r="L7" s="111" t="s">
        <v>2709</v>
      </c>
      <c r="M7" s="111" t="s">
        <v>2710</v>
      </c>
      <c r="N7" s="111" t="s">
        <v>2711</v>
      </c>
      <c r="O7" s="111" t="s">
        <v>2712</v>
      </c>
      <c r="P7" s="111" t="s">
        <v>2713</v>
      </c>
      <c r="Q7" s="111" t="s">
        <v>2714</v>
      </c>
      <c r="R7" s="111" t="s">
        <v>2715</v>
      </c>
      <c r="S7" s="111" t="s">
        <v>2716</v>
      </c>
      <c r="T7" s="111" t="s">
        <v>2717</v>
      </c>
      <c r="U7" s="111" t="s">
        <v>2718</v>
      </c>
      <c r="V7" s="111" t="s">
        <v>2719</v>
      </c>
      <c r="W7" s="111" t="s">
        <v>2720</v>
      </c>
      <c r="X7" s="111" t="s">
        <v>2798</v>
      </c>
      <c r="Y7" s="111" t="s">
        <v>2798</v>
      </c>
      <c r="Z7" s="111" t="s">
        <v>2798</v>
      </c>
      <c r="AA7" s="111" t="s">
        <v>2798</v>
      </c>
      <c r="AB7" s="111" t="s">
        <v>2798</v>
      </c>
      <c r="AC7" s="111" t="s">
        <v>2798</v>
      </c>
      <c r="AD7" s="111" t="s">
        <v>2798</v>
      </c>
      <c r="AE7" s="111" t="s">
        <v>2798</v>
      </c>
      <c r="AF7" s="111" t="s">
        <v>2798</v>
      </c>
      <c r="AG7" s="111" t="s">
        <v>2798</v>
      </c>
      <c r="AH7" s="111" t="s">
        <v>2798</v>
      </c>
      <c r="AI7" s="111" t="s">
        <v>2798</v>
      </c>
      <c r="AJ7" s="111" t="s">
        <v>2798</v>
      </c>
      <c r="AK7" s="111" t="s">
        <v>2798</v>
      </c>
      <c r="AL7" s="111" t="s">
        <v>2798</v>
      </c>
      <c r="AM7" s="111" t="s">
        <v>2798</v>
      </c>
      <c r="AN7" s="111" t="s">
        <v>2798</v>
      </c>
      <c r="AO7" s="111" t="s">
        <v>2798</v>
      </c>
      <c r="AP7" s="111" t="s">
        <v>2798</v>
      </c>
      <c r="AQ7" s="111" t="s">
        <v>2798</v>
      </c>
      <c r="AR7" s="111" t="s">
        <v>2798</v>
      </c>
      <c r="AS7" s="111" t="s">
        <v>2798</v>
      </c>
      <c r="AT7" s="111" t="s">
        <v>2798</v>
      </c>
      <c r="AU7" s="111" t="s">
        <v>2798</v>
      </c>
      <c r="AV7" s="111" t="s">
        <v>2798</v>
      </c>
      <c r="AW7" s="111" t="s">
        <v>2798</v>
      </c>
      <c r="AX7" s="111" t="s">
        <v>2798</v>
      </c>
      <c r="AY7" s="111" t="s">
        <v>2798</v>
      </c>
      <c r="AZ7" s="111" t="s">
        <v>2798</v>
      </c>
      <c r="BA7" s="111" t="s">
        <v>2798</v>
      </c>
      <c r="BB7" s="111" t="s">
        <v>2798</v>
      </c>
      <c r="BC7" s="111" t="s">
        <v>2798</v>
      </c>
      <c r="BD7" s="111" t="s">
        <v>2798</v>
      </c>
      <c r="BE7" s="111" t="s">
        <v>2798</v>
      </c>
      <c r="BF7" s="111" t="s">
        <v>2798</v>
      </c>
      <c r="BG7" s="111" t="s">
        <v>2798</v>
      </c>
      <c r="BH7" s="111" t="s">
        <v>2798</v>
      </c>
      <c r="BI7" s="111" t="s">
        <v>2798</v>
      </c>
      <c r="BJ7" s="111" t="s">
        <v>2798</v>
      </c>
      <c r="BK7" s="111" t="s">
        <v>2798</v>
      </c>
      <c r="BL7" s="111" t="s">
        <v>2798</v>
      </c>
      <c r="BM7" s="111" t="s">
        <v>2798</v>
      </c>
      <c r="BN7" s="111" t="s">
        <v>2798</v>
      </c>
      <c r="BO7" s="111" t="s">
        <v>2798</v>
      </c>
      <c r="BP7" s="111" t="s">
        <v>2798</v>
      </c>
      <c r="BQ7" s="111" t="s">
        <v>2798</v>
      </c>
      <c r="BR7" s="111" t="s">
        <v>2798</v>
      </c>
      <c r="BS7" s="111" t="s">
        <v>2798</v>
      </c>
      <c r="BT7" s="111" t="s">
        <v>2798</v>
      </c>
      <c r="BU7" s="111" t="s">
        <v>2798</v>
      </c>
      <c r="BV7" s="111" t="s">
        <v>2798</v>
      </c>
      <c r="BW7" s="111" t="s">
        <v>2798</v>
      </c>
      <c r="BX7" s="111" t="s">
        <v>2798</v>
      </c>
      <c r="BY7" s="111" t="s">
        <v>2798</v>
      </c>
      <c r="BZ7" s="111" t="s">
        <v>2798</v>
      </c>
      <c r="CA7" s="111" t="s">
        <v>2798</v>
      </c>
      <c r="CB7" s="111" t="s">
        <v>2798</v>
      </c>
      <c r="CC7" s="111" t="s">
        <v>2798</v>
      </c>
      <c r="CD7" s="111" t="s">
        <v>2798</v>
      </c>
      <c r="CE7" s="111" t="s">
        <v>2798</v>
      </c>
      <c r="CF7" s="111" t="s">
        <v>2798</v>
      </c>
      <c r="CG7" s="111" t="s">
        <v>2798</v>
      </c>
      <c r="CH7" s="111" t="s">
        <v>2798</v>
      </c>
      <c r="CI7" s="111" t="s">
        <v>2798</v>
      </c>
      <c r="CJ7" s="111" t="s">
        <v>2798</v>
      </c>
      <c r="CK7" s="111" t="s">
        <v>2798</v>
      </c>
      <c r="CL7" s="111" t="s">
        <v>2798</v>
      </c>
      <c r="CM7" s="111" t="s">
        <v>2798</v>
      </c>
      <c r="CN7" s="111" t="s">
        <v>2798</v>
      </c>
      <c r="CO7" s="111" t="s">
        <v>2798</v>
      </c>
      <c r="CP7" s="111" t="s">
        <v>2798</v>
      </c>
      <c r="CQ7" s="111" t="s">
        <v>2798</v>
      </c>
    </row>
    <row r="8" spans="2:115" ht="14.25" customHeight="1">
      <c r="B8" s="106" t="s">
        <v>713</v>
      </c>
      <c r="C8" s="106" t="s">
        <v>2799</v>
      </c>
      <c r="D8" s="109">
        <v>11134.803</v>
      </c>
      <c r="E8" s="106" t="s">
        <v>1764</v>
      </c>
      <c r="F8" s="110">
        <v>40.627000000000407</v>
      </c>
      <c r="G8" s="106" t="s">
        <v>2795</v>
      </c>
      <c r="H8" s="102">
        <v>0</v>
      </c>
      <c r="I8" s="102">
        <v>0</v>
      </c>
      <c r="J8" s="111" t="s">
        <v>2798</v>
      </c>
      <c r="K8" s="111" t="s">
        <v>2798</v>
      </c>
      <c r="L8" s="111" t="s">
        <v>2798</v>
      </c>
      <c r="M8" s="111" t="s">
        <v>2798</v>
      </c>
      <c r="N8" s="111" t="s">
        <v>2798</v>
      </c>
      <c r="O8" s="111" t="s">
        <v>2798</v>
      </c>
      <c r="P8" s="111" t="s">
        <v>2798</v>
      </c>
      <c r="Q8" s="111" t="s">
        <v>2798</v>
      </c>
      <c r="R8" s="111" t="s">
        <v>2798</v>
      </c>
      <c r="S8" s="111" t="s">
        <v>2798</v>
      </c>
      <c r="T8" s="111" t="s">
        <v>2798</v>
      </c>
      <c r="U8" s="111" t="s">
        <v>2798</v>
      </c>
      <c r="V8" s="111" t="s">
        <v>2798</v>
      </c>
      <c r="W8" s="111" t="s">
        <v>2798</v>
      </c>
      <c r="X8" s="111" t="s">
        <v>2721</v>
      </c>
      <c r="Y8" s="111" t="s">
        <v>2722</v>
      </c>
      <c r="Z8" s="111" t="s">
        <v>2723</v>
      </c>
      <c r="AA8" s="111" t="s">
        <v>2724</v>
      </c>
      <c r="AB8" s="111" t="s">
        <v>2725</v>
      </c>
      <c r="AC8" s="111" t="s">
        <v>2726</v>
      </c>
      <c r="AD8" s="111" t="s">
        <v>2727</v>
      </c>
      <c r="AE8" s="111" t="s">
        <v>2798</v>
      </c>
      <c r="AF8" s="111" t="s">
        <v>2798</v>
      </c>
      <c r="AG8" s="111" t="s">
        <v>2798</v>
      </c>
      <c r="AH8" s="111" t="s">
        <v>2798</v>
      </c>
      <c r="AI8" s="111" t="s">
        <v>2798</v>
      </c>
      <c r="AJ8" s="111" t="s">
        <v>2798</v>
      </c>
      <c r="AK8" s="111" t="s">
        <v>2798</v>
      </c>
      <c r="AL8" s="111" t="s">
        <v>2798</v>
      </c>
      <c r="AM8" s="111" t="s">
        <v>2798</v>
      </c>
      <c r="AN8" s="111" t="s">
        <v>2798</v>
      </c>
      <c r="AO8" s="111" t="s">
        <v>2798</v>
      </c>
      <c r="AP8" s="111" t="s">
        <v>2798</v>
      </c>
      <c r="AQ8" s="111" t="s">
        <v>2798</v>
      </c>
      <c r="AR8" s="111" t="s">
        <v>2798</v>
      </c>
      <c r="AS8" s="111" t="s">
        <v>2798</v>
      </c>
      <c r="AT8" s="111" t="s">
        <v>2798</v>
      </c>
      <c r="AU8" s="111" t="s">
        <v>2798</v>
      </c>
      <c r="AV8" s="111" t="s">
        <v>2798</v>
      </c>
      <c r="AW8" s="111" t="s">
        <v>2798</v>
      </c>
      <c r="AX8" s="111" t="s">
        <v>2798</v>
      </c>
      <c r="AY8" s="111" t="s">
        <v>2798</v>
      </c>
      <c r="AZ8" s="111" t="s">
        <v>2798</v>
      </c>
      <c r="BA8" s="111" t="s">
        <v>2798</v>
      </c>
      <c r="BB8" s="111" t="s">
        <v>2798</v>
      </c>
      <c r="BC8" s="111" t="s">
        <v>2798</v>
      </c>
      <c r="BD8" s="111" t="s">
        <v>2798</v>
      </c>
      <c r="BE8" s="111" t="s">
        <v>2798</v>
      </c>
      <c r="BF8" s="111" t="s">
        <v>2798</v>
      </c>
      <c r="BG8" s="111" t="s">
        <v>2798</v>
      </c>
      <c r="BH8" s="111" t="s">
        <v>2798</v>
      </c>
      <c r="BI8" s="111" t="s">
        <v>2798</v>
      </c>
      <c r="BJ8" s="111" t="s">
        <v>2798</v>
      </c>
      <c r="BK8" s="111" t="s">
        <v>2798</v>
      </c>
      <c r="BL8" s="111" t="s">
        <v>2798</v>
      </c>
      <c r="BM8" s="111" t="s">
        <v>2798</v>
      </c>
      <c r="BN8" s="111" t="s">
        <v>2798</v>
      </c>
      <c r="BO8" s="111" t="s">
        <v>2798</v>
      </c>
      <c r="BP8" s="111" t="s">
        <v>2798</v>
      </c>
      <c r="BQ8" s="111" t="s">
        <v>2798</v>
      </c>
      <c r="BR8" s="111" t="s">
        <v>2798</v>
      </c>
      <c r="BS8" s="111" t="s">
        <v>2798</v>
      </c>
      <c r="BT8" s="111" t="s">
        <v>2798</v>
      </c>
      <c r="BU8" s="111" t="s">
        <v>2798</v>
      </c>
      <c r="BV8" s="111" t="s">
        <v>2771</v>
      </c>
      <c r="BW8" s="111" t="s">
        <v>2772</v>
      </c>
      <c r="BX8" s="111" t="s">
        <v>2773</v>
      </c>
      <c r="BY8" s="111" t="s">
        <v>2774</v>
      </c>
      <c r="BZ8" s="111" t="s">
        <v>2775</v>
      </c>
      <c r="CA8" s="111" t="s">
        <v>2776</v>
      </c>
      <c r="CB8" s="111" t="s">
        <v>2777</v>
      </c>
      <c r="CC8" s="111" t="s">
        <v>2798</v>
      </c>
      <c r="CD8" s="111" t="s">
        <v>2798</v>
      </c>
      <c r="CE8" s="111" t="s">
        <v>2798</v>
      </c>
      <c r="CF8" s="111" t="s">
        <v>2798</v>
      </c>
      <c r="CG8" s="111" t="s">
        <v>2798</v>
      </c>
      <c r="CH8" s="111" t="s">
        <v>2798</v>
      </c>
      <c r="CI8" s="111" t="s">
        <v>2798</v>
      </c>
      <c r="CJ8" s="111" t="s">
        <v>2798</v>
      </c>
      <c r="CK8" s="111" t="s">
        <v>2798</v>
      </c>
      <c r="CL8" s="111" t="s">
        <v>2798</v>
      </c>
      <c r="CM8" s="111" t="s">
        <v>2798</v>
      </c>
      <c r="CN8" s="111" t="s">
        <v>2798</v>
      </c>
      <c r="CO8" s="111" t="s">
        <v>2798</v>
      </c>
      <c r="CP8" s="111" t="s">
        <v>2798</v>
      </c>
      <c r="CQ8" s="111" t="s">
        <v>2798</v>
      </c>
    </row>
    <row r="9" spans="2:115" ht="14.25" customHeight="1">
      <c r="B9" s="106" t="s">
        <v>714</v>
      </c>
      <c r="C9" s="106" t="s">
        <v>2800</v>
      </c>
      <c r="D9" s="109">
        <v>11175.431</v>
      </c>
      <c r="E9" s="106" t="s">
        <v>1764</v>
      </c>
      <c r="F9" s="110">
        <v>40.628000000000611</v>
      </c>
      <c r="G9" s="106" t="s">
        <v>2793</v>
      </c>
      <c r="H9" s="102">
        <v>0</v>
      </c>
      <c r="I9" s="102">
        <v>0</v>
      </c>
      <c r="J9" s="111" t="s">
        <v>2798</v>
      </c>
      <c r="K9" s="111" t="s">
        <v>2798</v>
      </c>
      <c r="L9" s="111" t="s">
        <v>2798</v>
      </c>
      <c r="M9" s="111" t="s">
        <v>2798</v>
      </c>
      <c r="N9" s="111" t="s">
        <v>2798</v>
      </c>
      <c r="O9" s="111" t="s">
        <v>2798</v>
      </c>
      <c r="P9" s="111" t="s">
        <v>2798</v>
      </c>
      <c r="Q9" s="111" t="s">
        <v>2798</v>
      </c>
      <c r="R9" s="111" t="s">
        <v>2798</v>
      </c>
      <c r="S9" s="111" t="s">
        <v>2798</v>
      </c>
      <c r="T9" s="111" t="s">
        <v>2798</v>
      </c>
      <c r="U9" s="111" t="s">
        <v>2798</v>
      </c>
      <c r="V9" s="111" t="s">
        <v>2798</v>
      </c>
      <c r="W9" s="111" t="s">
        <v>2798</v>
      </c>
      <c r="X9" s="111" t="s">
        <v>2798</v>
      </c>
      <c r="Y9" s="111" t="s">
        <v>2798</v>
      </c>
      <c r="Z9" s="111" t="s">
        <v>2798</v>
      </c>
      <c r="AA9" s="111" t="s">
        <v>2798</v>
      </c>
      <c r="AB9" s="111" t="s">
        <v>2798</v>
      </c>
      <c r="AC9" s="111" t="s">
        <v>2798</v>
      </c>
      <c r="AD9" s="111" t="s">
        <v>2798</v>
      </c>
      <c r="AE9" s="111" t="s">
        <v>2798</v>
      </c>
      <c r="AF9" s="111" t="s">
        <v>2798</v>
      </c>
      <c r="AG9" s="111" t="s">
        <v>2798</v>
      </c>
      <c r="AH9" s="111" t="s">
        <v>2798</v>
      </c>
      <c r="AI9" s="111" t="s">
        <v>2798</v>
      </c>
      <c r="AJ9" s="111" t="s">
        <v>2798</v>
      </c>
      <c r="AK9" s="111" t="s">
        <v>2798</v>
      </c>
      <c r="AL9" s="111" t="s">
        <v>2798</v>
      </c>
      <c r="AM9" s="111" t="s">
        <v>2798</v>
      </c>
      <c r="AN9" s="111" t="s">
        <v>2798</v>
      </c>
      <c r="AO9" s="111" t="s">
        <v>2798</v>
      </c>
      <c r="AP9" s="111" t="s">
        <v>2798</v>
      </c>
      <c r="AQ9" s="111" t="s">
        <v>2798</v>
      </c>
      <c r="AR9" s="111" t="s">
        <v>2798</v>
      </c>
      <c r="AS9" s="111" t="s">
        <v>2798</v>
      </c>
      <c r="AT9" s="111" t="s">
        <v>2798</v>
      </c>
      <c r="AU9" s="111" t="s">
        <v>2798</v>
      </c>
      <c r="AV9" s="111" t="s">
        <v>2798</v>
      </c>
      <c r="AW9" s="111" t="s">
        <v>2798</v>
      </c>
      <c r="AX9" s="111" t="s">
        <v>2798</v>
      </c>
      <c r="AY9" s="111" t="s">
        <v>2798</v>
      </c>
      <c r="AZ9" s="111" t="s">
        <v>2798</v>
      </c>
      <c r="BA9" s="111" t="s">
        <v>2798</v>
      </c>
      <c r="BB9" s="111" t="s">
        <v>2798</v>
      </c>
      <c r="BC9" s="111" t="s">
        <v>2798</v>
      </c>
      <c r="BD9" s="111" t="s">
        <v>2798</v>
      </c>
      <c r="BE9" s="111" t="s">
        <v>2798</v>
      </c>
      <c r="BF9" s="111" t="s">
        <v>2798</v>
      </c>
      <c r="BG9" s="111" t="s">
        <v>2798</v>
      </c>
      <c r="BH9" s="111" t="s">
        <v>2798</v>
      </c>
      <c r="BI9" s="111" t="s">
        <v>2798</v>
      </c>
      <c r="BJ9" s="111" t="s">
        <v>2798</v>
      </c>
      <c r="BK9" s="111" t="s">
        <v>2798</v>
      </c>
      <c r="BL9" s="111" t="s">
        <v>2798</v>
      </c>
      <c r="BM9" s="111" t="s">
        <v>2798</v>
      </c>
      <c r="BN9" s="111" t="s">
        <v>2798</v>
      </c>
      <c r="BO9" s="111" t="s">
        <v>2798</v>
      </c>
      <c r="BP9" s="111" t="s">
        <v>2798</v>
      </c>
      <c r="BQ9" s="111" t="s">
        <v>2798</v>
      </c>
      <c r="BR9" s="111" t="s">
        <v>2798</v>
      </c>
      <c r="BS9" s="111" t="s">
        <v>2798</v>
      </c>
      <c r="BT9" s="111" t="s">
        <v>2798</v>
      </c>
      <c r="BU9" s="111" t="s">
        <v>2798</v>
      </c>
      <c r="BV9" s="111" t="s">
        <v>2798</v>
      </c>
      <c r="BW9" s="111" t="s">
        <v>2798</v>
      </c>
      <c r="BX9" s="111" t="s">
        <v>2798</v>
      </c>
      <c r="BY9" s="111" t="s">
        <v>2798</v>
      </c>
      <c r="BZ9" s="111" t="s">
        <v>2798</v>
      </c>
      <c r="CA9" s="111" t="s">
        <v>2798</v>
      </c>
      <c r="CB9" s="111" t="s">
        <v>2798</v>
      </c>
      <c r="CC9" s="111" t="s">
        <v>2778</v>
      </c>
      <c r="CD9" s="111" t="s">
        <v>2779</v>
      </c>
      <c r="CE9" s="111" t="s">
        <v>2780</v>
      </c>
      <c r="CF9" s="111" t="s">
        <v>2781</v>
      </c>
      <c r="CG9" s="111" t="s">
        <v>2782</v>
      </c>
      <c r="CH9" s="111" t="s">
        <v>2783</v>
      </c>
      <c r="CI9" s="111" t="s">
        <v>2798</v>
      </c>
      <c r="CJ9" s="111" t="s">
        <v>2785</v>
      </c>
      <c r="CK9" s="111" t="s">
        <v>2786</v>
      </c>
      <c r="CL9" s="111" t="s">
        <v>2787</v>
      </c>
      <c r="CM9" s="111" t="s">
        <v>2788</v>
      </c>
      <c r="CN9" s="111" t="s">
        <v>2789</v>
      </c>
      <c r="CO9" s="111" t="s">
        <v>2790</v>
      </c>
      <c r="CP9" s="111" t="s">
        <v>2791</v>
      </c>
      <c r="CQ9" s="111" t="s">
        <v>2792</v>
      </c>
    </row>
    <row r="10" spans="2:115" ht="14.25" customHeight="1">
      <c r="B10" s="106" t="s">
        <v>715</v>
      </c>
      <c r="C10" s="106" t="s">
        <v>2801</v>
      </c>
      <c r="D10" s="109">
        <v>11216.058000000001</v>
      </c>
      <c r="E10" s="106" t="s">
        <v>1789</v>
      </c>
      <c r="F10" s="110">
        <v>40.627000000000407</v>
      </c>
      <c r="G10" s="106" t="s">
        <v>2795</v>
      </c>
      <c r="H10" s="102">
        <v>0</v>
      </c>
      <c r="I10" s="102">
        <v>0</v>
      </c>
      <c r="J10" s="111" t="s">
        <v>87</v>
      </c>
      <c r="K10" s="111" t="s">
        <v>2708</v>
      </c>
      <c r="L10" s="111" t="s">
        <v>2709</v>
      </c>
      <c r="M10" s="111" t="s">
        <v>2710</v>
      </c>
      <c r="N10" s="111" t="s">
        <v>2711</v>
      </c>
      <c r="O10" s="111" t="s">
        <v>2712</v>
      </c>
      <c r="P10" s="111" t="s">
        <v>2713</v>
      </c>
      <c r="Q10" s="111" t="s">
        <v>2714</v>
      </c>
      <c r="R10" s="111" t="s">
        <v>2715</v>
      </c>
      <c r="S10" s="111" t="s">
        <v>2716</v>
      </c>
      <c r="T10" s="111" t="s">
        <v>2717</v>
      </c>
      <c r="U10" s="111" t="s">
        <v>2718</v>
      </c>
      <c r="V10" s="111" t="s">
        <v>2719</v>
      </c>
      <c r="W10" s="111" t="s">
        <v>2720</v>
      </c>
      <c r="X10" s="111" t="s">
        <v>2798</v>
      </c>
      <c r="Y10" s="111" t="s">
        <v>2798</v>
      </c>
      <c r="Z10" s="111" t="s">
        <v>2798</v>
      </c>
      <c r="AA10" s="111" t="s">
        <v>2798</v>
      </c>
      <c r="AB10" s="111" t="s">
        <v>2798</v>
      </c>
      <c r="AC10" s="111" t="s">
        <v>2798</v>
      </c>
      <c r="AD10" s="111" t="s">
        <v>2798</v>
      </c>
      <c r="AE10" s="111" t="s">
        <v>2798</v>
      </c>
      <c r="AF10" s="111" t="s">
        <v>2798</v>
      </c>
      <c r="AG10" s="111" t="s">
        <v>2798</v>
      </c>
      <c r="AH10" s="111" t="s">
        <v>2798</v>
      </c>
      <c r="AI10" s="111" t="s">
        <v>2798</v>
      </c>
      <c r="AJ10" s="111" t="s">
        <v>2798</v>
      </c>
      <c r="AK10" s="111" t="s">
        <v>2798</v>
      </c>
      <c r="AL10" s="111" t="s">
        <v>2798</v>
      </c>
      <c r="AM10" s="111" t="s">
        <v>2798</v>
      </c>
      <c r="AN10" s="111" t="s">
        <v>2798</v>
      </c>
      <c r="AO10" s="111" t="s">
        <v>2798</v>
      </c>
      <c r="AP10" s="111" t="s">
        <v>2798</v>
      </c>
      <c r="AQ10" s="111" t="s">
        <v>2798</v>
      </c>
      <c r="AR10" s="111" t="s">
        <v>2798</v>
      </c>
      <c r="AS10" s="111" t="s">
        <v>2798</v>
      </c>
      <c r="AT10" s="111" t="s">
        <v>2798</v>
      </c>
      <c r="AU10" s="111" t="s">
        <v>2798</v>
      </c>
      <c r="AV10" s="111" t="s">
        <v>2798</v>
      </c>
      <c r="AW10" s="111" t="s">
        <v>2798</v>
      </c>
      <c r="AX10" s="111" t="s">
        <v>2798</v>
      </c>
      <c r="AY10" s="111" t="s">
        <v>2798</v>
      </c>
      <c r="AZ10" s="111" t="s">
        <v>2798</v>
      </c>
      <c r="BA10" s="111" t="s">
        <v>2798</v>
      </c>
      <c r="BB10" s="111" t="s">
        <v>2798</v>
      </c>
      <c r="BC10" s="111" t="s">
        <v>2798</v>
      </c>
      <c r="BD10" s="111" t="s">
        <v>2798</v>
      </c>
      <c r="BE10" s="111" t="s">
        <v>2798</v>
      </c>
      <c r="BF10" s="111" t="s">
        <v>2798</v>
      </c>
      <c r="BG10" s="111" t="s">
        <v>2798</v>
      </c>
      <c r="BH10" s="111" t="s">
        <v>2798</v>
      </c>
      <c r="BI10" s="111" t="s">
        <v>2798</v>
      </c>
      <c r="BJ10" s="111" t="s">
        <v>2798</v>
      </c>
      <c r="BK10" s="111" t="s">
        <v>2798</v>
      </c>
      <c r="BL10" s="111" t="s">
        <v>2798</v>
      </c>
      <c r="BM10" s="111" t="s">
        <v>2798</v>
      </c>
      <c r="BN10" s="111" t="s">
        <v>2798</v>
      </c>
      <c r="BO10" s="111" t="s">
        <v>2798</v>
      </c>
      <c r="BP10" s="111" t="s">
        <v>2798</v>
      </c>
      <c r="BQ10" s="111" t="s">
        <v>2798</v>
      </c>
      <c r="BR10" s="111" t="s">
        <v>2798</v>
      </c>
      <c r="BS10" s="111" t="s">
        <v>2798</v>
      </c>
      <c r="BT10" s="111" t="s">
        <v>2798</v>
      </c>
      <c r="BU10" s="111" t="s">
        <v>2798</v>
      </c>
      <c r="BV10" s="111" t="s">
        <v>2798</v>
      </c>
      <c r="BW10" s="111" t="s">
        <v>2798</v>
      </c>
      <c r="BX10" s="111" t="s">
        <v>2798</v>
      </c>
      <c r="BY10" s="111" t="s">
        <v>2798</v>
      </c>
      <c r="BZ10" s="111" t="s">
        <v>2798</v>
      </c>
      <c r="CA10" s="111" t="s">
        <v>2798</v>
      </c>
      <c r="CB10" s="111" t="s">
        <v>2798</v>
      </c>
      <c r="CC10" s="111" t="s">
        <v>2798</v>
      </c>
      <c r="CD10" s="111" t="s">
        <v>2798</v>
      </c>
      <c r="CE10" s="111" t="s">
        <v>2798</v>
      </c>
      <c r="CF10" s="111" t="s">
        <v>2798</v>
      </c>
      <c r="CG10" s="111" t="s">
        <v>2798</v>
      </c>
      <c r="CH10" s="111" t="s">
        <v>2798</v>
      </c>
      <c r="CI10" s="111" t="s">
        <v>2798</v>
      </c>
      <c r="CJ10" s="111" t="s">
        <v>2798</v>
      </c>
      <c r="CK10" s="111" t="s">
        <v>2798</v>
      </c>
      <c r="CL10" s="111" t="s">
        <v>2798</v>
      </c>
      <c r="CM10" s="111" t="s">
        <v>2798</v>
      </c>
      <c r="CN10" s="111" t="s">
        <v>2798</v>
      </c>
      <c r="CO10" s="111" t="s">
        <v>2798</v>
      </c>
      <c r="CP10" s="111" t="s">
        <v>2798</v>
      </c>
      <c r="CQ10" s="111" t="s">
        <v>2798</v>
      </c>
    </row>
    <row r="11" spans="2:115" ht="14.25" customHeight="1">
      <c r="B11" s="106" t="s">
        <v>716</v>
      </c>
      <c r="C11" s="106" t="s">
        <v>2802</v>
      </c>
      <c r="D11" s="109">
        <v>11256.686</v>
      </c>
      <c r="E11" s="106" t="s">
        <v>1789</v>
      </c>
      <c r="F11" s="110">
        <v>40.627999999998792</v>
      </c>
      <c r="G11" s="106" t="s">
        <v>2793</v>
      </c>
      <c r="H11" s="102">
        <v>0</v>
      </c>
      <c r="I11" s="102">
        <v>0</v>
      </c>
      <c r="J11" s="111" t="s">
        <v>2798</v>
      </c>
      <c r="K11" s="111" t="s">
        <v>2798</v>
      </c>
      <c r="L11" s="111" t="s">
        <v>2798</v>
      </c>
      <c r="M11" s="111" t="s">
        <v>2798</v>
      </c>
      <c r="N11" s="111" t="s">
        <v>2798</v>
      </c>
      <c r="O11" s="111" t="s">
        <v>2798</v>
      </c>
      <c r="P11" s="111" t="s">
        <v>2798</v>
      </c>
      <c r="Q11" s="111" t="s">
        <v>2798</v>
      </c>
      <c r="R11" s="111" t="s">
        <v>2798</v>
      </c>
      <c r="S11" s="111" t="s">
        <v>2798</v>
      </c>
      <c r="T11" s="111" t="s">
        <v>2798</v>
      </c>
      <c r="U11" s="111" t="s">
        <v>2798</v>
      </c>
      <c r="V11" s="111" t="s">
        <v>2798</v>
      </c>
      <c r="W11" s="111" t="s">
        <v>2798</v>
      </c>
      <c r="X11" s="111" t="s">
        <v>2798</v>
      </c>
      <c r="Y11" s="111" t="s">
        <v>2798</v>
      </c>
      <c r="Z11" s="111" t="s">
        <v>2798</v>
      </c>
      <c r="AA11" s="111" t="s">
        <v>2798</v>
      </c>
      <c r="AB11" s="111" t="s">
        <v>2798</v>
      </c>
      <c r="AC11" s="111" t="s">
        <v>2798</v>
      </c>
      <c r="AD11" s="111" t="s">
        <v>2798</v>
      </c>
      <c r="AE11" s="111" t="s">
        <v>2798</v>
      </c>
      <c r="AF11" s="111" t="s">
        <v>2798</v>
      </c>
      <c r="AG11" s="111" t="s">
        <v>2798</v>
      </c>
      <c r="AH11" s="111" t="s">
        <v>2798</v>
      </c>
      <c r="AI11" s="111" t="s">
        <v>2798</v>
      </c>
      <c r="AJ11" s="111" t="s">
        <v>2798</v>
      </c>
      <c r="AK11" s="111" t="s">
        <v>2798</v>
      </c>
      <c r="AL11" s="111" t="s">
        <v>2798</v>
      </c>
      <c r="AM11" s="111" t="s">
        <v>2798</v>
      </c>
      <c r="AN11" s="111" t="s">
        <v>2798</v>
      </c>
      <c r="AO11" s="111" t="s">
        <v>2798</v>
      </c>
      <c r="AP11" s="111" t="s">
        <v>2798</v>
      </c>
      <c r="AQ11" s="111" t="s">
        <v>2798</v>
      </c>
      <c r="AR11" s="111" t="s">
        <v>2798</v>
      </c>
      <c r="AS11" s="111" t="s">
        <v>2798</v>
      </c>
      <c r="AT11" s="111" t="s">
        <v>2798</v>
      </c>
      <c r="AU11" s="111" t="s">
        <v>2798</v>
      </c>
      <c r="AV11" s="111" t="s">
        <v>2798</v>
      </c>
      <c r="AW11" s="111" t="s">
        <v>2798</v>
      </c>
      <c r="AX11" s="111" t="s">
        <v>2798</v>
      </c>
      <c r="AY11" s="111" t="s">
        <v>2798</v>
      </c>
      <c r="AZ11" s="111" t="s">
        <v>2798</v>
      </c>
      <c r="BA11" s="111" t="s">
        <v>2798</v>
      </c>
      <c r="BB11" s="111" t="s">
        <v>2798</v>
      </c>
      <c r="BC11" s="111" t="s">
        <v>2798</v>
      </c>
      <c r="BD11" s="111" t="s">
        <v>2798</v>
      </c>
      <c r="BE11" s="111" t="s">
        <v>2798</v>
      </c>
      <c r="BF11" s="111" t="s">
        <v>2798</v>
      </c>
      <c r="BG11" s="111" t="s">
        <v>2798</v>
      </c>
      <c r="BH11" s="111" t="s">
        <v>2798</v>
      </c>
      <c r="BI11" s="111" t="s">
        <v>2798</v>
      </c>
      <c r="BJ11" s="111" t="s">
        <v>2798</v>
      </c>
      <c r="BK11" s="111" t="s">
        <v>2798</v>
      </c>
      <c r="BL11" s="111" t="s">
        <v>2798</v>
      </c>
      <c r="BM11" s="111" t="s">
        <v>2798</v>
      </c>
      <c r="BN11" s="111" t="s">
        <v>2798</v>
      </c>
      <c r="BO11" s="111" t="s">
        <v>2798</v>
      </c>
      <c r="BP11" s="111" t="s">
        <v>2798</v>
      </c>
      <c r="BQ11" s="111" t="s">
        <v>2798</v>
      </c>
      <c r="BR11" s="111" t="s">
        <v>2798</v>
      </c>
      <c r="BS11" s="111" t="s">
        <v>2798</v>
      </c>
      <c r="BT11" s="111" t="s">
        <v>2798</v>
      </c>
      <c r="BU11" s="111" t="s">
        <v>2798</v>
      </c>
      <c r="BV11" s="111" t="s">
        <v>2798</v>
      </c>
      <c r="BW11" s="111" t="s">
        <v>2798</v>
      </c>
      <c r="BX11" s="111" t="s">
        <v>2798</v>
      </c>
      <c r="BY11" s="111" t="s">
        <v>2798</v>
      </c>
      <c r="BZ11" s="111" t="s">
        <v>2798</v>
      </c>
      <c r="CA11" s="111" t="s">
        <v>2798</v>
      </c>
      <c r="CB11" s="111" t="s">
        <v>2798</v>
      </c>
      <c r="CC11" s="111" t="s">
        <v>2778</v>
      </c>
      <c r="CD11" s="111" t="s">
        <v>2779</v>
      </c>
      <c r="CE11" s="111" t="s">
        <v>2780</v>
      </c>
      <c r="CF11" s="111" t="s">
        <v>2781</v>
      </c>
      <c r="CG11" s="111" t="s">
        <v>2782</v>
      </c>
      <c r="CH11" s="111" t="s">
        <v>2783</v>
      </c>
      <c r="CI11" s="111" t="s">
        <v>2798</v>
      </c>
      <c r="CJ11" s="111" t="s">
        <v>2785</v>
      </c>
      <c r="CK11" s="111" t="s">
        <v>2786</v>
      </c>
      <c r="CL11" s="111" t="s">
        <v>2787</v>
      </c>
      <c r="CM11" s="111" t="s">
        <v>2788</v>
      </c>
      <c r="CN11" s="111" t="s">
        <v>2789</v>
      </c>
      <c r="CO11" s="111" t="s">
        <v>2790</v>
      </c>
      <c r="CP11" s="111" t="s">
        <v>2791</v>
      </c>
      <c r="CQ11" s="111" t="s">
        <v>2792</v>
      </c>
    </row>
    <row r="12" spans="2:115" ht="14.25" customHeight="1">
      <c r="B12" s="106" t="s">
        <v>717</v>
      </c>
      <c r="C12" s="106" t="s">
        <v>2803</v>
      </c>
      <c r="D12" s="109">
        <v>11306.267</v>
      </c>
      <c r="E12" s="106" t="s">
        <v>1789</v>
      </c>
      <c r="F12" s="110">
        <v>49.581000000000131</v>
      </c>
      <c r="G12" s="106" t="s">
        <v>2795</v>
      </c>
      <c r="H12" s="102">
        <v>0</v>
      </c>
      <c r="I12" s="102">
        <v>0</v>
      </c>
      <c r="J12" s="111" t="s">
        <v>87</v>
      </c>
      <c r="K12" s="111" t="s">
        <v>2708</v>
      </c>
      <c r="L12" s="111" t="s">
        <v>2709</v>
      </c>
      <c r="M12" s="111" t="s">
        <v>2710</v>
      </c>
      <c r="N12" s="111" t="s">
        <v>2711</v>
      </c>
      <c r="O12" s="111" t="s">
        <v>2712</v>
      </c>
      <c r="P12" s="111" t="s">
        <v>2713</v>
      </c>
      <c r="Q12" s="111" t="s">
        <v>2714</v>
      </c>
      <c r="R12" s="111" t="s">
        <v>2715</v>
      </c>
      <c r="S12" s="111" t="s">
        <v>2716</v>
      </c>
      <c r="T12" s="111" t="s">
        <v>2717</v>
      </c>
      <c r="U12" s="111" t="s">
        <v>2718</v>
      </c>
      <c r="V12" s="111" t="s">
        <v>2719</v>
      </c>
      <c r="W12" s="111" t="s">
        <v>2720</v>
      </c>
      <c r="X12" s="111" t="s">
        <v>2721</v>
      </c>
      <c r="Y12" s="111" t="s">
        <v>2722</v>
      </c>
      <c r="Z12" s="111" t="s">
        <v>2723</v>
      </c>
      <c r="AA12" s="111" t="s">
        <v>2798</v>
      </c>
      <c r="AB12" s="111" t="s">
        <v>2798</v>
      </c>
      <c r="AC12" s="111" t="s">
        <v>2798</v>
      </c>
      <c r="AD12" s="111" t="s">
        <v>2798</v>
      </c>
      <c r="AE12" s="111" t="s">
        <v>2798</v>
      </c>
      <c r="AF12" s="111" t="s">
        <v>2798</v>
      </c>
      <c r="AG12" s="111" t="s">
        <v>2798</v>
      </c>
      <c r="AH12" s="111" t="s">
        <v>2798</v>
      </c>
      <c r="AI12" s="111" t="s">
        <v>2798</v>
      </c>
      <c r="AJ12" s="111" t="s">
        <v>2798</v>
      </c>
      <c r="AK12" s="111" t="s">
        <v>2798</v>
      </c>
      <c r="AL12" s="111" t="s">
        <v>2798</v>
      </c>
      <c r="AM12" s="111" t="s">
        <v>2798</v>
      </c>
      <c r="AN12" s="111" t="s">
        <v>2798</v>
      </c>
      <c r="AO12" s="111" t="s">
        <v>2798</v>
      </c>
      <c r="AP12" s="111" t="s">
        <v>2798</v>
      </c>
      <c r="AQ12" s="111" t="s">
        <v>2798</v>
      </c>
      <c r="AR12" s="111" t="s">
        <v>2798</v>
      </c>
      <c r="AS12" s="111" t="s">
        <v>2798</v>
      </c>
      <c r="AT12" s="111" t="s">
        <v>2798</v>
      </c>
      <c r="AU12" s="111" t="s">
        <v>2798</v>
      </c>
      <c r="AV12" s="111" t="s">
        <v>2798</v>
      </c>
      <c r="AW12" s="111" t="s">
        <v>2798</v>
      </c>
      <c r="AX12" s="111" t="s">
        <v>2798</v>
      </c>
      <c r="AY12" s="111" t="s">
        <v>2798</v>
      </c>
      <c r="AZ12" s="111" t="s">
        <v>2798</v>
      </c>
      <c r="BA12" s="111" t="s">
        <v>2798</v>
      </c>
      <c r="BB12" s="111" t="s">
        <v>2798</v>
      </c>
      <c r="BC12" s="111" t="s">
        <v>2798</v>
      </c>
      <c r="BD12" s="111" t="s">
        <v>2798</v>
      </c>
      <c r="BE12" s="111" t="s">
        <v>2798</v>
      </c>
      <c r="BF12" s="111" t="s">
        <v>2798</v>
      </c>
      <c r="BG12" s="111" t="s">
        <v>2798</v>
      </c>
      <c r="BH12" s="111" t="s">
        <v>2798</v>
      </c>
      <c r="BI12" s="111" t="s">
        <v>2798</v>
      </c>
      <c r="BJ12" s="111" t="s">
        <v>2798</v>
      </c>
      <c r="BK12" s="111" t="s">
        <v>2798</v>
      </c>
      <c r="BL12" s="111" t="s">
        <v>2798</v>
      </c>
      <c r="BM12" s="111" t="s">
        <v>2798</v>
      </c>
      <c r="BN12" s="111" t="s">
        <v>2798</v>
      </c>
      <c r="BO12" s="111" t="s">
        <v>2798</v>
      </c>
      <c r="BP12" s="111" t="s">
        <v>2798</v>
      </c>
      <c r="BQ12" s="111" t="s">
        <v>2798</v>
      </c>
      <c r="BR12" s="111" t="s">
        <v>2798</v>
      </c>
      <c r="BS12" s="111" t="s">
        <v>2798</v>
      </c>
      <c r="BT12" s="111" t="s">
        <v>2798</v>
      </c>
      <c r="BU12" s="111" t="s">
        <v>2798</v>
      </c>
      <c r="BV12" s="111" t="s">
        <v>2798</v>
      </c>
      <c r="BW12" s="111" t="s">
        <v>2798</v>
      </c>
      <c r="BX12" s="111" t="s">
        <v>2798</v>
      </c>
      <c r="BY12" s="111" t="s">
        <v>2798</v>
      </c>
      <c r="BZ12" s="111" t="s">
        <v>2798</v>
      </c>
      <c r="CA12" s="111" t="s">
        <v>2798</v>
      </c>
      <c r="CB12" s="111" t="s">
        <v>2798</v>
      </c>
      <c r="CC12" s="111" t="s">
        <v>2798</v>
      </c>
      <c r="CD12" s="111" t="s">
        <v>2798</v>
      </c>
      <c r="CE12" s="111" t="s">
        <v>2798</v>
      </c>
      <c r="CF12" s="111" t="s">
        <v>2798</v>
      </c>
      <c r="CG12" s="111" t="s">
        <v>2798</v>
      </c>
      <c r="CH12" s="111" t="s">
        <v>2798</v>
      </c>
      <c r="CI12" s="111" t="s">
        <v>2798</v>
      </c>
      <c r="CJ12" s="111" t="s">
        <v>2798</v>
      </c>
      <c r="CK12" s="111" t="s">
        <v>2798</v>
      </c>
      <c r="CL12" s="111" t="s">
        <v>2798</v>
      </c>
      <c r="CM12" s="111" t="s">
        <v>2798</v>
      </c>
      <c r="CN12" s="111" t="s">
        <v>2798</v>
      </c>
      <c r="CO12" s="111" t="s">
        <v>2798</v>
      </c>
      <c r="CP12" s="111" t="s">
        <v>2798</v>
      </c>
      <c r="CQ12" s="111" t="s">
        <v>2798</v>
      </c>
    </row>
    <row r="13" spans="2:115" ht="14.25" customHeight="1">
      <c r="B13" s="106" t="s">
        <v>718</v>
      </c>
      <c r="C13" s="106" t="s">
        <v>2804</v>
      </c>
      <c r="D13" s="109">
        <v>11355.85</v>
      </c>
      <c r="E13" s="106" t="s">
        <v>1798</v>
      </c>
      <c r="F13" s="110">
        <v>49.583000000000538</v>
      </c>
      <c r="G13" s="106" t="s">
        <v>2795</v>
      </c>
      <c r="H13" s="102">
        <v>0</v>
      </c>
      <c r="I13" s="102">
        <v>0</v>
      </c>
      <c r="J13" s="111" t="s">
        <v>2798</v>
      </c>
      <c r="K13" s="111" t="s">
        <v>2798</v>
      </c>
      <c r="L13" s="111" t="s">
        <v>2798</v>
      </c>
      <c r="M13" s="111" t="s">
        <v>2798</v>
      </c>
      <c r="N13" s="111" t="s">
        <v>2798</v>
      </c>
      <c r="O13" s="111" t="s">
        <v>2798</v>
      </c>
      <c r="P13" s="111" t="s">
        <v>2798</v>
      </c>
      <c r="Q13" s="111" t="s">
        <v>2798</v>
      </c>
      <c r="R13" s="111" t="s">
        <v>2798</v>
      </c>
      <c r="S13" s="111" t="s">
        <v>2798</v>
      </c>
      <c r="T13" s="111" t="s">
        <v>2798</v>
      </c>
      <c r="U13" s="111" t="s">
        <v>2798</v>
      </c>
      <c r="V13" s="111" t="s">
        <v>2798</v>
      </c>
      <c r="W13" s="111" t="s">
        <v>2798</v>
      </c>
      <c r="X13" s="111" t="s">
        <v>2798</v>
      </c>
      <c r="Y13" s="111" t="s">
        <v>2798</v>
      </c>
      <c r="Z13" s="111" t="s">
        <v>2798</v>
      </c>
      <c r="AA13" s="111" t="s">
        <v>2724</v>
      </c>
      <c r="AB13" s="111" t="s">
        <v>2725</v>
      </c>
      <c r="AC13" s="111" t="s">
        <v>2726</v>
      </c>
      <c r="AD13" s="111" t="s">
        <v>2727</v>
      </c>
      <c r="AE13" s="111" t="s">
        <v>2728</v>
      </c>
      <c r="AF13" s="111" t="s">
        <v>2729</v>
      </c>
      <c r="AG13" s="111" t="s">
        <v>2730</v>
      </c>
      <c r="AH13" s="111" t="s">
        <v>2731</v>
      </c>
      <c r="AI13" s="111" t="s">
        <v>2732</v>
      </c>
      <c r="AJ13" s="111" t="s">
        <v>2798</v>
      </c>
      <c r="AK13" s="111" t="s">
        <v>2798</v>
      </c>
      <c r="AL13" s="111" t="s">
        <v>2798</v>
      </c>
      <c r="AM13" s="111" t="s">
        <v>2798</v>
      </c>
      <c r="AN13" s="111" t="s">
        <v>2798</v>
      </c>
      <c r="AO13" s="111" t="s">
        <v>2798</v>
      </c>
      <c r="AP13" s="111" t="s">
        <v>2798</v>
      </c>
      <c r="AQ13" s="111" t="s">
        <v>2798</v>
      </c>
      <c r="AR13" s="111" t="s">
        <v>2798</v>
      </c>
      <c r="AS13" s="111" t="s">
        <v>2798</v>
      </c>
      <c r="AT13" s="111" t="s">
        <v>2798</v>
      </c>
      <c r="AU13" s="111" t="s">
        <v>2798</v>
      </c>
      <c r="AV13" s="111" t="s">
        <v>2798</v>
      </c>
      <c r="AW13" s="111" t="s">
        <v>2798</v>
      </c>
      <c r="AX13" s="111" t="s">
        <v>2798</v>
      </c>
      <c r="AY13" s="111" t="s">
        <v>2798</v>
      </c>
      <c r="AZ13" s="111" t="s">
        <v>2798</v>
      </c>
      <c r="BA13" s="111" t="s">
        <v>2798</v>
      </c>
      <c r="BB13" s="111" t="s">
        <v>2798</v>
      </c>
      <c r="BC13" s="111" t="s">
        <v>2798</v>
      </c>
      <c r="BD13" s="111" t="s">
        <v>2798</v>
      </c>
      <c r="BE13" s="111" t="s">
        <v>2798</v>
      </c>
      <c r="BF13" s="111" t="s">
        <v>2798</v>
      </c>
      <c r="BG13" s="111" t="s">
        <v>2798</v>
      </c>
      <c r="BH13" s="111" t="s">
        <v>2798</v>
      </c>
      <c r="BI13" s="111" t="s">
        <v>2798</v>
      </c>
      <c r="BJ13" s="111" t="s">
        <v>2798</v>
      </c>
      <c r="BK13" s="111" t="s">
        <v>2798</v>
      </c>
      <c r="BL13" s="111" t="s">
        <v>2798</v>
      </c>
      <c r="BM13" s="111" t="s">
        <v>2798</v>
      </c>
      <c r="BN13" s="111" t="s">
        <v>2798</v>
      </c>
      <c r="BO13" s="111" t="s">
        <v>2798</v>
      </c>
      <c r="BP13" s="111" t="s">
        <v>2798</v>
      </c>
      <c r="BQ13" s="111" t="s">
        <v>2798</v>
      </c>
      <c r="BR13" s="111" t="s">
        <v>2767</v>
      </c>
      <c r="BS13" s="111" t="s">
        <v>2768</v>
      </c>
      <c r="BT13" s="111" t="s">
        <v>2769</v>
      </c>
      <c r="BU13" s="111" t="s">
        <v>2770</v>
      </c>
      <c r="BV13" s="111" t="s">
        <v>2771</v>
      </c>
      <c r="BW13" s="111" t="s">
        <v>2772</v>
      </c>
      <c r="BX13" s="111" t="s">
        <v>2773</v>
      </c>
      <c r="BY13" s="111" t="s">
        <v>2774</v>
      </c>
      <c r="BZ13" s="111" t="s">
        <v>2798</v>
      </c>
      <c r="CA13" s="111" t="s">
        <v>2798</v>
      </c>
      <c r="CB13" s="111" t="s">
        <v>2798</v>
      </c>
      <c r="CC13" s="111" t="s">
        <v>2798</v>
      </c>
      <c r="CD13" s="111" t="s">
        <v>2798</v>
      </c>
      <c r="CE13" s="111" t="s">
        <v>2798</v>
      </c>
      <c r="CF13" s="111" t="s">
        <v>2798</v>
      </c>
      <c r="CG13" s="111" t="s">
        <v>2798</v>
      </c>
      <c r="CH13" s="111" t="s">
        <v>2798</v>
      </c>
      <c r="CI13" s="111" t="s">
        <v>2798</v>
      </c>
      <c r="CJ13" s="111" t="s">
        <v>2798</v>
      </c>
      <c r="CK13" s="111" t="s">
        <v>2798</v>
      </c>
      <c r="CL13" s="111" t="s">
        <v>2798</v>
      </c>
      <c r="CM13" s="111" t="s">
        <v>2798</v>
      </c>
      <c r="CN13" s="111" t="s">
        <v>2798</v>
      </c>
      <c r="CO13" s="111" t="s">
        <v>2798</v>
      </c>
      <c r="CP13" s="111" t="s">
        <v>2798</v>
      </c>
      <c r="CQ13" s="111" t="s">
        <v>2798</v>
      </c>
    </row>
    <row r="14" spans="2:115" ht="14.25" customHeight="1">
      <c r="B14" s="106" t="s">
        <v>719</v>
      </c>
      <c r="C14" s="106" t="s">
        <v>2805</v>
      </c>
      <c r="D14" s="109">
        <v>11402.447</v>
      </c>
      <c r="E14" s="106" t="s">
        <v>1798</v>
      </c>
      <c r="F14" s="110">
        <v>46.596999999999753</v>
      </c>
      <c r="G14" s="106" t="s">
        <v>2793</v>
      </c>
      <c r="H14" s="102">
        <v>0</v>
      </c>
      <c r="I14" s="102">
        <v>0</v>
      </c>
      <c r="J14" s="111" t="s">
        <v>2798</v>
      </c>
      <c r="K14" s="111" t="s">
        <v>2798</v>
      </c>
      <c r="L14" s="111" t="s">
        <v>2798</v>
      </c>
      <c r="M14" s="111" t="s">
        <v>2798</v>
      </c>
      <c r="N14" s="111" t="s">
        <v>2798</v>
      </c>
      <c r="O14" s="111" t="s">
        <v>2798</v>
      </c>
      <c r="P14" s="111" t="s">
        <v>2798</v>
      </c>
      <c r="Q14" s="111" t="s">
        <v>2798</v>
      </c>
      <c r="R14" s="111" t="s">
        <v>2798</v>
      </c>
      <c r="S14" s="111" t="s">
        <v>2798</v>
      </c>
      <c r="T14" s="111" t="s">
        <v>2798</v>
      </c>
      <c r="U14" s="111" t="s">
        <v>2798</v>
      </c>
      <c r="V14" s="111" t="s">
        <v>2798</v>
      </c>
      <c r="W14" s="111" t="s">
        <v>2798</v>
      </c>
      <c r="X14" s="111" t="s">
        <v>2798</v>
      </c>
      <c r="Y14" s="111" t="s">
        <v>2798</v>
      </c>
      <c r="Z14" s="111" t="s">
        <v>2798</v>
      </c>
      <c r="AA14" s="111" t="s">
        <v>2798</v>
      </c>
      <c r="AB14" s="111" t="s">
        <v>2798</v>
      </c>
      <c r="AC14" s="111" t="s">
        <v>2798</v>
      </c>
      <c r="AD14" s="111" t="s">
        <v>2798</v>
      </c>
      <c r="AE14" s="111" t="s">
        <v>2798</v>
      </c>
      <c r="AF14" s="111" t="s">
        <v>2798</v>
      </c>
      <c r="AG14" s="111" t="s">
        <v>2798</v>
      </c>
      <c r="AH14" s="111" t="s">
        <v>2798</v>
      </c>
      <c r="AI14" s="111" t="s">
        <v>2798</v>
      </c>
      <c r="AJ14" s="111" t="s">
        <v>2798</v>
      </c>
      <c r="AK14" s="111" t="s">
        <v>2798</v>
      </c>
      <c r="AL14" s="111" t="s">
        <v>2798</v>
      </c>
      <c r="AM14" s="111" t="s">
        <v>2798</v>
      </c>
      <c r="AN14" s="111" t="s">
        <v>2798</v>
      </c>
      <c r="AO14" s="111" t="s">
        <v>2798</v>
      </c>
      <c r="AP14" s="111" t="s">
        <v>2798</v>
      </c>
      <c r="AQ14" s="111" t="s">
        <v>2798</v>
      </c>
      <c r="AR14" s="111" t="s">
        <v>2798</v>
      </c>
      <c r="AS14" s="111" t="s">
        <v>2798</v>
      </c>
      <c r="AT14" s="111" t="s">
        <v>2798</v>
      </c>
      <c r="AU14" s="111" t="s">
        <v>2798</v>
      </c>
      <c r="AV14" s="111" t="s">
        <v>2798</v>
      </c>
      <c r="AW14" s="111" t="s">
        <v>2798</v>
      </c>
      <c r="AX14" s="111" t="s">
        <v>2798</v>
      </c>
      <c r="AY14" s="111" t="s">
        <v>2798</v>
      </c>
      <c r="AZ14" s="111" t="s">
        <v>2798</v>
      </c>
      <c r="BA14" s="111" t="s">
        <v>2798</v>
      </c>
      <c r="BB14" s="111" t="s">
        <v>2798</v>
      </c>
      <c r="BC14" s="111" t="s">
        <v>2798</v>
      </c>
      <c r="BD14" s="111" t="s">
        <v>2798</v>
      </c>
      <c r="BE14" s="111" t="s">
        <v>2798</v>
      </c>
      <c r="BF14" s="111" t="s">
        <v>2798</v>
      </c>
      <c r="BG14" s="111" t="s">
        <v>2798</v>
      </c>
      <c r="BH14" s="111" t="s">
        <v>2798</v>
      </c>
      <c r="BI14" s="111" t="s">
        <v>2798</v>
      </c>
      <c r="BJ14" s="111" t="s">
        <v>2798</v>
      </c>
      <c r="BK14" s="111" t="s">
        <v>2798</v>
      </c>
      <c r="BL14" s="111" t="s">
        <v>2798</v>
      </c>
      <c r="BM14" s="111" t="s">
        <v>2798</v>
      </c>
      <c r="BN14" s="111" t="s">
        <v>2798</v>
      </c>
      <c r="BO14" s="111" t="s">
        <v>2798</v>
      </c>
      <c r="BP14" s="111" t="s">
        <v>2798</v>
      </c>
      <c r="BQ14" s="111" t="s">
        <v>2798</v>
      </c>
      <c r="BR14" s="111" t="s">
        <v>2798</v>
      </c>
      <c r="BS14" s="111" t="s">
        <v>2798</v>
      </c>
      <c r="BT14" s="111" t="s">
        <v>2798</v>
      </c>
      <c r="BU14" s="111" t="s">
        <v>2798</v>
      </c>
      <c r="BV14" s="111" t="s">
        <v>2798</v>
      </c>
      <c r="BW14" s="111" t="s">
        <v>2798</v>
      </c>
      <c r="BX14" s="111" t="s">
        <v>2798</v>
      </c>
      <c r="BY14" s="111" t="s">
        <v>2798</v>
      </c>
      <c r="BZ14" s="111" t="s">
        <v>2775</v>
      </c>
      <c r="CA14" s="111" t="s">
        <v>2776</v>
      </c>
      <c r="CB14" s="111" t="s">
        <v>2777</v>
      </c>
      <c r="CC14" s="111" t="s">
        <v>2778</v>
      </c>
      <c r="CD14" s="111" t="s">
        <v>2779</v>
      </c>
      <c r="CE14" s="111" t="s">
        <v>2780</v>
      </c>
      <c r="CF14" s="111" t="s">
        <v>2781</v>
      </c>
      <c r="CG14" s="111" t="s">
        <v>2782</v>
      </c>
      <c r="CH14" s="111" t="s">
        <v>2798</v>
      </c>
      <c r="CI14" s="111" t="s">
        <v>2798</v>
      </c>
      <c r="CJ14" s="111" t="s">
        <v>2785</v>
      </c>
      <c r="CK14" s="111" t="s">
        <v>2786</v>
      </c>
      <c r="CL14" s="111" t="s">
        <v>2787</v>
      </c>
      <c r="CM14" s="111" t="s">
        <v>2788</v>
      </c>
      <c r="CN14" s="111" t="s">
        <v>2789</v>
      </c>
      <c r="CO14" s="111" t="s">
        <v>2790</v>
      </c>
      <c r="CP14" s="111" t="s">
        <v>2791</v>
      </c>
      <c r="CQ14" s="111" t="s">
        <v>2792</v>
      </c>
    </row>
    <row r="15" spans="2:115" ht="14.25" customHeight="1">
      <c r="B15" s="106" t="s">
        <v>720</v>
      </c>
      <c r="C15" s="106" t="s">
        <v>2806</v>
      </c>
      <c r="D15" s="109">
        <v>11446.058999999999</v>
      </c>
      <c r="E15" s="106" t="s">
        <v>1807</v>
      </c>
      <c r="F15" s="110">
        <v>43.611999999999171</v>
      </c>
      <c r="G15" s="106" t="s">
        <v>2795</v>
      </c>
      <c r="H15" s="102">
        <v>0</v>
      </c>
      <c r="I15" s="102">
        <v>0</v>
      </c>
      <c r="J15" s="111" t="s">
        <v>87</v>
      </c>
      <c r="K15" s="111" t="s">
        <v>2708</v>
      </c>
      <c r="L15" s="111" t="s">
        <v>2709</v>
      </c>
      <c r="M15" s="111" t="s">
        <v>2710</v>
      </c>
      <c r="N15" s="111" t="s">
        <v>2711</v>
      </c>
      <c r="O15" s="111" t="s">
        <v>2712</v>
      </c>
      <c r="P15" s="111" t="s">
        <v>2713</v>
      </c>
      <c r="Q15" s="111" t="s">
        <v>2714</v>
      </c>
      <c r="R15" s="111" t="s">
        <v>2715</v>
      </c>
      <c r="S15" s="111" t="s">
        <v>2716</v>
      </c>
      <c r="T15" s="111" t="s">
        <v>2717</v>
      </c>
      <c r="U15" s="111" t="s">
        <v>2718</v>
      </c>
      <c r="V15" s="111" t="s">
        <v>2719</v>
      </c>
      <c r="W15" s="111" t="s">
        <v>2720</v>
      </c>
      <c r="X15" s="111" t="s">
        <v>2721</v>
      </c>
      <c r="Y15" s="111" t="s">
        <v>2798</v>
      </c>
      <c r="Z15" s="111" t="s">
        <v>2798</v>
      </c>
      <c r="AA15" s="111" t="s">
        <v>2798</v>
      </c>
      <c r="AB15" s="111" t="s">
        <v>2798</v>
      </c>
      <c r="AC15" s="111" t="s">
        <v>2798</v>
      </c>
      <c r="AD15" s="111" t="s">
        <v>2798</v>
      </c>
      <c r="AE15" s="111" t="s">
        <v>2798</v>
      </c>
      <c r="AF15" s="111" t="s">
        <v>2798</v>
      </c>
      <c r="AG15" s="111" t="s">
        <v>2798</v>
      </c>
      <c r="AH15" s="111" t="s">
        <v>2798</v>
      </c>
      <c r="AI15" s="111" t="s">
        <v>2798</v>
      </c>
      <c r="AJ15" s="111" t="s">
        <v>2798</v>
      </c>
      <c r="AK15" s="111" t="s">
        <v>2798</v>
      </c>
      <c r="AL15" s="111" t="s">
        <v>2798</v>
      </c>
      <c r="AM15" s="111" t="s">
        <v>2798</v>
      </c>
      <c r="AN15" s="111" t="s">
        <v>2798</v>
      </c>
      <c r="AO15" s="111" t="s">
        <v>2798</v>
      </c>
      <c r="AP15" s="111" t="s">
        <v>2798</v>
      </c>
      <c r="AQ15" s="111" t="s">
        <v>2798</v>
      </c>
      <c r="AR15" s="111" t="s">
        <v>2798</v>
      </c>
      <c r="AS15" s="111" t="s">
        <v>2798</v>
      </c>
      <c r="AT15" s="111" t="s">
        <v>2798</v>
      </c>
      <c r="AU15" s="111" t="s">
        <v>2798</v>
      </c>
      <c r="AV15" s="111" t="s">
        <v>2798</v>
      </c>
      <c r="AW15" s="111" t="s">
        <v>2798</v>
      </c>
      <c r="AX15" s="111" t="s">
        <v>2798</v>
      </c>
      <c r="AY15" s="111" t="s">
        <v>2798</v>
      </c>
      <c r="AZ15" s="111" t="s">
        <v>2798</v>
      </c>
      <c r="BA15" s="111" t="s">
        <v>2798</v>
      </c>
      <c r="BB15" s="111" t="s">
        <v>2798</v>
      </c>
      <c r="BC15" s="111" t="s">
        <v>2798</v>
      </c>
      <c r="BD15" s="111" t="s">
        <v>2798</v>
      </c>
      <c r="BE15" s="111" t="s">
        <v>2798</v>
      </c>
      <c r="BF15" s="111" t="s">
        <v>2798</v>
      </c>
      <c r="BG15" s="111" t="s">
        <v>2798</v>
      </c>
      <c r="BH15" s="111" t="s">
        <v>2798</v>
      </c>
      <c r="BI15" s="111" t="s">
        <v>2798</v>
      </c>
      <c r="BJ15" s="111" t="s">
        <v>2798</v>
      </c>
      <c r="BK15" s="111" t="s">
        <v>2798</v>
      </c>
      <c r="BL15" s="111" t="s">
        <v>2798</v>
      </c>
      <c r="BM15" s="111" t="s">
        <v>2798</v>
      </c>
      <c r="BN15" s="111" t="s">
        <v>2798</v>
      </c>
      <c r="BO15" s="111" t="s">
        <v>2798</v>
      </c>
      <c r="BP15" s="111" t="s">
        <v>2798</v>
      </c>
      <c r="BQ15" s="111" t="s">
        <v>2798</v>
      </c>
      <c r="BR15" s="111" t="s">
        <v>2798</v>
      </c>
      <c r="BS15" s="111" t="s">
        <v>2798</v>
      </c>
      <c r="BT15" s="111" t="s">
        <v>2798</v>
      </c>
      <c r="BU15" s="111" t="s">
        <v>2798</v>
      </c>
      <c r="BV15" s="111" t="s">
        <v>2798</v>
      </c>
      <c r="BW15" s="111" t="s">
        <v>2798</v>
      </c>
      <c r="BX15" s="111" t="s">
        <v>2798</v>
      </c>
      <c r="BY15" s="111" t="s">
        <v>2798</v>
      </c>
      <c r="BZ15" s="111" t="s">
        <v>2798</v>
      </c>
      <c r="CA15" s="111" t="s">
        <v>2798</v>
      </c>
      <c r="CB15" s="111" t="s">
        <v>2798</v>
      </c>
      <c r="CC15" s="111" t="s">
        <v>2798</v>
      </c>
      <c r="CD15" s="111" t="s">
        <v>2798</v>
      </c>
      <c r="CE15" s="111" t="s">
        <v>2798</v>
      </c>
      <c r="CF15" s="111" t="s">
        <v>2798</v>
      </c>
      <c r="CG15" s="111" t="s">
        <v>2798</v>
      </c>
      <c r="CH15" s="111" t="s">
        <v>2798</v>
      </c>
      <c r="CI15" s="111" t="s">
        <v>2798</v>
      </c>
      <c r="CJ15" s="111" t="s">
        <v>2798</v>
      </c>
      <c r="CK15" s="111" t="s">
        <v>2798</v>
      </c>
      <c r="CL15" s="111" t="s">
        <v>2798</v>
      </c>
      <c r="CM15" s="111" t="s">
        <v>2798</v>
      </c>
      <c r="CN15" s="111" t="s">
        <v>2798</v>
      </c>
      <c r="CO15" s="111" t="s">
        <v>2798</v>
      </c>
      <c r="CP15" s="111" t="s">
        <v>2798</v>
      </c>
      <c r="CQ15" s="111" t="s">
        <v>2798</v>
      </c>
    </row>
    <row r="16" spans="2:115" ht="14.25" customHeight="1">
      <c r="B16" s="106" t="s">
        <v>721</v>
      </c>
      <c r="C16" s="106" t="s">
        <v>2807</v>
      </c>
      <c r="D16" s="109">
        <v>11489.671</v>
      </c>
      <c r="E16" s="106" t="s">
        <v>1807</v>
      </c>
      <c r="F16" s="110">
        <v>43.61200000000099</v>
      </c>
      <c r="G16" s="106" t="s">
        <v>2795</v>
      </c>
      <c r="H16" s="102">
        <v>0</v>
      </c>
      <c r="I16" s="102">
        <v>0</v>
      </c>
      <c r="J16" s="111" t="s">
        <v>2798</v>
      </c>
      <c r="K16" s="111" t="s">
        <v>2798</v>
      </c>
      <c r="L16" s="111" t="s">
        <v>2798</v>
      </c>
      <c r="M16" s="111" t="s">
        <v>2798</v>
      </c>
      <c r="N16" s="111" t="s">
        <v>2798</v>
      </c>
      <c r="O16" s="111" t="s">
        <v>2798</v>
      </c>
      <c r="P16" s="111" t="s">
        <v>2798</v>
      </c>
      <c r="Q16" s="111" t="s">
        <v>2798</v>
      </c>
      <c r="R16" s="111" t="s">
        <v>2798</v>
      </c>
      <c r="S16" s="111" t="s">
        <v>2798</v>
      </c>
      <c r="T16" s="111" t="s">
        <v>2798</v>
      </c>
      <c r="U16" s="111" t="s">
        <v>2798</v>
      </c>
      <c r="V16" s="111" t="s">
        <v>2798</v>
      </c>
      <c r="W16" s="111" t="s">
        <v>2798</v>
      </c>
      <c r="X16" s="111" t="s">
        <v>2798</v>
      </c>
      <c r="Y16" s="111" t="s">
        <v>2722</v>
      </c>
      <c r="Z16" s="111" t="s">
        <v>2723</v>
      </c>
      <c r="AA16" s="111" t="s">
        <v>2724</v>
      </c>
      <c r="AB16" s="111" t="s">
        <v>2725</v>
      </c>
      <c r="AC16" s="111" t="s">
        <v>2726</v>
      </c>
      <c r="AD16" s="111" t="s">
        <v>2727</v>
      </c>
      <c r="AE16" s="111" t="s">
        <v>2728</v>
      </c>
      <c r="AF16" s="111" t="s">
        <v>2729</v>
      </c>
      <c r="AG16" s="111" t="s">
        <v>2730</v>
      </c>
      <c r="AH16" s="111" t="s">
        <v>2731</v>
      </c>
      <c r="AI16" s="111" t="s">
        <v>2732</v>
      </c>
      <c r="AJ16" s="111" t="s">
        <v>2733</v>
      </c>
      <c r="AK16" s="111" t="s">
        <v>2734</v>
      </c>
      <c r="AL16" s="111" t="s">
        <v>2735</v>
      </c>
      <c r="AM16" s="111" t="s">
        <v>2736</v>
      </c>
      <c r="AN16" s="111" t="s">
        <v>2798</v>
      </c>
      <c r="AO16" s="111" t="s">
        <v>2798</v>
      </c>
      <c r="AP16" s="111" t="s">
        <v>2798</v>
      </c>
      <c r="AQ16" s="111" t="s">
        <v>2798</v>
      </c>
      <c r="AR16" s="111" t="s">
        <v>2798</v>
      </c>
      <c r="AS16" s="111" t="s">
        <v>2798</v>
      </c>
      <c r="AT16" s="111" t="s">
        <v>2798</v>
      </c>
      <c r="AU16" s="111" t="s">
        <v>2798</v>
      </c>
      <c r="AV16" s="111" t="s">
        <v>2798</v>
      </c>
      <c r="AW16" s="111" t="s">
        <v>2798</v>
      </c>
      <c r="AX16" s="111" t="s">
        <v>2798</v>
      </c>
      <c r="AY16" s="111" t="s">
        <v>2798</v>
      </c>
      <c r="AZ16" s="111" t="s">
        <v>2798</v>
      </c>
      <c r="BA16" s="111" t="s">
        <v>2798</v>
      </c>
      <c r="BB16" s="111" t="s">
        <v>2798</v>
      </c>
      <c r="BC16" s="111" t="s">
        <v>2798</v>
      </c>
      <c r="BD16" s="111" t="s">
        <v>2798</v>
      </c>
      <c r="BE16" s="111" t="s">
        <v>2798</v>
      </c>
      <c r="BF16" s="111" t="s">
        <v>2798</v>
      </c>
      <c r="BG16" s="111" t="s">
        <v>2798</v>
      </c>
      <c r="BH16" s="111" t="s">
        <v>2798</v>
      </c>
      <c r="BI16" s="111" t="s">
        <v>2798</v>
      </c>
      <c r="BJ16" s="111" t="s">
        <v>2798</v>
      </c>
      <c r="BK16" s="111" t="s">
        <v>2798</v>
      </c>
      <c r="BL16" s="111" t="s">
        <v>2798</v>
      </c>
      <c r="BM16" s="111" t="s">
        <v>2798</v>
      </c>
      <c r="BN16" s="111" t="s">
        <v>2798</v>
      </c>
      <c r="BO16" s="111" t="s">
        <v>2798</v>
      </c>
      <c r="BP16" s="111" t="s">
        <v>2798</v>
      </c>
      <c r="BQ16" s="111" t="s">
        <v>2798</v>
      </c>
      <c r="BR16" s="111" t="s">
        <v>2798</v>
      </c>
      <c r="BS16" s="111" t="s">
        <v>2798</v>
      </c>
      <c r="BT16" s="111" t="s">
        <v>2798</v>
      </c>
      <c r="BU16" s="111" t="s">
        <v>2798</v>
      </c>
      <c r="BV16" s="111" t="s">
        <v>2798</v>
      </c>
      <c r="BW16" s="111" t="s">
        <v>2798</v>
      </c>
      <c r="BX16" s="111" t="s">
        <v>2798</v>
      </c>
      <c r="BY16" s="111" t="s">
        <v>2798</v>
      </c>
      <c r="BZ16" s="111" t="s">
        <v>2798</v>
      </c>
      <c r="CA16" s="111" t="s">
        <v>2798</v>
      </c>
      <c r="CB16" s="111" t="s">
        <v>2798</v>
      </c>
      <c r="CC16" s="111" t="s">
        <v>2798</v>
      </c>
      <c r="CD16" s="111" t="s">
        <v>2798</v>
      </c>
      <c r="CE16" s="111" t="s">
        <v>2798</v>
      </c>
      <c r="CF16" s="111" t="s">
        <v>2798</v>
      </c>
      <c r="CG16" s="111" t="s">
        <v>2798</v>
      </c>
      <c r="CH16" s="111" t="s">
        <v>2798</v>
      </c>
      <c r="CI16" s="111" t="s">
        <v>2798</v>
      </c>
      <c r="CJ16" s="111" t="s">
        <v>2798</v>
      </c>
      <c r="CK16" s="111" t="s">
        <v>2798</v>
      </c>
      <c r="CL16" s="111" t="s">
        <v>2798</v>
      </c>
      <c r="CM16" s="111" t="s">
        <v>2798</v>
      </c>
      <c r="CN16" s="111" t="s">
        <v>2798</v>
      </c>
      <c r="CO16" s="111" t="s">
        <v>2798</v>
      </c>
      <c r="CP16" s="111" t="s">
        <v>2798</v>
      </c>
      <c r="CQ16" s="111" t="s">
        <v>2798</v>
      </c>
    </row>
    <row r="17" spans="2:95" ht="14.25" customHeight="1">
      <c r="B17" s="106" t="s">
        <v>722</v>
      </c>
      <c r="C17" s="106" t="s">
        <v>2808</v>
      </c>
      <c r="D17" s="109">
        <v>11533.282999999999</v>
      </c>
      <c r="E17" s="106" t="s">
        <v>1807</v>
      </c>
      <c r="F17" s="110">
        <v>43.611999999999171</v>
      </c>
      <c r="G17" s="106" t="s">
        <v>2795</v>
      </c>
      <c r="H17" s="102">
        <v>0</v>
      </c>
      <c r="I17" s="102">
        <v>0</v>
      </c>
      <c r="J17" s="111" t="s">
        <v>2798</v>
      </c>
      <c r="K17" s="111" t="s">
        <v>2798</v>
      </c>
      <c r="L17" s="111" t="s">
        <v>2798</v>
      </c>
      <c r="M17" s="111" t="s">
        <v>2798</v>
      </c>
      <c r="N17" s="111" t="s">
        <v>2798</v>
      </c>
      <c r="O17" s="111" t="s">
        <v>2798</v>
      </c>
      <c r="P17" s="111" t="s">
        <v>2798</v>
      </c>
      <c r="Q17" s="111" t="s">
        <v>2798</v>
      </c>
      <c r="R17" s="111" t="s">
        <v>2798</v>
      </c>
      <c r="S17" s="111" t="s">
        <v>2798</v>
      </c>
      <c r="T17" s="111" t="s">
        <v>2798</v>
      </c>
      <c r="U17" s="111" t="s">
        <v>2798</v>
      </c>
      <c r="V17" s="111" t="s">
        <v>2798</v>
      </c>
      <c r="W17" s="111" t="s">
        <v>2798</v>
      </c>
      <c r="X17" s="111" t="s">
        <v>2798</v>
      </c>
      <c r="Y17" s="111" t="s">
        <v>2798</v>
      </c>
      <c r="Z17" s="111" t="s">
        <v>2798</v>
      </c>
      <c r="AA17" s="111" t="s">
        <v>2798</v>
      </c>
      <c r="AB17" s="111" t="s">
        <v>2798</v>
      </c>
      <c r="AC17" s="111" t="s">
        <v>2798</v>
      </c>
      <c r="AD17" s="111" t="s">
        <v>2798</v>
      </c>
      <c r="AE17" s="111" t="s">
        <v>2798</v>
      </c>
      <c r="AF17" s="111" t="s">
        <v>2798</v>
      </c>
      <c r="AG17" s="111" t="s">
        <v>2798</v>
      </c>
      <c r="AH17" s="111" t="s">
        <v>2798</v>
      </c>
      <c r="AI17" s="111" t="s">
        <v>2798</v>
      </c>
      <c r="AJ17" s="111" t="s">
        <v>2798</v>
      </c>
      <c r="AK17" s="111" t="s">
        <v>2798</v>
      </c>
      <c r="AL17" s="111" t="s">
        <v>2798</v>
      </c>
      <c r="AM17" s="111" t="s">
        <v>2798</v>
      </c>
      <c r="AN17" s="111" t="s">
        <v>2737</v>
      </c>
      <c r="AO17" s="111" t="s">
        <v>2738</v>
      </c>
      <c r="AP17" s="111" t="s">
        <v>2739</v>
      </c>
      <c r="AQ17" s="111" t="s">
        <v>2740</v>
      </c>
      <c r="AR17" s="111" t="s">
        <v>2741</v>
      </c>
      <c r="AS17" s="111" t="s">
        <v>2742</v>
      </c>
      <c r="AT17" s="111" t="s">
        <v>2743</v>
      </c>
      <c r="AU17" s="111" t="s">
        <v>2744</v>
      </c>
      <c r="AV17" s="111" t="s">
        <v>2798</v>
      </c>
      <c r="AW17" s="111" t="s">
        <v>2798</v>
      </c>
      <c r="AX17" s="111" t="s">
        <v>2798</v>
      </c>
      <c r="AY17" s="111" t="s">
        <v>2798</v>
      </c>
      <c r="AZ17" s="111" t="s">
        <v>2798</v>
      </c>
      <c r="BA17" s="111" t="s">
        <v>2798</v>
      </c>
      <c r="BB17" s="111" t="s">
        <v>2798</v>
      </c>
      <c r="BC17" s="111" t="s">
        <v>2798</v>
      </c>
      <c r="BD17" s="111" t="s">
        <v>2798</v>
      </c>
      <c r="BE17" s="111" t="s">
        <v>2798</v>
      </c>
      <c r="BF17" s="111" t="s">
        <v>2755</v>
      </c>
      <c r="BG17" s="111" t="s">
        <v>2756</v>
      </c>
      <c r="BH17" s="111" t="s">
        <v>2757</v>
      </c>
      <c r="BI17" s="111" t="s">
        <v>2758</v>
      </c>
      <c r="BJ17" s="111" t="s">
        <v>2759</v>
      </c>
      <c r="BK17" s="111" t="s">
        <v>2760</v>
      </c>
      <c r="BL17" s="111" t="s">
        <v>2761</v>
      </c>
      <c r="BM17" s="111" t="s">
        <v>2798</v>
      </c>
      <c r="BN17" s="111" t="s">
        <v>2798</v>
      </c>
      <c r="BO17" s="111" t="s">
        <v>2798</v>
      </c>
      <c r="BP17" s="111" t="s">
        <v>2798</v>
      </c>
      <c r="BQ17" s="111" t="s">
        <v>2798</v>
      </c>
      <c r="BR17" s="111" t="s">
        <v>2798</v>
      </c>
      <c r="BS17" s="111" t="s">
        <v>2798</v>
      </c>
      <c r="BT17" s="111" t="s">
        <v>2798</v>
      </c>
      <c r="BU17" s="111" t="s">
        <v>2798</v>
      </c>
      <c r="BV17" s="111" t="s">
        <v>2798</v>
      </c>
      <c r="BW17" s="111" t="s">
        <v>2798</v>
      </c>
      <c r="BX17" s="111" t="s">
        <v>2798</v>
      </c>
      <c r="BY17" s="111" t="s">
        <v>2798</v>
      </c>
      <c r="BZ17" s="111" t="s">
        <v>2798</v>
      </c>
      <c r="CA17" s="111" t="s">
        <v>2798</v>
      </c>
      <c r="CB17" s="111" t="s">
        <v>2798</v>
      </c>
      <c r="CC17" s="111" t="s">
        <v>2798</v>
      </c>
      <c r="CD17" s="111" t="s">
        <v>2798</v>
      </c>
      <c r="CE17" s="111" t="s">
        <v>2798</v>
      </c>
      <c r="CF17" s="111" t="s">
        <v>2798</v>
      </c>
      <c r="CG17" s="111" t="s">
        <v>2798</v>
      </c>
      <c r="CH17" s="111" t="s">
        <v>2798</v>
      </c>
      <c r="CI17" s="111" t="s">
        <v>2798</v>
      </c>
      <c r="CJ17" s="111" t="s">
        <v>2798</v>
      </c>
      <c r="CK17" s="111" t="s">
        <v>2798</v>
      </c>
      <c r="CL17" s="111" t="s">
        <v>2798</v>
      </c>
      <c r="CM17" s="111" t="s">
        <v>2798</v>
      </c>
      <c r="CN17" s="111" t="s">
        <v>2798</v>
      </c>
      <c r="CO17" s="111" t="s">
        <v>2798</v>
      </c>
      <c r="CP17" s="111" t="s">
        <v>2798</v>
      </c>
      <c r="CQ17" s="111" t="s">
        <v>2798</v>
      </c>
    </row>
    <row r="18" spans="2:95" ht="14.25" customHeight="1">
      <c r="B18" s="106" t="s">
        <v>723</v>
      </c>
      <c r="C18" s="106" t="s">
        <v>2809</v>
      </c>
      <c r="D18" s="109">
        <v>11576.896000000001</v>
      </c>
      <c r="E18" s="106" t="s">
        <v>1807</v>
      </c>
      <c r="F18" s="110">
        <v>43.613000000001193</v>
      </c>
      <c r="G18" s="106" t="s">
        <v>2795</v>
      </c>
      <c r="H18" s="102">
        <v>0</v>
      </c>
      <c r="I18" s="102">
        <v>0</v>
      </c>
      <c r="J18" s="111" t="s">
        <v>2798</v>
      </c>
      <c r="K18" s="111" t="s">
        <v>2798</v>
      </c>
      <c r="L18" s="111" t="s">
        <v>2798</v>
      </c>
      <c r="M18" s="111" t="s">
        <v>2798</v>
      </c>
      <c r="N18" s="111" t="s">
        <v>2798</v>
      </c>
      <c r="O18" s="111" t="s">
        <v>2798</v>
      </c>
      <c r="P18" s="111" t="s">
        <v>2798</v>
      </c>
      <c r="Q18" s="111" t="s">
        <v>2798</v>
      </c>
      <c r="R18" s="111" t="s">
        <v>2798</v>
      </c>
      <c r="S18" s="111" t="s">
        <v>2798</v>
      </c>
      <c r="T18" s="111" t="s">
        <v>2798</v>
      </c>
      <c r="U18" s="111" t="s">
        <v>2798</v>
      </c>
      <c r="V18" s="111" t="s">
        <v>2798</v>
      </c>
      <c r="W18" s="111" t="s">
        <v>2798</v>
      </c>
      <c r="X18" s="111" t="s">
        <v>2798</v>
      </c>
      <c r="Y18" s="111" t="s">
        <v>2798</v>
      </c>
      <c r="Z18" s="111" t="s">
        <v>2798</v>
      </c>
      <c r="AA18" s="111" t="s">
        <v>2798</v>
      </c>
      <c r="AB18" s="111" t="s">
        <v>2798</v>
      </c>
      <c r="AC18" s="111" t="s">
        <v>2798</v>
      </c>
      <c r="AD18" s="111" t="s">
        <v>2798</v>
      </c>
      <c r="AE18" s="111" t="s">
        <v>2798</v>
      </c>
      <c r="AF18" s="111" t="s">
        <v>2798</v>
      </c>
      <c r="AG18" s="111" t="s">
        <v>2798</v>
      </c>
      <c r="AH18" s="111" t="s">
        <v>2798</v>
      </c>
      <c r="AI18" s="111" t="s">
        <v>2798</v>
      </c>
      <c r="AJ18" s="111" t="s">
        <v>2798</v>
      </c>
      <c r="AK18" s="111" t="s">
        <v>2798</v>
      </c>
      <c r="AL18" s="111" t="s">
        <v>2798</v>
      </c>
      <c r="AM18" s="111" t="s">
        <v>2798</v>
      </c>
      <c r="AN18" s="111" t="s">
        <v>2798</v>
      </c>
      <c r="AO18" s="111" t="s">
        <v>2798</v>
      </c>
      <c r="AP18" s="111" t="s">
        <v>2798</v>
      </c>
      <c r="AQ18" s="111" t="s">
        <v>2798</v>
      </c>
      <c r="AR18" s="111" t="s">
        <v>2798</v>
      </c>
      <c r="AS18" s="111" t="s">
        <v>2798</v>
      </c>
      <c r="AT18" s="111" t="s">
        <v>2798</v>
      </c>
      <c r="AU18" s="111" t="s">
        <v>2798</v>
      </c>
      <c r="AV18" s="111" t="s">
        <v>2798</v>
      </c>
      <c r="AW18" s="111" t="s">
        <v>2798</v>
      </c>
      <c r="AX18" s="111" t="s">
        <v>2798</v>
      </c>
      <c r="AY18" s="111" t="s">
        <v>2798</v>
      </c>
      <c r="AZ18" s="111" t="s">
        <v>2798</v>
      </c>
      <c r="BA18" s="111" t="s">
        <v>2798</v>
      </c>
      <c r="BB18" s="111" t="s">
        <v>2798</v>
      </c>
      <c r="BC18" s="111" t="s">
        <v>2798</v>
      </c>
      <c r="BD18" s="111" t="s">
        <v>2798</v>
      </c>
      <c r="BE18" s="111" t="s">
        <v>2798</v>
      </c>
      <c r="BF18" s="111" t="s">
        <v>2798</v>
      </c>
      <c r="BG18" s="111" t="s">
        <v>2798</v>
      </c>
      <c r="BH18" s="111" t="s">
        <v>2798</v>
      </c>
      <c r="BI18" s="111" t="s">
        <v>2798</v>
      </c>
      <c r="BJ18" s="111" t="s">
        <v>2798</v>
      </c>
      <c r="BK18" s="111" t="s">
        <v>2798</v>
      </c>
      <c r="BL18" s="111" t="s">
        <v>2798</v>
      </c>
      <c r="BM18" s="111" t="s">
        <v>2762</v>
      </c>
      <c r="BN18" s="111" t="s">
        <v>2763</v>
      </c>
      <c r="BO18" s="111" t="s">
        <v>2764</v>
      </c>
      <c r="BP18" s="111" t="s">
        <v>2765</v>
      </c>
      <c r="BQ18" s="111" t="s">
        <v>2766</v>
      </c>
      <c r="BR18" s="111" t="s">
        <v>2767</v>
      </c>
      <c r="BS18" s="111" t="s">
        <v>2768</v>
      </c>
      <c r="BT18" s="111" t="s">
        <v>2769</v>
      </c>
      <c r="BU18" s="111" t="s">
        <v>2770</v>
      </c>
      <c r="BV18" s="111" t="s">
        <v>2771</v>
      </c>
      <c r="BW18" s="111" t="s">
        <v>2772</v>
      </c>
      <c r="BX18" s="111" t="s">
        <v>2773</v>
      </c>
      <c r="BY18" s="111" t="s">
        <v>2774</v>
      </c>
      <c r="BZ18" s="111" t="s">
        <v>2775</v>
      </c>
      <c r="CA18" s="111" t="s">
        <v>2776</v>
      </c>
      <c r="CB18" s="111" t="s">
        <v>2798</v>
      </c>
      <c r="CC18" s="111" t="s">
        <v>2798</v>
      </c>
      <c r="CD18" s="111" t="s">
        <v>2798</v>
      </c>
      <c r="CE18" s="111" t="s">
        <v>2798</v>
      </c>
      <c r="CF18" s="111" t="s">
        <v>2798</v>
      </c>
      <c r="CG18" s="111" t="s">
        <v>2798</v>
      </c>
      <c r="CH18" s="111" t="s">
        <v>2798</v>
      </c>
      <c r="CI18" s="111" t="s">
        <v>2798</v>
      </c>
      <c r="CJ18" s="111" t="s">
        <v>2798</v>
      </c>
      <c r="CK18" s="111" t="s">
        <v>2798</v>
      </c>
      <c r="CL18" s="111" t="s">
        <v>2798</v>
      </c>
      <c r="CM18" s="111" t="s">
        <v>2798</v>
      </c>
      <c r="CN18" s="111" t="s">
        <v>2798</v>
      </c>
      <c r="CO18" s="111" t="s">
        <v>2798</v>
      </c>
      <c r="CP18" s="111" t="s">
        <v>2798</v>
      </c>
      <c r="CQ18" s="111" t="s">
        <v>2798</v>
      </c>
    </row>
    <row r="19" spans="2:95" ht="14.25" customHeight="1">
      <c r="B19" s="106" t="s">
        <v>724</v>
      </c>
      <c r="C19" s="106" t="s">
        <v>2810</v>
      </c>
      <c r="D19" s="109">
        <v>11617.522999999999</v>
      </c>
      <c r="E19" s="106" t="s">
        <v>1807</v>
      </c>
      <c r="F19" s="110">
        <v>40.626999999998588</v>
      </c>
      <c r="G19" s="106" t="s">
        <v>2793</v>
      </c>
      <c r="H19" s="102">
        <v>0</v>
      </c>
      <c r="I19" s="102">
        <v>0</v>
      </c>
      <c r="J19" s="111" t="s">
        <v>2798</v>
      </c>
      <c r="K19" s="111" t="s">
        <v>2798</v>
      </c>
      <c r="L19" s="111" t="s">
        <v>2798</v>
      </c>
      <c r="M19" s="111" t="s">
        <v>2798</v>
      </c>
      <c r="N19" s="111" t="s">
        <v>2798</v>
      </c>
      <c r="O19" s="111" t="s">
        <v>2798</v>
      </c>
      <c r="P19" s="111" t="s">
        <v>2798</v>
      </c>
      <c r="Q19" s="111" t="s">
        <v>2798</v>
      </c>
      <c r="R19" s="111" t="s">
        <v>2798</v>
      </c>
      <c r="S19" s="111" t="s">
        <v>2798</v>
      </c>
      <c r="T19" s="111" t="s">
        <v>2798</v>
      </c>
      <c r="U19" s="111" t="s">
        <v>2798</v>
      </c>
      <c r="V19" s="111" t="s">
        <v>2798</v>
      </c>
      <c r="W19" s="111" t="s">
        <v>2798</v>
      </c>
      <c r="X19" s="111" t="s">
        <v>2798</v>
      </c>
      <c r="Y19" s="111" t="s">
        <v>2798</v>
      </c>
      <c r="Z19" s="111" t="s">
        <v>2798</v>
      </c>
      <c r="AA19" s="111" t="s">
        <v>2798</v>
      </c>
      <c r="AB19" s="111" t="s">
        <v>2798</v>
      </c>
      <c r="AC19" s="111" t="s">
        <v>2798</v>
      </c>
      <c r="AD19" s="111" t="s">
        <v>2798</v>
      </c>
      <c r="AE19" s="111" t="s">
        <v>2798</v>
      </c>
      <c r="AF19" s="111" t="s">
        <v>2798</v>
      </c>
      <c r="AG19" s="111" t="s">
        <v>2798</v>
      </c>
      <c r="AH19" s="111" t="s">
        <v>2798</v>
      </c>
      <c r="AI19" s="111" t="s">
        <v>2798</v>
      </c>
      <c r="AJ19" s="111" t="s">
        <v>2798</v>
      </c>
      <c r="AK19" s="111" t="s">
        <v>2798</v>
      </c>
      <c r="AL19" s="111" t="s">
        <v>2798</v>
      </c>
      <c r="AM19" s="111" t="s">
        <v>2798</v>
      </c>
      <c r="AN19" s="111" t="s">
        <v>2798</v>
      </c>
      <c r="AO19" s="111" t="s">
        <v>2798</v>
      </c>
      <c r="AP19" s="111" t="s">
        <v>2798</v>
      </c>
      <c r="AQ19" s="111" t="s">
        <v>2798</v>
      </c>
      <c r="AR19" s="111" t="s">
        <v>2798</v>
      </c>
      <c r="AS19" s="111" t="s">
        <v>2798</v>
      </c>
      <c r="AT19" s="111" t="s">
        <v>2798</v>
      </c>
      <c r="AU19" s="111" t="s">
        <v>2798</v>
      </c>
      <c r="AV19" s="111" t="s">
        <v>2798</v>
      </c>
      <c r="AW19" s="111" t="s">
        <v>2798</v>
      </c>
      <c r="AX19" s="111" t="s">
        <v>2798</v>
      </c>
      <c r="AY19" s="111" t="s">
        <v>2798</v>
      </c>
      <c r="AZ19" s="111" t="s">
        <v>2798</v>
      </c>
      <c r="BA19" s="111" t="s">
        <v>2798</v>
      </c>
      <c r="BB19" s="111" t="s">
        <v>2798</v>
      </c>
      <c r="BC19" s="111" t="s">
        <v>2798</v>
      </c>
      <c r="BD19" s="111" t="s">
        <v>2798</v>
      </c>
      <c r="BE19" s="111" t="s">
        <v>2798</v>
      </c>
      <c r="BF19" s="111" t="s">
        <v>2798</v>
      </c>
      <c r="BG19" s="111" t="s">
        <v>2798</v>
      </c>
      <c r="BH19" s="111" t="s">
        <v>2798</v>
      </c>
      <c r="BI19" s="111" t="s">
        <v>2798</v>
      </c>
      <c r="BJ19" s="111" t="s">
        <v>2798</v>
      </c>
      <c r="BK19" s="111" t="s">
        <v>2798</v>
      </c>
      <c r="BL19" s="111" t="s">
        <v>2798</v>
      </c>
      <c r="BM19" s="111" t="s">
        <v>2798</v>
      </c>
      <c r="BN19" s="111" t="s">
        <v>2798</v>
      </c>
      <c r="BO19" s="111" t="s">
        <v>2798</v>
      </c>
      <c r="BP19" s="111" t="s">
        <v>2798</v>
      </c>
      <c r="BQ19" s="111" t="s">
        <v>2798</v>
      </c>
      <c r="BR19" s="111" t="s">
        <v>2798</v>
      </c>
      <c r="BS19" s="111" t="s">
        <v>2798</v>
      </c>
      <c r="BT19" s="111" t="s">
        <v>2798</v>
      </c>
      <c r="BU19" s="111" t="s">
        <v>2798</v>
      </c>
      <c r="BV19" s="111" t="s">
        <v>2798</v>
      </c>
      <c r="BW19" s="111" t="s">
        <v>2798</v>
      </c>
      <c r="BX19" s="111" t="s">
        <v>2798</v>
      </c>
      <c r="BY19" s="111" t="s">
        <v>2798</v>
      </c>
      <c r="BZ19" s="111" t="s">
        <v>2798</v>
      </c>
      <c r="CA19" s="111" t="s">
        <v>2798</v>
      </c>
      <c r="CB19" s="111" t="s">
        <v>2777</v>
      </c>
      <c r="CC19" s="111" t="s">
        <v>2778</v>
      </c>
      <c r="CD19" s="111" t="s">
        <v>2779</v>
      </c>
      <c r="CE19" s="111" t="s">
        <v>2780</v>
      </c>
      <c r="CF19" s="111" t="s">
        <v>2781</v>
      </c>
      <c r="CG19" s="111" t="s">
        <v>2782</v>
      </c>
      <c r="CH19" s="111" t="s">
        <v>2783</v>
      </c>
      <c r="CI19" s="111" t="s">
        <v>2798</v>
      </c>
      <c r="CJ19" s="111" t="s">
        <v>2798</v>
      </c>
      <c r="CK19" s="111" t="s">
        <v>2786</v>
      </c>
      <c r="CL19" s="111" t="s">
        <v>2787</v>
      </c>
      <c r="CM19" s="111" t="s">
        <v>2788</v>
      </c>
      <c r="CN19" s="111" t="s">
        <v>2789</v>
      </c>
      <c r="CO19" s="111" t="s">
        <v>2790</v>
      </c>
      <c r="CP19" s="111" t="s">
        <v>2791</v>
      </c>
      <c r="CQ19" s="111" t="s">
        <v>2792</v>
      </c>
    </row>
    <row r="20" spans="2:95" ht="14.25" customHeight="1">
      <c r="B20" s="106" t="s">
        <v>725</v>
      </c>
      <c r="C20" s="106" t="s">
        <v>2811</v>
      </c>
      <c r="D20" s="109">
        <v>11658.151</v>
      </c>
      <c r="E20" s="106" t="s">
        <v>1844</v>
      </c>
      <c r="F20" s="110">
        <v>40.628000000000611</v>
      </c>
      <c r="G20" s="106" t="s">
        <v>2795</v>
      </c>
      <c r="H20" s="102">
        <v>0</v>
      </c>
      <c r="I20" s="102">
        <v>0</v>
      </c>
      <c r="J20" s="111" t="s">
        <v>87</v>
      </c>
      <c r="K20" s="111" t="s">
        <v>2708</v>
      </c>
      <c r="L20" s="111" t="s">
        <v>2709</v>
      </c>
      <c r="M20" s="111" t="s">
        <v>2710</v>
      </c>
      <c r="N20" s="111" t="s">
        <v>2711</v>
      </c>
      <c r="O20" s="111" t="s">
        <v>2712</v>
      </c>
      <c r="P20" s="111" t="s">
        <v>2713</v>
      </c>
      <c r="Q20" s="111" t="s">
        <v>2714</v>
      </c>
      <c r="R20" s="111" t="s">
        <v>2715</v>
      </c>
      <c r="S20" s="111" t="s">
        <v>2716</v>
      </c>
      <c r="T20" s="111" t="s">
        <v>2717</v>
      </c>
      <c r="U20" s="111" t="s">
        <v>2718</v>
      </c>
      <c r="V20" s="111" t="s">
        <v>2719</v>
      </c>
      <c r="W20" s="111" t="s">
        <v>2720</v>
      </c>
      <c r="X20" s="111" t="s">
        <v>2798</v>
      </c>
      <c r="Y20" s="111" t="s">
        <v>2798</v>
      </c>
      <c r="Z20" s="111" t="s">
        <v>2798</v>
      </c>
      <c r="AA20" s="111" t="s">
        <v>2798</v>
      </c>
      <c r="AB20" s="111" t="s">
        <v>2798</v>
      </c>
      <c r="AC20" s="111" t="s">
        <v>2798</v>
      </c>
      <c r="AD20" s="111" t="s">
        <v>2798</v>
      </c>
      <c r="AE20" s="111" t="s">
        <v>2798</v>
      </c>
      <c r="AF20" s="111" t="s">
        <v>2798</v>
      </c>
      <c r="AG20" s="111" t="s">
        <v>2798</v>
      </c>
      <c r="AH20" s="111" t="s">
        <v>2798</v>
      </c>
      <c r="AI20" s="111" t="s">
        <v>2798</v>
      </c>
      <c r="AJ20" s="111" t="s">
        <v>2798</v>
      </c>
      <c r="AK20" s="111" t="s">
        <v>2798</v>
      </c>
      <c r="AL20" s="111" t="s">
        <v>2798</v>
      </c>
      <c r="AM20" s="111" t="s">
        <v>2798</v>
      </c>
      <c r="AN20" s="111" t="s">
        <v>2798</v>
      </c>
      <c r="AO20" s="111" t="s">
        <v>2798</v>
      </c>
      <c r="AP20" s="111" t="s">
        <v>2798</v>
      </c>
      <c r="AQ20" s="111" t="s">
        <v>2798</v>
      </c>
      <c r="AR20" s="111" t="s">
        <v>2798</v>
      </c>
      <c r="AS20" s="111" t="s">
        <v>2798</v>
      </c>
      <c r="AT20" s="111" t="s">
        <v>2798</v>
      </c>
      <c r="AU20" s="111" t="s">
        <v>2798</v>
      </c>
      <c r="AV20" s="111" t="s">
        <v>2798</v>
      </c>
      <c r="AW20" s="111" t="s">
        <v>2798</v>
      </c>
      <c r="AX20" s="111" t="s">
        <v>2798</v>
      </c>
      <c r="AY20" s="111" t="s">
        <v>2798</v>
      </c>
      <c r="AZ20" s="111" t="s">
        <v>2798</v>
      </c>
      <c r="BA20" s="111" t="s">
        <v>2798</v>
      </c>
      <c r="BB20" s="111" t="s">
        <v>2798</v>
      </c>
      <c r="BC20" s="111" t="s">
        <v>2798</v>
      </c>
      <c r="BD20" s="111" t="s">
        <v>2798</v>
      </c>
      <c r="BE20" s="111" t="s">
        <v>2798</v>
      </c>
      <c r="BF20" s="111" t="s">
        <v>2798</v>
      </c>
      <c r="BG20" s="111" t="s">
        <v>2798</v>
      </c>
      <c r="BH20" s="111" t="s">
        <v>2798</v>
      </c>
      <c r="BI20" s="111" t="s">
        <v>2798</v>
      </c>
      <c r="BJ20" s="111" t="s">
        <v>2798</v>
      </c>
      <c r="BK20" s="111" t="s">
        <v>2798</v>
      </c>
      <c r="BL20" s="111" t="s">
        <v>2798</v>
      </c>
      <c r="BM20" s="111" t="s">
        <v>2798</v>
      </c>
      <c r="BN20" s="111" t="s">
        <v>2798</v>
      </c>
      <c r="BO20" s="111" t="s">
        <v>2798</v>
      </c>
      <c r="BP20" s="111" t="s">
        <v>2798</v>
      </c>
      <c r="BQ20" s="111" t="s">
        <v>2798</v>
      </c>
      <c r="BR20" s="111" t="s">
        <v>2798</v>
      </c>
      <c r="BS20" s="111" t="s">
        <v>2798</v>
      </c>
      <c r="BT20" s="111" t="s">
        <v>2798</v>
      </c>
      <c r="BU20" s="111" t="s">
        <v>2798</v>
      </c>
      <c r="BV20" s="111" t="s">
        <v>2798</v>
      </c>
      <c r="BW20" s="111" t="s">
        <v>2798</v>
      </c>
      <c r="BX20" s="111" t="s">
        <v>2798</v>
      </c>
      <c r="BY20" s="111" t="s">
        <v>2798</v>
      </c>
      <c r="BZ20" s="111" t="s">
        <v>2798</v>
      </c>
      <c r="CA20" s="111" t="s">
        <v>2798</v>
      </c>
      <c r="CB20" s="111" t="s">
        <v>2798</v>
      </c>
      <c r="CC20" s="111" t="s">
        <v>2798</v>
      </c>
      <c r="CD20" s="111" t="s">
        <v>2798</v>
      </c>
      <c r="CE20" s="111" t="s">
        <v>2798</v>
      </c>
      <c r="CF20" s="111" t="s">
        <v>2798</v>
      </c>
      <c r="CG20" s="111" t="s">
        <v>2798</v>
      </c>
      <c r="CH20" s="111" t="s">
        <v>2798</v>
      </c>
      <c r="CI20" s="111" t="s">
        <v>2798</v>
      </c>
      <c r="CJ20" s="111" t="s">
        <v>2798</v>
      </c>
      <c r="CK20" s="111" t="s">
        <v>2798</v>
      </c>
      <c r="CL20" s="111" t="s">
        <v>2798</v>
      </c>
      <c r="CM20" s="111" t="s">
        <v>2798</v>
      </c>
      <c r="CN20" s="111" t="s">
        <v>2798</v>
      </c>
      <c r="CO20" s="111" t="s">
        <v>2798</v>
      </c>
      <c r="CP20" s="111" t="s">
        <v>2798</v>
      </c>
      <c r="CQ20" s="111" t="s">
        <v>2798</v>
      </c>
    </row>
    <row r="21" spans="2:95" ht="14.25" customHeight="1">
      <c r="B21" s="106" t="s">
        <v>726</v>
      </c>
      <c r="C21" s="106" t="s">
        <v>2812</v>
      </c>
      <c r="D21" s="109">
        <v>11698.843000000001</v>
      </c>
      <c r="E21" s="106" t="s">
        <v>1844</v>
      </c>
      <c r="F21" s="110">
        <v>40.692000000000917</v>
      </c>
      <c r="G21" s="106" t="s">
        <v>2795</v>
      </c>
      <c r="H21" s="102">
        <v>0</v>
      </c>
      <c r="I21" s="102">
        <v>0</v>
      </c>
      <c r="J21" s="111" t="s">
        <v>2798</v>
      </c>
      <c r="K21" s="111" t="s">
        <v>2798</v>
      </c>
      <c r="L21" s="111" t="s">
        <v>2798</v>
      </c>
      <c r="M21" s="111" t="s">
        <v>2798</v>
      </c>
      <c r="N21" s="111" t="s">
        <v>2798</v>
      </c>
      <c r="O21" s="111" t="s">
        <v>2798</v>
      </c>
      <c r="P21" s="111" t="s">
        <v>2798</v>
      </c>
      <c r="Q21" s="111" t="s">
        <v>2798</v>
      </c>
      <c r="R21" s="111" t="s">
        <v>2798</v>
      </c>
      <c r="S21" s="111" t="s">
        <v>2798</v>
      </c>
      <c r="T21" s="111" t="s">
        <v>2798</v>
      </c>
      <c r="U21" s="111" t="s">
        <v>2798</v>
      </c>
      <c r="V21" s="111" t="s">
        <v>2798</v>
      </c>
      <c r="W21" s="111" t="s">
        <v>2798</v>
      </c>
      <c r="X21" s="111" t="s">
        <v>2721</v>
      </c>
      <c r="Y21" s="111" t="s">
        <v>2722</v>
      </c>
      <c r="Z21" s="111" t="s">
        <v>2723</v>
      </c>
      <c r="AA21" s="111" t="s">
        <v>2724</v>
      </c>
      <c r="AB21" s="111" t="s">
        <v>2725</v>
      </c>
      <c r="AC21" s="111" t="s">
        <v>2726</v>
      </c>
      <c r="AD21" s="111" t="s">
        <v>2727</v>
      </c>
      <c r="AE21" s="111" t="s">
        <v>2798</v>
      </c>
      <c r="AF21" s="111" t="s">
        <v>2798</v>
      </c>
      <c r="AG21" s="111" t="s">
        <v>2798</v>
      </c>
      <c r="AH21" s="111" t="s">
        <v>2798</v>
      </c>
      <c r="AI21" s="111" t="s">
        <v>2798</v>
      </c>
      <c r="AJ21" s="111" t="s">
        <v>2798</v>
      </c>
      <c r="AK21" s="111" t="s">
        <v>2798</v>
      </c>
      <c r="AL21" s="111" t="s">
        <v>2798</v>
      </c>
      <c r="AM21" s="111" t="s">
        <v>2798</v>
      </c>
      <c r="AN21" s="111" t="s">
        <v>2798</v>
      </c>
      <c r="AO21" s="111" t="s">
        <v>2798</v>
      </c>
      <c r="AP21" s="111" t="s">
        <v>2798</v>
      </c>
      <c r="AQ21" s="111" t="s">
        <v>2798</v>
      </c>
      <c r="AR21" s="111" t="s">
        <v>2798</v>
      </c>
      <c r="AS21" s="111" t="s">
        <v>2798</v>
      </c>
      <c r="AT21" s="111" t="s">
        <v>2798</v>
      </c>
      <c r="AU21" s="111" t="s">
        <v>2798</v>
      </c>
      <c r="AV21" s="111" t="s">
        <v>2798</v>
      </c>
      <c r="AW21" s="111" t="s">
        <v>2798</v>
      </c>
      <c r="AX21" s="111" t="s">
        <v>2798</v>
      </c>
      <c r="AY21" s="111" t="s">
        <v>2798</v>
      </c>
      <c r="AZ21" s="111" t="s">
        <v>2798</v>
      </c>
      <c r="BA21" s="111" t="s">
        <v>2798</v>
      </c>
      <c r="BB21" s="111" t="s">
        <v>2798</v>
      </c>
      <c r="BC21" s="111" t="s">
        <v>2798</v>
      </c>
      <c r="BD21" s="111" t="s">
        <v>2798</v>
      </c>
      <c r="BE21" s="111" t="s">
        <v>2798</v>
      </c>
      <c r="BF21" s="111" t="s">
        <v>2798</v>
      </c>
      <c r="BG21" s="111" t="s">
        <v>2798</v>
      </c>
      <c r="BH21" s="111" t="s">
        <v>2798</v>
      </c>
      <c r="BI21" s="111" t="s">
        <v>2798</v>
      </c>
      <c r="BJ21" s="111" t="s">
        <v>2798</v>
      </c>
      <c r="BK21" s="111" t="s">
        <v>2798</v>
      </c>
      <c r="BL21" s="111" t="s">
        <v>2798</v>
      </c>
      <c r="BM21" s="111" t="s">
        <v>2798</v>
      </c>
      <c r="BN21" s="111" t="s">
        <v>2798</v>
      </c>
      <c r="BO21" s="111" t="s">
        <v>2798</v>
      </c>
      <c r="BP21" s="111" t="s">
        <v>2798</v>
      </c>
      <c r="BQ21" s="111" t="s">
        <v>2798</v>
      </c>
      <c r="BR21" s="111" t="s">
        <v>2798</v>
      </c>
      <c r="BS21" s="111" t="s">
        <v>2798</v>
      </c>
      <c r="BT21" s="111" t="s">
        <v>2798</v>
      </c>
      <c r="BU21" s="111" t="s">
        <v>2798</v>
      </c>
      <c r="BV21" s="111" t="s">
        <v>2771</v>
      </c>
      <c r="BW21" s="111" t="s">
        <v>2772</v>
      </c>
      <c r="BX21" s="111" t="s">
        <v>2773</v>
      </c>
      <c r="BY21" s="111" t="s">
        <v>2774</v>
      </c>
      <c r="BZ21" s="111" t="s">
        <v>2775</v>
      </c>
      <c r="CA21" s="111" t="s">
        <v>2776</v>
      </c>
      <c r="CB21" s="111" t="s">
        <v>2777</v>
      </c>
      <c r="CC21" s="111" t="s">
        <v>2798</v>
      </c>
      <c r="CD21" s="111" t="s">
        <v>2798</v>
      </c>
      <c r="CE21" s="111" t="s">
        <v>2798</v>
      </c>
      <c r="CF21" s="111" t="s">
        <v>2798</v>
      </c>
      <c r="CG21" s="111" t="s">
        <v>2798</v>
      </c>
      <c r="CH21" s="111" t="s">
        <v>2798</v>
      </c>
      <c r="CI21" s="111" t="s">
        <v>2798</v>
      </c>
      <c r="CJ21" s="111" t="s">
        <v>2798</v>
      </c>
      <c r="CK21" s="111" t="s">
        <v>2798</v>
      </c>
      <c r="CL21" s="111" t="s">
        <v>2798</v>
      </c>
      <c r="CM21" s="111" t="s">
        <v>2798</v>
      </c>
      <c r="CN21" s="111" t="s">
        <v>2798</v>
      </c>
      <c r="CO21" s="111" t="s">
        <v>2798</v>
      </c>
      <c r="CP21" s="111" t="s">
        <v>2798</v>
      </c>
      <c r="CQ21" s="111" t="s">
        <v>2798</v>
      </c>
    </row>
    <row r="22" spans="2:95" ht="14.25" customHeight="1">
      <c r="B22" s="106" t="s">
        <v>727</v>
      </c>
      <c r="C22" s="106" t="s">
        <v>2813</v>
      </c>
      <c r="D22" s="109">
        <v>11739.536</v>
      </c>
      <c r="E22" s="106" t="s">
        <v>1844</v>
      </c>
      <c r="F22" s="110">
        <v>40.692999999999302</v>
      </c>
      <c r="G22" s="106" t="s">
        <v>2793</v>
      </c>
      <c r="H22" s="102">
        <v>0</v>
      </c>
      <c r="I22" s="102">
        <v>0</v>
      </c>
      <c r="J22" s="111" t="s">
        <v>2798</v>
      </c>
      <c r="K22" s="111" t="s">
        <v>2798</v>
      </c>
      <c r="L22" s="111" t="s">
        <v>2798</v>
      </c>
      <c r="M22" s="111" t="s">
        <v>2798</v>
      </c>
      <c r="N22" s="111" t="s">
        <v>2798</v>
      </c>
      <c r="O22" s="111" t="s">
        <v>2798</v>
      </c>
      <c r="P22" s="111" t="s">
        <v>2798</v>
      </c>
      <c r="Q22" s="111" t="s">
        <v>2798</v>
      </c>
      <c r="R22" s="111" t="s">
        <v>2798</v>
      </c>
      <c r="S22" s="111" t="s">
        <v>2798</v>
      </c>
      <c r="T22" s="111" t="s">
        <v>2798</v>
      </c>
      <c r="U22" s="111" t="s">
        <v>2798</v>
      </c>
      <c r="V22" s="111" t="s">
        <v>2798</v>
      </c>
      <c r="W22" s="111" t="s">
        <v>2798</v>
      </c>
      <c r="X22" s="111" t="s">
        <v>2798</v>
      </c>
      <c r="Y22" s="111" t="s">
        <v>2798</v>
      </c>
      <c r="Z22" s="111" t="s">
        <v>2798</v>
      </c>
      <c r="AA22" s="111" t="s">
        <v>2798</v>
      </c>
      <c r="AB22" s="111" t="s">
        <v>2798</v>
      </c>
      <c r="AC22" s="111" t="s">
        <v>2798</v>
      </c>
      <c r="AD22" s="111" t="s">
        <v>2798</v>
      </c>
      <c r="AE22" s="111" t="s">
        <v>2798</v>
      </c>
      <c r="AF22" s="111" t="s">
        <v>2798</v>
      </c>
      <c r="AG22" s="111" t="s">
        <v>2798</v>
      </c>
      <c r="AH22" s="111" t="s">
        <v>2798</v>
      </c>
      <c r="AI22" s="111" t="s">
        <v>2798</v>
      </c>
      <c r="AJ22" s="111" t="s">
        <v>2798</v>
      </c>
      <c r="AK22" s="111" t="s">
        <v>2798</v>
      </c>
      <c r="AL22" s="111" t="s">
        <v>2798</v>
      </c>
      <c r="AM22" s="111" t="s">
        <v>2798</v>
      </c>
      <c r="AN22" s="111" t="s">
        <v>2798</v>
      </c>
      <c r="AO22" s="111" t="s">
        <v>2798</v>
      </c>
      <c r="AP22" s="111" t="s">
        <v>2798</v>
      </c>
      <c r="AQ22" s="111" t="s">
        <v>2798</v>
      </c>
      <c r="AR22" s="111" t="s">
        <v>2798</v>
      </c>
      <c r="AS22" s="111" t="s">
        <v>2798</v>
      </c>
      <c r="AT22" s="111" t="s">
        <v>2798</v>
      </c>
      <c r="AU22" s="111" t="s">
        <v>2798</v>
      </c>
      <c r="AV22" s="111" t="s">
        <v>2798</v>
      </c>
      <c r="AW22" s="111" t="s">
        <v>2798</v>
      </c>
      <c r="AX22" s="111" t="s">
        <v>2798</v>
      </c>
      <c r="AY22" s="111" t="s">
        <v>2798</v>
      </c>
      <c r="AZ22" s="111" t="s">
        <v>2798</v>
      </c>
      <c r="BA22" s="111" t="s">
        <v>2798</v>
      </c>
      <c r="BB22" s="111" t="s">
        <v>2798</v>
      </c>
      <c r="BC22" s="111" t="s">
        <v>2798</v>
      </c>
      <c r="BD22" s="111" t="s">
        <v>2798</v>
      </c>
      <c r="BE22" s="111" t="s">
        <v>2798</v>
      </c>
      <c r="BF22" s="111" t="s">
        <v>2798</v>
      </c>
      <c r="BG22" s="111" t="s">
        <v>2798</v>
      </c>
      <c r="BH22" s="111" t="s">
        <v>2798</v>
      </c>
      <c r="BI22" s="111" t="s">
        <v>2798</v>
      </c>
      <c r="BJ22" s="111" t="s">
        <v>2798</v>
      </c>
      <c r="BK22" s="111" t="s">
        <v>2798</v>
      </c>
      <c r="BL22" s="111" t="s">
        <v>2798</v>
      </c>
      <c r="BM22" s="111" t="s">
        <v>2798</v>
      </c>
      <c r="BN22" s="111" t="s">
        <v>2798</v>
      </c>
      <c r="BO22" s="111" t="s">
        <v>2798</v>
      </c>
      <c r="BP22" s="111" t="s">
        <v>2798</v>
      </c>
      <c r="BQ22" s="111" t="s">
        <v>2798</v>
      </c>
      <c r="BR22" s="111" t="s">
        <v>2798</v>
      </c>
      <c r="BS22" s="111" t="s">
        <v>2798</v>
      </c>
      <c r="BT22" s="111" t="s">
        <v>2798</v>
      </c>
      <c r="BU22" s="111" t="s">
        <v>2798</v>
      </c>
      <c r="BV22" s="111" t="s">
        <v>2798</v>
      </c>
      <c r="BW22" s="111" t="s">
        <v>2798</v>
      </c>
      <c r="BX22" s="111" t="s">
        <v>2798</v>
      </c>
      <c r="BY22" s="111" t="s">
        <v>2798</v>
      </c>
      <c r="BZ22" s="111" t="s">
        <v>2798</v>
      </c>
      <c r="CA22" s="111" t="s">
        <v>2798</v>
      </c>
      <c r="CB22" s="111" t="s">
        <v>2798</v>
      </c>
      <c r="CC22" s="111" t="s">
        <v>2778</v>
      </c>
      <c r="CD22" s="111" t="s">
        <v>2779</v>
      </c>
      <c r="CE22" s="111" t="s">
        <v>2780</v>
      </c>
      <c r="CF22" s="111" t="s">
        <v>2781</v>
      </c>
      <c r="CG22" s="111" t="s">
        <v>2782</v>
      </c>
      <c r="CH22" s="111" t="s">
        <v>2783</v>
      </c>
      <c r="CI22" s="111" t="s">
        <v>2798</v>
      </c>
      <c r="CJ22" s="111" t="s">
        <v>2785</v>
      </c>
      <c r="CK22" s="111" t="s">
        <v>2786</v>
      </c>
      <c r="CL22" s="111" t="s">
        <v>2787</v>
      </c>
      <c r="CM22" s="111" t="s">
        <v>2788</v>
      </c>
      <c r="CN22" s="111" t="s">
        <v>2789</v>
      </c>
      <c r="CO22" s="111" t="s">
        <v>2790</v>
      </c>
      <c r="CP22" s="111" t="s">
        <v>2791</v>
      </c>
      <c r="CQ22" s="111" t="s">
        <v>2792</v>
      </c>
    </row>
    <row r="23" spans="2:95" ht="14.25" customHeight="1">
      <c r="B23" s="106" t="s">
        <v>728</v>
      </c>
      <c r="C23" s="106" t="s">
        <v>2814</v>
      </c>
      <c r="D23" s="109">
        <v>11780.45</v>
      </c>
      <c r="E23" s="106" t="s">
        <v>1857</v>
      </c>
      <c r="F23" s="110">
        <v>40.914000000000669</v>
      </c>
      <c r="G23" s="106" t="s">
        <v>2795</v>
      </c>
      <c r="H23" s="102">
        <v>0</v>
      </c>
      <c r="I23" s="102">
        <v>0</v>
      </c>
      <c r="J23" s="111" t="s">
        <v>87</v>
      </c>
      <c r="K23" s="111" t="s">
        <v>2708</v>
      </c>
      <c r="L23" s="111" t="s">
        <v>2709</v>
      </c>
      <c r="M23" s="111" t="s">
        <v>2710</v>
      </c>
      <c r="N23" s="111" t="s">
        <v>2711</v>
      </c>
      <c r="O23" s="111" t="s">
        <v>2712</v>
      </c>
      <c r="P23" s="111" t="s">
        <v>2713</v>
      </c>
      <c r="Q23" s="111" t="s">
        <v>2714</v>
      </c>
      <c r="R23" s="111" t="s">
        <v>2715</v>
      </c>
      <c r="S23" s="111" t="s">
        <v>2716</v>
      </c>
      <c r="T23" s="111" t="s">
        <v>2717</v>
      </c>
      <c r="U23" s="111" t="s">
        <v>2718</v>
      </c>
      <c r="V23" s="111" t="s">
        <v>2719</v>
      </c>
      <c r="W23" s="111" t="s">
        <v>2720</v>
      </c>
      <c r="X23" s="111" t="s">
        <v>2798</v>
      </c>
      <c r="Y23" s="111" t="s">
        <v>2798</v>
      </c>
      <c r="Z23" s="111" t="s">
        <v>2798</v>
      </c>
      <c r="AA23" s="111" t="s">
        <v>2798</v>
      </c>
      <c r="AB23" s="111" t="s">
        <v>2798</v>
      </c>
      <c r="AC23" s="111" t="s">
        <v>2798</v>
      </c>
      <c r="AD23" s="111" t="s">
        <v>2798</v>
      </c>
      <c r="AE23" s="111" t="s">
        <v>2798</v>
      </c>
      <c r="AF23" s="111" t="s">
        <v>2798</v>
      </c>
      <c r="AG23" s="111" t="s">
        <v>2798</v>
      </c>
      <c r="AH23" s="111" t="s">
        <v>2798</v>
      </c>
      <c r="AI23" s="111" t="s">
        <v>2798</v>
      </c>
      <c r="AJ23" s="111" t="s">
        <v>2798</v>
      </c>
      <c r="AK23" s="111" t="s">
        <v>2798</v>
      </c>
      <c r="AL23" s="111" t="s">
        <v>2798</v>
      </c>
      <c r="AM23" s="111" t="s">
        <v>2798</v>
      </c>
      <c r="AN23" s="111" t="s">
        <v>2798</v>
      </c>
      <c r="AO23" s="111" t="s">
        <v>2798</v>
      </c>
      <c r="AP23" s="111" t="s">
        <v>2798</v>
      </c>
      <c r="AQ23" s="111" t="s">
        <v>2798</v>
      </c>
      <c r="AR23" s="111" t="s">
        <v>2798</v>
      </c>
      <c r="AS23" s="111" t="s">
        <v>2798</v>
      </c>
      <c r="AT23" s="111" t="s">
        <v>2798</v>
      </c>
      <c r="AU23" s="111" t="s">
        <v>2798</v>
      </c>
      <c r="AV23" s="111" t="s">
        <v>2798</v>
      </c>
      <c r="AW23" s="111" t="s">
        <v>2798</v>
      </c>
      <c r="AX23" s="111" t="s">
        <v>2798</v>
      </c>
      <c r="AY23" s="111" t="s">
        <v>2798</v>
      </c>
      <c r="AZ23" s="111" t="s">
        <v>2798</v>
      </c>
      <c r="BA23" s="111" t="s">
        <v>2798</v>
      </c>
      <c r="BB23" s="111" t="s">
        <v>2798</v>
      </c>
      <c r="BC23" s="111" t="s">
        <v>2798</v>
      </c>
      <c r="BD23" s="111" t="s">
        <v>2798</v>
      </c>
      <c r="BE23" s="111" t="s">
        <v>2798</v>
      </c>
      <c r="BF23" s="111" t="s">
        <v>2798</v>
      </c>
      <c r="BG23" s="111" t="s">
        <v>2798</v>
      </c>
      <c r="BH23" s="111" t="s">
        <v>2798</v>
      </c>
      <c r="BI23" s="111" t="s">
        <v>2798</v>
      </c>
      <c r="BJ23" s="111" t="s">
        <v>2798</v>
      </c>
      <c r="BK23" s="111" t="s">
        <v>2798</v>
      </c>
      <c r="BL23" s="111" t="s">
        <v>2798</v>
      </c>
      <c r="BM23" s="111" t="s">
        <v>2798</v>
      </c>
      <c r="BN23" s="111" t="s">
        <v>2798</v>
      </c>
      <c r="BO23" s="111" t="s">
        <v>2798</v>
      </c>
      <c r="BP23" s="111" t="s">
        <v>2798</v>
      </c>
      <c r="BQ23" s="111" t="s">
        <v>2798</v>
      </c>
      <c r="BR23" s="111" t="s">
        <v>2798</v>
      </c>
      <c r="BS23" s="111" t="s">
        <v>2798</v>
      </c>
      <c r="BT23" s="111" t="s">
        <v>2798</v>
      </c>
      <c r="BU23" s="111" t="s">
        <v>2798</v>
      </c>
      <c r="BV23" s="111" t="s">
        <v>2798</v>
      </c>
      <c r="BW23" s="111" t="s">
        <v>2798</v>
      </c>
      <c r="BX23" s="111" t="s">
        <v>2798</v>
      </c>
      <c r="BY23" s="111" t="s">
        <v>2798</v>
      </c>
      <c r="BZ23" s="111" t="s">
        <v>2798</v>
      </c>
      <c r="CA23" s="111" t="s">
        <v>2798</v>
      </c>
      <c r="CB23" s="111" t="s">
        <v>2798</v>
      </c>
      <c r="CC23" s="111" t="s">
        <v>2798</v>
      </c>
      <c r="CD23" s="111" t="s">
        <v>2798</v>
      </c>
      <c r="CE23" s="111" t="s">
        <v>2798</v>
      </c>
      <c r="CF23" s="111" t="s">
        <v>2798</v>
      </c>
      <c r="CG23" s="111" t="s">
        <v>2798</v>
      </c>
      <c r="CH23" s="111" t="s">
        <v>2798</v>
      </c>
      <c r="CI23" s="111" t="s">
        <v>2798</v>
      </c>
      <c r="CJ23" s="111" t="s">
        <v>2798</v>
      </c>
      <c r="CK23" s="111" t="s">
        <v>2798</v>
      </c>
      <c r="CL23" s="111" t="s">
        <v>2798</v>
      </c>
      <c r="CM23" s="111" t="s">
        <v>2798</v>
      </c>
      <c r="CN23" s="111" t="s">
        <v>2798</v>
      </c>
      <c r="CO23" s="111" t="s">
        <v>2798</v>
      </c>
      <c r="CP23" s="111" t="s">
        <v>2798</v>
      </c>
      <c r="CQ23" s="111" t="s">
        <v>2798</v>
      </c>
    </row>
    <row r="24" spans="2:95" ht="14.25" customHeight="1">
      <c r="B24" s="106" t="s">
        <v>729</v>
      </c>
      <c r="C24" s="106" t="s">
        <v>2815</v>
      </c>
      <c r="D24" s="109">
        <v>11821.050999999999</v>
      </c>
      <c r="E24" s="106" t="s">
        <v>1857</v>
      </c>
      <c r="F24" s="110">
        <v>40.600999999998749</v>
      </c>
      <c r="G24" s="106" t="s">
        <v>2795</v>
      </c>
      <c r="H24" s="102">
        <v>0</v>
      </c>
      <c r="I24" s="102">
        <v>0</v>
      </c>
      <c r="J24" s="111" t="s">
        <v>2798</v>
      </c>
      <c r="K24" s="111" t="s">
        <v>2798</v>
      </c>
      <c r="L24" s="111" t="s">
        <v>2798</v>
      </c>
      <c r="M24" s="111" t="s">
        <v>2798</v>
      </c>
      <c r="N24" s="111" t="s">
        <v>2798</v>
      </c>
      <c r="O24" s="111" t="s">
        <v>2798</v>
      </c>
      <c r="P24" s="111" t="s">
        <v>2798</v>
      </c>
      <c r="Q24" s="111" t="s">
        <v>2798</v>
      </c>
      <c r="R24" s="111" t="s">
        <v>2798</v>
      </c>
      <c r="S24" s="111" t="s">
        <v>2798</v>
      </c>
      <c r="T24" s="111" t="s">
        <v>2798</v>
      </c>
      <c r="U24" s="111" t="s">
        <v>2798</v>
      </c>
      <c r="V24" s="111" t="s">
        <v>2798</v>
      </c>
      <c r="W24" s="111" t="s">
        <v>2798</v>
      </c>
      <c r="X24" s="111" t="s">
        <v>2721</v>
      </c>
      <c r="Y24" s="111" t="s">
        <v>2722</v>
      </c>
      <c r="Z24" s="111" t="s">
        <v>2723</v>
      </c>
      <c r="AA24" s="111" t="s">
        <v>2724</v>
      </c>
      <c r="AB24" s="111" t="s">
        <v>2725</v>
      </c>
      <c r="AC24" s="111" t="s">
        <v>2726</v>
      </c>
      <c r="AD24" s="111" t="s">
        <v>2727</v>
      </c>
      <c r="AE24" s="111" t="s">
        <v>2728</v>
      </c>
      <c r="AF24" s="111" t="s">
        <v>2729</v>
      </c>
      <c r="AG24" s="111" t="s">
        <v>2730</v>
      </c>
      <c r="AH24" s="111" t="s">
        <v>2731</v>
      </c>
      <c r="AI24" s="111" t="s">
        <v>2732</v>
      </c>
      <c r="AJ24" s="111" t="s">
        <v>2733</v>
      </c>
      <c r="AK24" s="111" t="s">
        <v>2734</v>
      </c>
      <c r="AL24" s="111" t="s">
        <v>2798</v>
      </c>
      <c r="AM24" s="111" t="s">
        <v>2798</v>
      </c>
      <c r="AN24" s="111" t="s">
        <v>2798</v>
      </c>
      <c r="AO24" s="111" t="s">
        <v>2798</v>
      </c>
      <c r="AP24" s="111" t="s">
        <v>2798</v>
      </c>
      <c r="AQ24" s="111" t="s">
        <v>2798</v>
      </c>
      <c r="AR24" s="111" t="s">
        <v>2798</v>
      </c>
      <c r="AS24" s="111" t="s">
        <v>2798</v>
      </c>
      <c r="AT24" s="111" t="s">
        <v>2798</v>
      </c>
      <c r="AU24" s="111" t="s">
        <v>2798</v>
      </c>
      <c r="AV24" s="111" t="s">
        <v>2798</v>
      </c>
      <c r="AW24" s="111" t="s">
        <v>2798</v>
      </c>
      <c r="AX24" s="111" t="s">
        <v>2798</v>
      </c>
      <c r="AY24" s="111" t="s">
        <v>2798</v>
      </c>
      <c r="AZ24" s="111" t="s">
        <v>2798</v>
      </c>
      <c r="BA24" s="111" t="s">
        <v>2798</v>
      </c>
      <c r="BB24" s="111" t="s">
        <v>2798</v>
      </c>
      <c r="BC24" s="111" t="s">
        <v>2798</v>
      </c>
      <c r="BD24" s="111" t="s">
        <v>2798</v>
      </c>
      <c r="BE24" s="111" t="s">
        <v>2798</v>
      </c>
      <c r="BF24" s="111" t="s">
        <v>2798</v>
      </c>
      <c r="BG24" s="111" t="s">
        <v>2798</v>
      </c>
      <c r="BH24" s="111" t="s">
        <v>2798</v>
      </c>
      <c r="BI24" s="111" t="s">
        <v>2798</v>
      </c>
      <c r="BJ24" s="111" t="s">
        <v>2798</v>
      </c>
      <c r="BK24" s="111" t="s">
        <v>2798</v>
      </c>
      <c r="BL24" s="111" t="s">
        <v>2798</v>
      </c>
      <c r="BM24" s="111" t="s">
        <v>2798</v>
      </c>
      <c r="BN24" s="111" t="s">
        <v>2798</v>
      </c>
      <c r="BO24" s="111" t="s">
        <v>2798</v>
      </c>
      <c r="BP24" s="111" t="s">
        <v>2798</v>
      </c>
      <c r="BQ24" s="111" t="s">
        <v>2798</v>
      </c>
      <c r="BR24" s="111" t="s">
        <v>2798</v>
      </c>
      <c r="BS24" s="111" t="s">
        <v>2798</v>
      </c>
      <c r="BT24" s="111" t="s">
        <v>2798</v>
      </c>
      <c r="BU24" s="111" t="s">
        <v>2798</v>
      </c>
      <c r="BV24" s="111" t="s">
        <v>2798</v>
      </c>
      <c r="BW24" s="111" t="s">
        <v>2798</v>
      </c>
      <c r="BX24" s="111" t="s">
        <v>2798</v>
      </c>
      <c r="BY24" s="111" t="s">
        <v>2798</v>
      </c>
      <c r="BZ24" s="111" t="s">
        <v>2798</v>
      </c>
      <c r="CA24" s="111" t="s">
        <v>2798</v>
      </c>
      <c r="CB24" s="111" t="s">
        <v>2798</v>
      </c>
      <c r="CC24" s="111" t="s">
        <v>2798</v>
      </c>
      <c r="CD24" s="111" t="s">
        <v>2798</v>
      </c>
      <c r="CE24" s="111" t="s">
        <v>2798</v>
      </c>
      <c r="CF24" s="111" t="s">
        <v>2798</v>
      </c>
      <c r="CG24" s="111" t="s">
        <v>2798</v>
      </c>
      <c r="CH24" s="111" t="s">
        <v>2798</v>
      </c>
      <c r="CI24" s="111" t="s">
        <v>2798</v>
      </c>
      <c r="CJ24" s="111" t="s">
        <v>2798</v>
      </c>
      <c r="CK24" s="111" t="s">
        <v>2798</v>
      </c>
      <c r="CL24" s="111" t="s">
        <v>2798</v>
      </c>
      <c r="CM24" s="111" t="s">
        <v>2798</v>
      </c>
      <c r="CN24" s="111" t="s">
        <v>2798</v>
      </c>
      <c r="CO24" s="111" t="s">
        <v>2798</v>
      </c>
      <c r="CP24" s="111" t="s">
        <v>2798</v>
      </c>
      <c r="CQ24" s="111" t="s">
        <v>2798</v>
      </c>
    </row>
    <row r="25" spans="2:95" ht="14.25" customHeight="1">
      <c r="B25" s="106" t="s">
        <v>730</v>
      </c>
      <c r="C25" s="106" t="s">
        <v>2816</v>
      </c>
      <c r="D25" s="109">
        <v>11860.944</v>
      </c>
      <c r="E25" s="106" t="s">
        <v>1857</v>
      </c>
      <c r="F25" s="110">
        <v>39.893000000000029</v>
      </c>
      <c r="G25" s="106" t="s">
        <v>2795</v>
      </c>
      <c r="H25" s="102">
        <v>0</v>
      </c>
      <c r="I25" s="102">
        <v>0</v>
      </c>
      <c r="J25" s="111" t="s">
        <v>2798</v>
      </c>
      <c r="K25" s="111" t="s">
        <v>2798</v>
      </c>
      <c r="L25" s="111" t="s">
        <v>2798</v>
      </c>
      <c r="M25" s="111" t="s">
        <v>2798</v>
      </c>
      <c r="N25" s="111" t="s">
        <v>2798</v>
      </c>
      <c r="O25" s="111" t="s">
        <v>2798</v>
      </c>
      <c r="P25" s="111" t="s">
        <v>2798</v>
      </c>
      <c r="Q25" s="111" t="s">
        <v>2798</v>
      </c>
      <c r="R25" s="111" t="s">
        <v>2798</v>
      </c>
      <c r="S25" s="111" t="s">
        <v>2798</v>
      </c>
      <c r="T25" s="111" t="s">
        <v>2798</v>
      </c>
      <c r="U25" s="111" t="s">
        <v>2798</v>
      </c>
      <c r="V25" s="111" t="s">
        <v>2798</v>
      </c>
      <c r="W25" s="111" t="s">
        <v>2798</v>
      </c>
      <c r="X25" s="111" t="s">
        <v>2798</v>
      </c>
      <c r="Y25" s="111" t="s">
        <v>2798</v>
      </c>
      <c r="Z25" s="111" t="s">
        <v>2798</v>
      </c>
      <c r="AA25" s="111" t="s">
        <v>2798</v>
      </c>
      <c r="AB25" s="111" t="s">
        <v>2798</v>
      </c>
      <c r="AC25" s="111" t="s">
        <v>2798</v>
      </c>
      <c r="AD25" s="111" t="s">
        <v>2798</v>
      </c>
      <c r="AE25" s="111" t="s">
        <v>2798</v>
      </c>
      <c r="AF25" s="111" t="s">
        <v>2798</v>
      </c>
      <c r="AG25" s="111" t="s">
        <v>2798</v>
      </c>
      <c r="AH25" s="111" t="s">
        <v>2798</v>
      </c>
      <c r="AI25" s="111" t="s">
        <v>2798</v>
      </c>
      <c r="AJ25" s="111" t="s">
        <v>2798</v>
      </c>
      <c r="AK25" s="111" t="s">
        <v>2798</v>
      </c>
      <c r="AL25" s="111" t="s">
        <v>2735</v>
      </c>
      <c r="AM25" s="111" t="s">
        <v>2736</v>
      </c>
      <c r="AN25" s="111" t="s">
        <v>2737</v>
      </c>
      <c r="AO25" s="111" t="s">
        <v>2738</v>
      </c>
      <c r="AP25" s="111" t="s">
        <v>2739</v>
      </c>
      <c r="AQ25" s="111" t="s">
        <v>2740</v>
      </c>
      <c r="AR25" s="111" t="s">
        <v>2741</v>
      </c>
      <c r="AS25" s="111" t="s">
        <v>2798</v>
      </c>
      <c r="AT25" s="111" t="s">
        <v>2798</v>
      </c>
      <c r="AU25" s="111" t="s">
        <v>2798</v>
      </c>
      <c r="AV25" s="111" t="s">
        <v>2798</v>
      </c>
      <c r="AW25" s="111" t="s">
        <v>2798</v>
      </c>
      <c r="AX25" s="111" t="s">
        <v>2798</v>
      </c>
      <c r="AY25" s="111" t="s">
        <v>2798</v>
      </c>
      <c r="AZ25" s="111" t="s">
        <v>2798</v>
      </c>
      <c r="BA25" s="111" t="s">
        <v>2798</v>
      </c>
      <c r="BB25" s="111" t="s">
        <v>2798</v>
      </c>
      <c r="BC25" s="111" t="s">
        <v>2798</v>
      </c>
      <c r="BD25" s="111" t="s">
        <v>2798</v>
      </c>
      <c r="BE25" s="111" t="s">
        <v>2798</v>
      </c>
      <c r="BF25" s="111" t="s">
        <v>2798</v>
      </c>
      <c r="BG25" s="111" t="s">
        <v>2798</v>
      </c>
      <c r="BH25" s="111" t="s">
        <v>2757</v>
      </c>
      <c r="BI25" s="111" t="s">
        <v>2758</v>
      </c>
      <c r="BJ25" s="111" t="s">
        <v>2759</v>
      </c>
      <c r="BK25" s="111" t="s">
        <v>2760</v>
      </c>
      <c r="BL25" s="111" t="s">
        <v>2761</v>
      </c>
      <c r="BM25" s="111" t="s">
        <v>2762</v>
      </c>
      <c r="BN25" s="111" t="s">
        <v>2763</v>
      </c>
      <c r="BO25" s="111" t="s">
        <v>2798</v>
      </c>
      <c r="BP25" s="111" t="s">
        <v>2798</v>
      </c>
      <c r="BQ25" s="111" t="s">
        <v>2798</v>
      </c>
      <c r="BR25" s="111" t="s">
        <v>2798</v>
      </c>
      <c r="BS25" s="111" t="s">
        <v>2798</v>
      </c>
      <c r="BT25" s="111" t="s">
        <v>2798</v>
      </c>
      <c r="BU25" s="111" t="s">
        <v>2798</v>
      </c>
      <c r="BV25" s="111" t="s">
        <v>2798</v>
      </c>
      <c r="BW25" s="111" t="s">
        <v>2798</v>
      </c>
      <c r="BX25" s="111" t="s">
        <v>2798</v>
      </c>
      <c r="BY25" s="111" t="s">
        <v>2798</v>
      </c>
      <c r="BZ25" s="111" t="s">
        <v>2798</v>
      </c>
      <c r="CA25" s="111" t="s">
        <v>2798</v>
      </c>
      <c r="CB25" s="111" t="s">
        <v>2798</v>
      </c>
      <c r="CC25" s="111" t="s">
        <v>2798</v>
      </c>
      <c r="CD25" s="111" t="s">
        <v>2798</v>
      </c>
      <c r="CE25" s="111" t="s">
        <v>2798</v>
      </c>
      <c r="CF25" s="111" t="s">
        <v>2798</v>
      </c>
      <c r="CG25" s="111" t="s">
        <v>2798</v>
      </c>
      <c r="CH25" s="111" t="s">
        <v>2798</v>
      </c>
      <c r="CI25" s="111" t="s">
        <v>2798</v>
      </c>
      <c r="CJ25" s="111" t="s">
        <v>2798</v>
      </c>
      <c r="CK25" s="111" t="s">
        <v>2798</v>
      </c>
      <c r="CL25" s="111" t="s">
        <v>2798</v>
      </c>
      <c r="CM25" s="111" t="s">
        <v>2798</v>
      </c>
      <c r="CN25" s="111" t="s">
        <v>2798</v>
      </c>
      <c r="CO25" s="111" t="s">
        <v>2798</v>
      </c>
      <c r="CP25" s="111" t="s">
        <v>2798</v>
      </c>
      <c r="CQ25" s="111" t="s">
        <v>2798</v>
      </c>
    </row>
    <row r="26" spans="2:95" ht="14.25" customHeight="1">
      <c r="B26" s="106" t="s">
        <v>731</v>
      </c>
      <c r="C26" s="106" t="s">
        <v>2817</v>
      </c>
      <c r="D26" s="109">
        <v>11901.545</v>
      </c>
      <c r="E26" s="106" t="s">
        <v>1857</v>
      </c>
      <c r="F26" s="110">
        <v>40.601000000000568</v>
      </c>
      <c r="G26" s="106" t="s">
        <v>2795</v>
      </c>
      <c r="H26" s="102">
        <v>0</v>
      </c>
      <c r="I26" s="102">
        <v>0</v>
      </c>
      <c r="J26" s="111" t="s">
        <v>2798</v>
      </c>
      <c r="K26" s="111" t="s">
        <v>2798</v>
      </c>
      <c r="L26" s="111" t="s">
        <v>2798</v>
      </c>
      <c r="M26" s="111" t="s">
        <v>2798</v>
      </c>
      <c r="N26" s="111" t="s">
        <v>2798</v>
      </c>
      <c r="O26" s="111" t="s">
        <v>2798</v>
      </c>
      <c r="P26" s="111" t="s">
        <v>2798</v>
      </c>
      <c r="Q26" s="111" t="s">
        <v>2798</v>
      </c>
      <c r="R26" s="111" t="s">
        <v>2798</v>
      </c>
      <c r="S26" s="111" t="s">
        <v>2798</v>
      </c>
      <c r="T26" s="111" t="s">
        <v>2798</v>
      </c>
      <c r="U26" s="111" t="s">
        <v>2798</v>
      </c>
      <c r="V26" s="111" t="s">
        <v>2798</v>
      </c>
      <c r="W26" s="111" t="s">
        <v>2798</v>
      </c>
      <c r="X26" s="111" t="s">
        <v>2798</v>
      </c>
      <c r="Y26" s="111" t="s">
        <v>2798</v>
      </c>
      <c r="Z26" s="111" t="s">
        <v>2798</v>
      </c>
      <c r="AA26" s="111" t="s">
        <v>2798</v>
      </c>
      <c r="AB26" s="111" t="s">
        <v>2798</v>
      </c>
      <c r="AC26" s="111" t="s">
        <v>2798</v>
      </c>
      <c r="AD26" s="111" t="s">
        <v>2798</v>
      </c>
      <c r="AE26" s="111" t="s">
        <v>2798</v>
      </c>
      <c r="AF26" s="111" t="s">
        <v>2798</v>
      </c>
      <c r="AG26" s="111" t="s">
        <v>2798</v>
      </c>
      <c r="AH26" s="111" t="s">
        <v>2798</v>
      </c>
      <c r="AI26" s="111" t="s">
        <v>2798</v>
      </c>
      <c r="AJ26" s="111" t="s">
        <v>2798</v>
      </c>
      <c r="AK26" s="111" t="s">
        <v>2798</v>
      </c>
      <c r="AL26" s="111" t="s">
        <v>2798</v>
      </c>
      <c r="AM26" s="111" t="s">
        <v>2798</v>
      </c>
      <c r="AN26" s="111" t="s">
        <v>2798</v>
      </c>
      <c r="AO26" s="111" t="s">
        <v>2798</v>
      </c>
      <c r="AP26" s="111" t="s">
        <v>2798</v>
      </c>
      <c r="AQ26" s="111" t="s">
        <v>2798</v>
      </c>
      <c r="AR26" s="111" t="s">
        <v>2798</v>
      </c>
      <c r="AS26" s="111" t="s">
        <v>2798</v>
      </c>
      <c r="AT26" s="111" t="s">
        <v>2798</v>
      </c>
      <c r="AU26" s="111" t="s">
        <v>2798</v>
      </c>
      <c r="AV26" s="111" t="s">
        <v>2798</v>
      </c>
      <c r="AW26" s="111" t="s">
        <v>2798</v>
      </c>
      <c r="AX26" s="111" t="s">
        <v>2798</v>
      </c>
      <c r="AY26" s="111" t="s">
        <v>2798</v>
      </c>
      <c r="AZ26" s="111" t="s">
        <v>2798</v>
      </c>
      <c r="BA26" s="111" t="s">
        <v>2798</v>
      </c>
      <c r="BB26" s="111" t="s">
        <v>2798</v>
      </c>
      <c r="BC26" s="111" t="s">
        <v>2798</v>
      </c>
      <c r="BD26" s="111" t="s">
        <v>2798</v>
      </c>
      <c r="BE26" s="111" t="s">
        <v>2798</v>
      </c>
      <c r="BF26" s="111" t="s">
        <v>2798</v>
      </c>
      <c r="BG26" s="111" t="s">
        <v>2798</v>
      </c>
      <c r="BH26" s="111" t="s">
        <v>2798</v>
      </c>
      <c r="BI26" s="111" t="s">
        <v>2798</v>
      </c>
      <c r="BJ26" s="111" t="s">
        <v>2798</v>
      </c>
      <c r="BK26" s="111" t="s">
        <v>2798</v>
      </c>
      <c r="BL26" s="111" t="s">
        <v>2798</v>
      </c>
      <c r="BM26" s="111" t="s">
        <v>2798</v>
      </c>
      <c r="BN26" s="111" t="s">
        <v>2798</v>
      </c>
      <c r="BO26" s="111" t="s">
        <v>2764</v>
      </c>
      <c r="BP26" s="111" t="s">
        <v>2765</v>
      </c>
      <c r="BQ26" s="111" t="s">
        <v>2766</v>
      </c>
      <c r="BR26" s="111" t="s">
        <v>2767</v>
      </c>
      <c r="BS26" s="111" t="s">
        <v>2768</v>
      </c>
      <c r="BT26" s="111" t="s">
        <v>2769</v>
      </c>
      <c r="BU26" s="111" t="s">
        <v>2770</v>
      </c>
      <c r="BV26" s="111" t="s">
        <v>2771</v>
      </c>
      <c r="BW26" s="111" t="s">
        <v>2772</v>
      </c>
      <c r="BX26" s="111" t="s">
        <v>2773</v>
      </c>
      <c r="BY26" s="111" t="s">
        <v>2774</v>
      </c>
      <c r="BZ26" s="111" t="s">
        <v>2775</v>
      </c>
      <c r="CA26" s="111" t="s">
        <v>2776</v>
      </c>
      <c r="CB26" s="111" t="s">
        <v>2777</v>
      </c>
      <c r="CC26" s="111" t="s">
        <v>2798</v>
      </c>
      <c r="CD26" s="111" t="s">
        <v>2798</v>
      </c>
      <c r="CE26" s="111" t="s">
        <v>2798</v>
      </c>
      <c r="CF26" s="111" t="s">
        <v>2798</v>
      </c>
      <c r="CG26" s="111" t="s">
        <v>2798</v>
      </c>
      <c r="CH26" s="111" t="s">
        <v>2798</v>
      </c>
      <c r="CI26" s="111" t="s">
        <v>2798</v>
      </c>
      <c r="CJ26" s="111" t="s">
        <v>2798</v>
      </c>
      <c r="CK26" s="111" t="s">
        <v>2798</v>
      </c>
      <c r="CL26" s="111" t="s">
        <v>2798</v>
      </c>
      <c r="CM26" s="111" t="s">
        <v>2798</v>
      </c>
      <c r="CN26" s="111" t="s">
        <v>2798</v>
      </c>
      <c r="CO26" s="111" t="s">
        <v>2798</v>
      </c>
      <c r="CP26" s="111" t="s">
        <v>2798</v>
      </c>
      <c r="CQ26" s="111" t="s">
        <v>2798</v>
      </c>
    </row>
    <row r="27" spans="2:95" ht="14.25" customHeight="1">
      <c r="B27" s="106" t="s">
        <v>732</v>
      </c>
      <c r="C27" s="106" t="s">
        <v>2818</v>
      </c>
      <c r="D27" s="109">
        <v>11942.458000000001</v>
      </c>
      <c r="E27" s="106" t="s">
        <v>1857</v>
      </c>
      <c r="F27" s="110">
        <v>40.913000000000466</v>
      </c>
      <c r="G27" s="106" t="s">
        <v>2793</v>
      </c>
      <c r="H27" s="102">
        <v>0</v>
      </c>
      <c r="I27" s="102">
        <v>0</v>
      </c>
      <c r="J27" s="111" t="s">
        <v>2798</v>
      </c>
      <c r="K27" s="111" t="s">
        <v>2798</v>
      </c>
      <c r="L27" s="111" t="s">
        <v>2798</v>
      </c>
      <c r="M27" s="111" t="s">
        <v>2798</v>
      </c>
      <c r="N27" s="111" t="s">
        <v>2798</v>
      </c>
      <c r="O27" s="111" t="s">
        <v>2798</v>
      </c>
      <c r="P27" s="111" t="s">
        <v>2798</v>
      </c>
      <c r="Q27" s="111" t="s">
        <v>2798</v>
      </c>
      <c r="R27" s="111" t="s">
        <v>2798</v>
      </c>
      <c r="S27" s="111" t="s">
        <v>2798</v>
      </c>
      <c r="T27" s="111" t="s">
        <v>2798</v>
      </c>
      <c r="U27" s="111" t="s">
        <v>2798</v>
      </c>
      <c r="V27" s="111" t="s">
        <v>2798</v>
      </c>
      <c r="W27" s="111" t="s">
        <v>2798</v>
      </c>
      <c r="X27" s="111" t="s">
        <v>2798</v>
      </c>
      <c r="Y27" s="111" t="s">
        <v>2798</v>
      </c>
      <c r="Z27" s="111" t="s">
        <v>2798</v>
      </c>
      <c r="AA27" s="111" t="s">
        <v>2798</v>
      </c>
      <c r="AB27" s="111" t="s">
        <v>2798</v>
      </c>
      <c r="AC27" s="111" t="s">
        <v>2798</v>
      </c>
      <c r="AD27" s="111" t="s">
        <v>2798</v>
      </c>
      <c r="AE27" s="111" t="s">
        <v>2798</v>
      </c>
      <c r="AF27" s="111" t="s">
        <v>2798</v>
      </c>
      <c r="AG27" s="111" t="s">
        <v>2798</v>
      </c>
      <c r="AH27" s="111" t="s">
        <v>2798</v>
      </c>
      <c r="AI27" s="111" t="s">
        <v>2798</v>
      </c>
      <c r="AJ27" s="111" t="s">
        <v>2798</v>
      </c>
      <c r="AK27" s="111" t="s">
        <v>2798</v>
      </c>
      <c r="AL27" s="111" t="s">
        <v>2798</v>
      </c>
      <c r="AM27" s="111" t="s">
        <v>2798</v>
      </c>
      <c r="AN27" s="111" t="s">
        <v>2798</v>
      </c>
      <c r="AO27" s="111" t="s">
        <v>2798</v>
      </c>
      <c r="AP27" s="111" t="s">
        <v>2798</v>
      </c>
      <c r="AQ27" s="111" t="s">
        <v>2798</v>
      </c>
      <c r="AR27" s="111" t="s">
        <v>2798</v>
      </c>
      <c r="AS27" s="111" t="s">
        <v>2798</v>
      </c>
      <c r="AT27" s="111" t="s">
        <v>2798</v>
      </c>
      <c r="AU27" s="111" t="s">
        <v>2798</v>
      </c>
      <c r="AV27" s="111" t="s">
        <v>2798</v>
      </c>
      <c r="AW27" s="111" t="s">
        <v>2798</v>
      </c>
      <c r="AX27" s="111" t="s">
        <v>2798</v>
      </c>
      <c r="AY27" s="111" t="s">
        <v>2798</v>
      </c>
      <c r="AZ27" s="111" t="s">
        <v>2798</v>
      </c>
      <c r="BA27" s="111" t="s">
        <v>2798</v>
      </c>
      <c r="BB27" s="111" t="s">
        <v>2798</v>
      </c>
      <c r="BC27" s="111" t="s">
        <v>2798</v>
      </c>
      <c r="BD27" s="111" t="s">
        <v>2798</v>
      </c>
      <c r="BE27" s="111" t="s">
        <v>2798</v>
      </c>
      <c r="BF27" s="111" t="s">
        <v>2798</v>
      </c>
      <c r="BG27" s="111" t="s">
        <v>2798</v>
      </c>
      <c r="BH27" s="111" t="s">
        <v>2798</v>
      </c>
      <c r="BI27" s="111" t="s">
        <v>2798</v>
      </c>
      <c r="BJ27" s="111" t="s">
        <v>2798</v>
      </c>
      <c r="BK27" s="111" t="s">
        <v>2798</v>
      </c>
      <c r="BL27" s="111" t="s">
        <v>2798</v>
      </c>
      <c r="BM27" s="111" t="s">
        <v>2798</v>
      </c>
      <c r="BN27" s="111" t="s">
        <v>2798</v>
      </c>
      <c r="BO27" s="111" t="s">
        <v>2798</v>
      </c>
      <c r="BP27" s="111" t="s">
        <v>2798</v>
      </c>
      <c r="BQ27" s="111" t="s">
        <v>2798</v>
      </c>
      <c r="BR27" s="111" t="s">
        <v>2798</v>
      </c>
      <c r="BS27" s="111" t="s">
        <v>2798</v>
      </c>
      <c r="BT27" s="111" t="s">
        <v>2798</v>
      </c>
      <c r="BU27" s="111" t="s">
        <v>2798</v>
      </c>
      <c r="BV27" s="111" t="s">
        <v>2798</v>
      </c>
      <c r="BW27" s="111" t="s">
        <v>2798</v>
      </c>
      <c r="BX27" s="111" t="s">
        <v>2798</v>
      </c>
      <c r="BY27" s="111" t="s">
        <v>2798</v>
      </c>
      <c r="BZ27" s="111" t="s">
        <v>2798</v>
      </c>
      <c r="CA27" s="111" t="s">
        <v>2798</v>
      </c>
      <c r="CB27" s="111" t="s">
        <v>2798</v>
      </c>
      <c r="CC27" s="111" t="s">
        <v>2778</v>
      </c>
      <c r="CD27" s="111" t="s">
        <v>2779</v>
      </c>
      <c r="CE27" s="111" t="s">
        <v>2780</v>
      </c>
      <c r="CF27" s="111" t="s">
        <v>2781</v>
      </c>
      <c r="CG27" s="111" t="s">
        <v>2782</v>
      </c>
      <c r="CH27" s="111" t="s">
        <v>2783</v>
      </c>
      <c r="CI27" s="111" t="s">
        <v>2798</v>
      </c>
      <c r="CJ27" s="111" t="s">
        <v>2785</v>
      </c>
      <c r="CK27" s="111" t="s">
        <v>2786</v>
      </c>
      <c r="CL27" s="111" t="s">
        <v>2787</v>
      </c>
      <c r="CM27" s="111" t="s">
        <v>2788</v>
      </c>
      <c r="CN27" s="111" t="s">
        <v>2789</v>
      </c>
      <c r="CO27" s="111" t="s">
        <v>2790</v>
      </c>
      <c r="CP27" s="111" t="s">
        <v>2791</v>
      </c>
      <c r="CQ27" s="111" t="s">
        <v>2792</v>
      </c>
    </row>
    <row r="28" spans="2:95" ht="14.25" customHeight="1">
      <c r="B28" s="106" t="s">
        <v>733</v>
      </c>
      <c r="C28" s="106" t="s">
        <v>2819</v>
      </c>
      <c r="D28" s="109">
        <v>11992.040999999999</v>
      </c>
      <c r="E28" s="106" t="s">
        <v>1878</v>
      </c>
      <c r="F28" s="110">
        <v>49.582999999998719</v>
      </c>
      <c r="G28" s="106" t="s">
        <v>2795</v>
      </c>
      <c r="H28" s="102">
        <v>0</v>
      </c>
      <c r="I28" s="102">
        <v>0</v>
      </c>
      <c r="J28" s="111" t="s">
        <v>87</v>
      </c>
      <c r="K28" s="111" t="s">
        <v>2708</v>
      </c>
      <c r="L28" s="111" t="s">
        <v>2709</v>
      </c>
      <c r="M28" s="111" t="s">
        <v>2710</v>
      </c>
      <c r="N28" s="111" t="s">
        <v>2711</v>
      </c>
      <c r="O28" s="111" t="s">
        <v>2712</v>
      </c>
      <c r="P28" s="111" t="s">
        <v>2713</v>
      </c>
      <c r="Q28" s="111" t="s">
        <v>2714</v>
      </c>
      <c r="R28" s="111" t="s">
        <v>2715</v>
      </c>
      <c r="S28" s="111" t="s">
        <v>2716</v>
      </c>
      <c r="T28" s="111" t="s">
        <v>2717</v>
      </c>
      <c r="U28" s="111" t="s">
        <v>2718</v>
      </c>
      <c r="V28" s="111" t="s">
        <v>2719</v>
      </c>
      <c r="W28" s="111" t="s">
        <v>2720</v>
      </c>
      <c r="X28" s="111" t="s">
        <v>2721</v>
      </c>
      <c r="Y28" s="111" t="s">
        <v>2722</v>
      </c>
      <c r="Z28" s="111" t="s">
        <v>2723</v>
      </c>
      <c r="AA28" s="111" t="s">
        <v>2798</v>
      </c>
      <c r="AB28" s="111" t="s">
        <v>2798</v>
      </c>
      <c r="AC28" s="111" t="s">
        <v>2798</v>
      </c>
      <c r="AD28" s="111" t="s">
        <v>2798</v>
      </c>
      <c r="AE28" s="111" t="s">
        <v>2798</v>
      </c>
      <c r="AF28" s="111" t="s">
        <v>2798</v>
      </c>
      <c r="AG28" s="111" t="s">
        <v>2798</v>
      </c>
      <c r="AH28" s="111" t="s">
        <v>2798</v>
      </c>
      <c r="AI28" s="111" t="s">
        <v>2798</v>
      </c>
      <c r="AJ28" s="111" t="s">
        <v>2798</v>
      </c>
      <c r="AK28" s="111" t="s">
        <v>2798</v>
      </c>
      <c r="AL28" s="111" t="s">
        <v>2798</v>
      </c>
      <c r="AM28" s="111" t="s">
        <v>2798</v>
      </c>
      <c r="AN28" s="111" t="s">
        <v>2798</v>
      </c>
      <c r="AO28" s="111" t="s">
        <v>2798</v>
      </c>
      <c r="AP28" s="111" t="s">
        <v>2798</v>
      </c>
      <c r="AQ28" s="111" t="s">
        <v>2798</v>
      </c>
      <c r="AR28" s="111" t="s">
        <v>2798</v>
      </c>
      <c r="AS28" s="111" t="s">
        <v>2798</v>
      </c>
      <c r="AT28" s="111" t="s">
        <v>2798</v>
      </c>
      <c r="AU28" s="111" t="s">
        <v>2798</v>
      </c>
      <c r="AV28" s="111" t="s">
        <v>2798</v>
      </c>
      <c r="AW28" s="111" t="s">
        <v>2798</v>
      </c>
      <c r="AX28" s="111" t="s">
        <v>2798</v>
      </c>
      <c r="AY28" s="111" t="s">
        <v>2798</v>
      </c>
      <c r="AZ28" s="111" t="s">
        <v>2798</v>
      </c>
      <c r="BA28" s="111" t="s">
        <v>2798</v>
      </c>
      <c r="BB28" s="111" t="s">
        <v>2798</v>
      </c>
      <c r="BC28" s="111" t="s">
        <v>2798</v>
      </c>
      <c r="BD28" s="111" t="s">
        <v>2798</v>
      </c>
      <c r="BE28" s="111" t="s">
        <v>2798</v>
      </c>
      <c r="BF28" s="111" t="s">
        <v>2798</v>
      </c>
      <c r="BG28" s="111" t="s">
        <v>2798</v>
      </c>
      <c r="BH28" s="111" t="s">
        <v>2798</v>
      </c>
      <c r="BI28" s="111" t="s">
        <v>2798</v>
      </c>
      <c r="BJ28" s="111" t="s">
        <v>2798</v>
      </c>
      <c r="BK28" s="111" t="s">
        <v>2798</v>
      </c>
      <c r="BL28" s="111" t="s">
        <v>2798</v>
      </c>
      <c r="BM28" s="111" t="s">
        <v>2798</v>
      </c>
      <c r="BN28" s="111" t="s">
        <v>2798</v>
      </c>
      <c r="BO28" s="111" t="s">
        <v>2798</v>
      </c>
      <c r="BP28" s="111" t="s">
        <v>2798</v>
      </c>
      <c r="BQ28" s="111" t="s">
        <v>2798</v>
      </c>
      <c r="BR28" s="111" t="s">
        <v>2798</v>
      </c>
      <c r="BS28" s="111" t="s">
        <v>2798</v>
      </c>
      <c r="BT28" s="111" t="s">
        <v>2798</v>
      </c>
      <c r="BU28" s="111" t="s">
        <v>2798</v>
      </c>
      <c r="BV28" s="111" t="s">
        <v>2798</v>
      </c>
      <c r="BW28" s="111" t="s">
        <v>2798</v>
      </c>
      <c r="BX28" s="111" t="s">
        <v>2798</v>
      </c>
      <c r="BY28" s="111" t="s">
        <v>2798</v>
      </c>
      <c r="BZ28" s="111" t="s">
        <v>2798</v>
      </c>
      <c r="CA28" s="111" t="s">
        <v>2798</v>
      </c>
      <c r="CB28" s="111" t="s">
        <v>2798</v>
      </c>
      <c r="CC28" s="111" t="s">
        <v>2798</v>
      </c>
      <c r="CD28" s="111" t="s">
        <v>2798</v>
      </c>
      <c r="CE28" s="111" t="s">
        <v>2798</v>
      </c>
      <c r="CF28" s="111" t="s">
        <v>2798</v>
      </c>
      <c r="CG28" s="111" t="s">
        <v>2798</v>
      </c>
      <c r="CH28" s="111" t="s">
        <v>2798</v>
      </c>
      <c r="CI28" s="111" t="s">
        <v>2798</v>
      </c>
      <c r="CJ28" s="111" t="s">
        <v>2798</v>
      </c>
      <c r="CK28" s="111" t="s">
        <v>2798</v>
      </c>
      <c r="CL28" s="111" t="s">
        <v>2798</v>
      </c>
      <c r="CM28" s="111" t="s">
        <v>2798</v>
      </c>
      <c r="CN28" s="111" t="s">
        <v>2798</v>
      </c>
      <c r="CO28" s="111" t="s">
        <v>2798</v>
      </c>
      <c r="CP28" s="111" t="s">
        <v>2798</v>
      </c>
      <c r="CQ28" s="111" t="s">
        <v>2798</v>
      </c>
    </row>
    <row r="29" spans="2:95" ht="14.25" customHeight="1">
      <c r="B29" s="106" t="s">
        <v>734</v>
      </c>
      <c r="C29" s="106" t="s">
        <v>2820</v>
      </c>
      <c r="D29" s="109">
        <v>12041.623</v>
      </c>
      <c r="E29" s="106" t="s">
        <v>1878</v>
      </c>
      <c r="F29" s="110">
        <v>49.582000000000335</v>
      </c>
      <c r="G29" s="106" t="s">
        <v>2795</v>
      </c>
      <c r="H29" s="102">
        <v>0</v>
      </c>
      <c r="I29" s="102">
        <v>0</v>
      </c>
      <c r="J29" s="111" t="s">
        <v>2798</v>
      </c>
      <c r="K29" s="111" t="s">
        <v>2798</v>
      </c>
      <c r="L29" s="111" t="s">
        <v>2798</v>
      </c>
      <c r="M29" s="111" t="s">
        <v>2798</v>
      </c>
      <c r="N29" s="111" t="s">
        <v>2798</v>
      </c>
      <c r="O29" s="111" t="s">
        <v>2798</v>
      </c>
      <c r="P29" s="111" t="s">
        <v>2798</v>
      </c>
      <c r="Q29" s="111" t="s">
        <v>2798</v>
      </c>
      <c r="R29" s="111" t="s">
        <v>2798</v>
      </c>
      <c r="S29" s="111" t="s">
        <v>2798</v>
      </c>
      <c r="T29" s="111" t="s">
        <v>2798</v>
      </c>
      <c r="U29" s="111" t="s">
        <v>2798</v>
      </c>
      <c r="V29" s="111" t="s">
        <v>2798</v>
      </c>
      <c r="W29" s="111" t="s">
        <v>2798</v>
      </c>
      <c r="X29" s="111" t="s">
        <v>2798</v>
      </c>
      <c r="Y29" s="111" t="s">
        <v>2798</v>
      </c>
      <c r="Z29" s="111" t="s">
        <v>2798</v>
      </c>
      <c r="AA29" s="111" t="s">
        <v>2724</v>
      </c>
      <c r="AB29" s="111" t="s">
        <v>2725</v>
      </c>
      <c r="AC29" s="111" t="s">
        <v>2726</v>
      </c>
      <c r="AD29" s="111" t="s">
        <v>2727</v>
      </c>
      <c r="AE29" s="111" t="s">
        <v>2728</v>
      </c>
      <c r="AF29" s="111" t="s">
        <v>2729</v>
      </c>
      <c r="AG29" s="111" t="s">
        <v>2730</v>
      </c>
      <c r="AH29" s="111" t="s">
        <v>2731</v>
      </c>
      <c r="AI29" s="111" t="s">
        <v>2732</v>
      </c>
      <c r="AJ29" s="111" t="s">
        <v>2733</v>
      </c>
      <c r="AK29" s="111" t="s">
        <v>2734</v>
      </c>
      <c r="AL29" s="111" t="s">
        <v>2735</v>
      </c>
      <c r="AM29" s="111" t="s">
        <v>2736</v>
      </c>
      <c r="AN29" s="111" t="s">
        <v>2737</v>
      </c>
      <c r="AO29" s="111" t="s">
        <v>2738</v>
      </c>
      <c r="AP29" s="111" t="s">
        <v>2739</v>
      </c>
      <c r="AQ29" s="111" t="s">
        <v>2740</v>
      </c>
      <c r="AR29" s="111" t="s">
        <v>2798</v>
      </c>
      <c r="AS29" s="111" t="s">
        <v>2798</v>
      </c>
      <c r="AT29" s="111" t="s">
        <v>2798</v>
      </c>
      <c r="AU29" s="111" t="s">
        <v>2798</v>
      </c>
      <c r="AV29" s="111" t="s">
        <v>2798</v>
      </c>
      <c r="AW29" s="111" t="s">
        <v>2798</v>
      </c>
      <c r="AX29" s="111" t="s">
        <v>2798</v>
      </c>
      <c r="AY29" s="111" t="s">
        <v>2798</v>
      </c>
      <c r="AZ29" s="111" t="s">
        <v>2798</v>
      </c>
      <c r="BA29" s="111" t="s">
        <v>2798</v>
      </c>
      <c r="BB29" s="111" t="s">
        <v>2798</v>
      </c>
      <c r="BC29" s="111" t="s">
        <v>2798</v>
      </c>
      <c r="BD29" s="111" t="s">
        <v>2798</v>
      </c>
      <c r="BE29" s="111" t="s">
        <v>2798</v>
      </c>
      <c r="BF29" s="111" t="s">
        <v>2798</v>
      </c>
      <c r="BG29" s="111" t="s">
        <v>2798</v>
      </c>
      <c r="BH29" s="111" t="s">
        <v>2798</v>
      </c>
      <c r="BI29" s="111" t="s">
        <v>2798</v>
      </c>
      <c r="BJ29" s="111" t="s">
        <v>2798</v>
      </c>
      <c r="BK29" s="111" t="s">
        <v>2798</v>
      </c>
      <c r="BL29" s="111" t="s">
        <v>2798</v>
      </c>
      <c r="BM29" s="111" t="s">
        <v>2798</v>
      </c>
      <c r="BN29" s="111" t="s">
        <v>2798</v>
      </c>
      <c r="BO29" s="111" t="s">
        <v>2798</v>
      </c>
      <c r="BP29" s="111" t="s">
        <v>2798</v>
      </c>
      <c r="BQ29" s="111" t="s">
        <v>2798</v>
      </c>
      <c r="BR29" s="111" t="s">
        <v>2798</v>
      </c>
      <c r="BS29" s="111" t="s">
        <v>2798</v>
      </c>
      <c r="BT29" s="111" t="s">
        <v>2798</v>
      </c>
      <c r="BU29" s="111" t="s">
        <v>2798</v>
      </c>
      <c r="BV29" s="111" t="s">
        <v>2798</v>
      </c>
      <c r="BW29" s="111" t="s">
        <v>2798</v>
      </c>
      <c r="BX29" s="111" t="s">
        <v>2798</v>
      </c>
      <c r="BY29" s="111" t="s">
        <v>2798</v>
      </c>
      <c r="BZ29" s="111" t="s">
        <v>2798</v>
      </c>
      <c r="CA29" s="111" t="s">
        <v>2798</v>
      </c>
      <c r="CB29" s="111" t="s">
        <v>2798</v>
      </c>
      <c r="CC29" s="111" t="s">
        <v>2798</v>
      </c>
      <c r="CD29" s="111" t="s">
        <v>2798</v>
      </c>
      <c r="CE29" s="111" t="s">
        <v>2798</v>
      </c>
      <c r="CF29" s="111" t="s">
        <v>2798</v>
      </c>
      <c r="CG29" s="111" t="s">
        <v>2798</v>
      </c>
      <c r="CH29" s="111" t="s">
        <v>2798</v>
      </c>
      <c r="CI29" s="111" t="s">
        <v>2798</v>
      </c>
      <c r="CJ29" s="111" t="s">
        <v>2798</v>
      </c>
      <c r="CK29" s="111" t="s">
        <v>2798</v>
      </c>
      <c r="CL29" s="111" t="s">
        <v>2798</v>
      </c>
      <c r="CM29" s="111" t="s">
        <v>2798</v>
      </c>
      <c r="CN29" s="111" t="s">
        <v>2798</v>
      </c>
      <c r="CO29" s="111" t="s">
        <v>2798</v>
      </c>
      <c r="CP29" s="111" t="s">
        <v>2798</v>
      </c>
      <c r="CQ29" s="111" t="s">
        <v>2798</v>
      </c>
    </row>
    <row r="30" spans="2:95" ht="14.25" customHeight="1">
      <c r="B30" s="106" t="s">
        <v>735</v>
      </c>
      <c r="C30" s="106" t="s">
        <v>2821</v>
      </c>
      <c r="D30" s="109">
        <v>12091.205</v>
      </c>
      <c r="E30" s="106" t="s">
        <v>1878</v>
      </c>
      <c r="F30" s="110">
        <v>49.582000000000335</v>
      </c>
      <c r="G30" s="106" t="s">
        <v>2795</v>
      </c>
      <c r="H30" s="102">
        <v>0</v>
      </c>
      <c r="I30" s="102">
        <v>0</v>
      </c>
      <c r="J30" s="111" t="s">
        <v>2798</v>
      </c>
      <c r="K30" s="111" t="s">
        <v>2798</v>
      </c>
      <c r="L30" s="111" t="s">
        <v>2798</v>
      </c>
      <c r="M30" s="111" t="s">
        <v>2798</v>
      </c>
      <c r="N30" s="111" t="s">
        <v>2798</v>
      </c>
      <c r="O30" s="111" t="s">
        <v>2798</v>
      </c>
      <c r="P30" s="111" t="s">
        <v>2798</v>
      </c>
      <c r="Q30" s="111" t="s">
        <v>2798</v>
      </c>
      <c r="R30" s="111" t="s">
        <v>2798</v>
      </c>
      <c r="S30" s="111" t="s">
        <v>2798</v>
      </c>
      <c r="T30" s="111" t="s">
        <v>2798</v>
      </c>
      <c r="U30" s="111" t="s">
        <v>2798</v>
      </c>
      <c r="V30" s="111" t="s">
        <v>2798</v>
      </c>
      <c r="W30" s="111" t="s">
        <v>2798</v>
      </c>
      <c r="X30" s="111" t="s">
        <v>2798</v>
      </c>
      <c r="Y30" s="111" t="s">
        <v>2798</v>
      </c>
      <c r="Z30" s="111" t="s">
        <v>2798</v>
      </c>
      <c r="AA30" s="111" t="s">
        <v>2798</v>
      </c>
      <c r="AB30" s="111" t="s">
        <v>2798</v>
      </c>
      <c r="AC30" s="111" t="s">
        <v>2798</v>
      </c>
      <c r="AD30" s="111" t="s">
        <v>2798</v>
      </c>
      <c r="AE30" s="111" t="s">
        <v>2798</v>
      </c>
      <c r="AF30" s="111" t="s">
        <v>2798</v>
      </c>
      <c r="AG30" s="111" t="s">
        <v>2798</v>
      </c>
      <c r="AH30" s="111" t="s">
        <v>2798</v>
      </c>
      <c r="AI30" s="111" t="s">
        <v>2798</v>
      </c>
      <c r="AJ30" s="111" t="s">
        <v>2798</v>
      </c>
      <c r="AK30" s="111" t="s">
        <v>2798</v>
      </c>
      <c r="AL30" s="111" t="s">
        <v>2798</v>
      </c>
      <c r="AM30" s="111" t="s">
        <v>2798</v>
      </c>
      <c r="AN30" s="111" t="s">
        <v>2798</v>
      </c>
      <c r="AO30" s="111" t="s">
        <v>2798</v>
      </c>
      <c r="AP30" s="111" t="s">
        <v>2798</v>
      </c>
      <c r="AQ30" s="111" t="s">
        <v>2798</v>
      </c>
      <c r="AR30" s="111" t="s">
        <v>2741</v>
      </c>
      <c r="AS30" s="111" t="s">
        <v>2742</v>
      </c>
      <c r="AT30" s="111" t="s">
        <v>2743</v>
      </c>
      <c r="AU30" s="111" t="s">
        <v>2744</v>
      </c>
      <c r="AV30" s="111" t="s">
        <v>2745</v>
      </c>
      <c r="AW30" s="111" t="s">
        <v>2746</v>
      </c>
      <c r="AX30" s="111" t="s">
        <v>2747</v>
      </c>
      <c r="AY30" s="111" t="s">
        <v>2748</v>
      </c>
      <c r="AZ30" s="111" t="s">
        <v>2749</v>
      </c>
      <c r="BA30" s="111" t="s">
        <v>2750</v>
      </c>
      <c r="BB30" s="111" t="s">
        <v>2751</v>
      </c>
      <c r="BC30" s="111" t="s">
        <v>2752</v>
      </c>
      <c r="BD30" s="111" t="s">
        <v>2753</v>
      </c>
      <c r="BE30" s="111" t="s">
        <v>2754</v>
      </c>
      <c r="BF30" s="111" t="s">
        <v>2755</v>
      </c>
      <c r="BG30" s="111" t="s">
        <v>2756</v>
      </c>
      <c r="BH30" s="111" t="s">
        <v>2757</v>
      </c>
      <c r="BI30" s="111" t="s">
        <v>2798</v>
      </c>
      <c r="BJ30" s="111" t="s">
        <v>2798</v>
      </c>
      <c r="BK30" s="111" t="s">
        <v>2798</v>
      </c>
      <c r="BL30" s="111" t="s">
        <v>2798</v>
      </c>
      <c r="BM30" s="111" t="s">
        <v>2798</v>
      </c>
      <c r="BN30" s="111" t="s">
        <v>2798</v>
      </c>
      <c r="BO30" s="111" t="s">
        <v>2798</v>
      </c>
      <c r="BP30" s="111" t="s">
        <v>2798</v>
      </c>
      <c r="BQ30" s="111" t="s">
        <v>2798</v>
      </c>
      <c r="BR30" s="111" t="s">
        <v>2798</v>
      </c>
      <c r="BS30" s="111" t="s">
        <v>2798</v>
      </c>
      <c r="BT30" s="111" t="s">
        <v>2798</v>
      </c>
      <c r="BU30" s="111" t="s">
        <v>2798</v>
      </c>
      <c r="BV30" s="111" t="s">
        <v>2798</v>
      </c>
      <c r="BW30" s="111" t="s">
        <v>2798</v>
      </c>
      <c r="BX30" s="111" t="s">
        <v>2798</v>
      </c>
      <c r="BY30" s="111" t="s">
        <v>2798</v>
      </c>
      <c r="BZ30" s="111" t="s">
        <v>2798</v>
      </c>
      <c r="CA30" s="111" t="s">
        <v>2798</v>
      </c>
      <c r="CB30" s="111" t="s">
        <v>2798</v>
      </c>
      <c r="CC30" s="111" t="s">
        <v>2798</v>
      </c>
      <c r="CD30" s="111" t="s">
        <v>2798</v>
      </c>
      <c r="CE30" s="111" t="s">
        <v>2798</v>
      </c>
      <c r="CF30" s="111" t="s">
        <v>2798</v>
      </c>
      <c r="CG30" s="111" t="s">
        <v>2798</v>
      </c>
      <c r="CH30" s="111" t="s">
        <v>2798</v>
      </c>
      <c r="CI30" s="111" t="s">
        <v>2798</v>
      </c>
      <c r="CJ30" s="111" t="s">
        <v>2798</v>
      </c>
      <c r="CK30" s="111" t="s">
        <v>2798</v>
      </c>
      <c r="CL30" s="111" t="s">
        <v>2798</v>
      </c>
      <c r="CM30" s="111" t="s">
        <v>2798</v>
      </c>
      <c r="CN30" s="111" t="s">
        <v>2798</v>
      </c>
      <c r="CO30" s="111" t="s">
        <v>2798</v>
      </c>
      <c r="CP30" s="111" t="s">
        <v>2798</v>
      </c>
      <c r="CQ30" s="111" t="s">
        <v>2798</v>
      </c>
    </row>
    <row r="31" spans="2:95" ht="14.25" customHeight="1">
      <c r="B31" s="106" t="s">
        <v>736</v>
      </c>
      <c r="C31" s="106" t="s">
        <v>2822</v>
      </c>
      <c r="D31" s="109">
        <v>12140.787</v>
      </c>
      <c r="E31" s="106" t="s">
        <v>1878</v>
      </c>
      <c r="F31" s="110">
        <v>49.582000000000335</v>
      </c>
      <c r="G31" s="106" t="s">
        <v>2795</v>
      </c>
      <c r="H31" s="102">
        <v>0</v>
      </c>
      <c r="I31" s="102">
        <v>0</v>
      </c>
      <c r="J31" s="111" t="s">
        <v>2798</v>
      </c>
      <c r="K31" s="111" t="s">
        <v>2798</v>
      </c>
      <c r="L31" s="111" t="s">
        <v>2798</v>
      </c>
      <c r="M31" s="111" t="s">
        <v>2798</v>
      </c>
      <c r="N31" s="111" t="s">
        <v>2798</v>
      </c>
      <c r="O31" s="111" t="s">
        <v>2798</v>
      </c>
      <c r="P31" s="111" t="s">
        <v>2798</v>
      </c>
      <c r="Q31" s="111" t="s">
        <v>2798</v>
      </c>
      <c r="R31" s="111" t="s">
        <v>2798</v>
      </c>
      <c r="S31" s="111" t="s">
        <v>2798</v>
      </c>
      <c r="T31" s="111" t="s">
        <v>2798</v>
      </c>
      <c r="U31" s="111" t="s">
        <v>2798</v>
      </c>
      <c r="V31" s="111" t="s">
        <v>2798</v>
      </c>
      <c r="W31" s="111" t="s">
        <v>2798</v>
      </c>
      <c r="X31" s="111" t="s">
        <v>2798</v>
      </c>
      <c r="Y31" s="111" t="s">
        <v>2798</v>
      </c>
      <c r="Z31" s="111" t="s">
        <v>2798</v>
      </c>
      <c r="AA31" s="111" t="s">
        <v>2798</v>
      </c>
      <c r="AB31" s="111" t="s">
        <v>2798</v>
      </c>
      <c r="AC31" s="111" t="s">
        <v>2798</v>
      </c>
      <c r="AD31" s="111" t="s">
        <v>2798</v>
      </c>
      <c r="AE31" s="111" t="s">
        <v>2798</v>
      </c>
      <c r="AF31" s="111" t="s">
        <v>2798</v>
      </c>
      <c r="AG31" s="111" t="s">
        <v>2798</v>
      </c>
      <c r="AH31" s="111" t="s">
        <v>2798</v>
      </c>
      <c r="AI31" s="111" t="s">
        <v>2798</v>
      </c>
      <c r="AJ31" s="111" t="s">
        <v>2798</v>
      </c>
      <c r="AK31" s="111" t="s">
        <v>2798</v>
      </c>
      <c r="AL31" s="111" t="s">
        <v>2798</v>
      </c>
      <c r="AM31" s="111" t="s">
        <v>2798</v>
      </c>
      <c r="AN31" s="111" t="s">
        <v>2798</v>
      </c>
      <c r="AO31" s="111" t="s">
        <v>2798</v>
      </c>
      <c r="AP31" s="111" t="s">
        <v>2798</v>
      </c>
      <c r="AQ31" s="111" t="s">
        <v>2798</v>
      </c>
      <c r="AR31" s="111" t="s">
        <v>2798</v>
      </c>
      <c r="AS31" s="111" t="s">
        <v>2798</v>
      </c>
      <c r="AT31" s="111" t="s">
        <v>2798</v>
      </c>
      <c r="AU31" s="111" t="s">
        <v>2798</v>
      </c>
      <c r="AV31" s="111" t="s">
        <v>2798</v>
      </c>
      <c r="AW31" s="111" t="s">
        <v>2798</v>
      </c>
      <c r="AX31" s="111" t="s">
        <v>2798</v>
      </c>
      <c r="AY31" s="111" t="s">
        <v>2798</v>
      </c>
      <c r="AZ31" s="111" t="s">
        <v>2798</v>
      </c>
      <c r="BA31" s="111" t="s">
        <v>2798</v>
      </c>
      <c r="BB31" s="111" t="s">
        <v>2798</v>
      </c>
      <c r="BC31" s="111" t="s">
        <v>2798</v>
      </c>
      <c r="BD31" s="111" t="s">
        <v>2798</v>
      </c>
      <c r="BE31" s="111" t="s">
        <v>2798</v>
      </c>
      <c r="BF31" s="111" t="s">
        <v>2798</v>
      </c>
      <c r="BG31" s="111" t="s">
        <v>2798</v>
      </c>
      <c r="BH31" s="111" t="s">
        <v>2798</v>
      </c>
      <c r="BI31" s="111" t="s">
        <v>2758</v>
      </c>
      <c r="BJ31" s="111" t="s">
        <v>2759</v>
      </c>
      <c r="BK31" s="111" t="s">
        <v>2760</v>
      </c>
      <c r="BL31" s="111" t="s">
        <v>2761</v>
      </c>
      <c r="BM31" s="111" t="s">
        <v>2762</v>
      </c>
      <c r="BN31" s="111" t="s">
        <v>2763</v>
      </c>
      <c r="BO31" s="111" t="s">
        <v>2764</v>
      </c>
      <c r="BP31" s="111" t="s">
        <v>2765</v>
      </c>
      <c r="BQ31" s="111" t="s">
        <v>2766</v>
      </c>
      <c r="BR31" s="111" t="s">
        <v>2767</v>
      </c>
      <c r="BS31" s="111" t="s">
        <v>2768</v>
      </c>
      <c r="BT31" s="111" t="s">
        <v>2769</v>
      </c>
      <c r="BU31" s="111" t="s">
        <v>2770</v>
      </c>
      <c r="BV31" s="111" t="s">
        <v>2771</v>
      </c>
      <c r="BW31" s="111" t="s">
        <v>2772</v>
      </c>
      <c r="BX31" s="111" t="s">
        <v>2773</v>
      </c>
      <c r="BY31" s="111" t="s">
        <v>2774</v>
      </c>
      <c r="BZ31" s="111" t="s">
        <v>2798</v>
      </c>
      <c r="CA31" s="111" t="s">
        <v>2798</v>
      </c>
      <c r="CB31" s="111" t="s">
        <v>2798</v>
      </c>
      <c r="CC31" s="111" t="s">
        <v>2798</v>
      </c>
      <c r="CD31" s="111" t="s">
        <v>2798</v>
      </c>
      <c r="CE31" s="111" t="s">
        <v>2798</v>
      </c>
      <c r="CF31" s="111" t="s">
        <v>2798</v>
      </c>
      <c r="CG31" s="111" t="s">
        <v>2798</v>
      </c>
      <c r="CH31" s="111" t="s">
        <v>2798</v>
      </c>
      <c r="CI31" s="111" t="s">
        <v>2798</v>
      </c>
      <c r="CJ31" s="111" t="s">
        <v>2798</v>
      </c>
      <c r="CK31" s="111" t="s">
        <v>2798</v>
      </c>
      <c r="CL31" s="111" t="s">
        <v>2798</v>
      </c>
      <c r="CM31" s="111" t="s">
        <v>2798</v>
      </c>
      <c r="CN31" s="111" t="s">
        <v>2798</v>
      </c>
      <c r="CO31" s="111" t="s">
        <v>2798</v>
      </c>
      <c r="CP31" s="111" t="s">
        <v>2798</v>
      </c>
      <c r="CQ31" s="111" t="s">
        <v>2798</v>
      </c>
    </row>
    <row r="32" spans="2:95" ht="14.25" customHeight="1">
      <c r="B32" s="106" t="s">
        <v>737</v>
      </c>
      <c r="C32" s="106" t="s">
        <v>2823</v>
      </c>
      <c r="D32" s="109">
        <v>12190.369000000001</v>
      </c>
      <c r="E32" s="106" t="s">
        <v>1878</v>
      </c>
      <c r="F32" s="110">
        <v>49.582000000000335</v>
      </c>
      <c r="G32" s="106" t="s">
        <v>2793</v>
      </c>
      <c r="H32" s="102">
        <v>0</v>
      </c>
      <c r="I32" s="102">
        <v>0</v>
      </c>
      <c r="J32" s="111" t="s">
        <v>2798</v>
      </c>
      <c r="K32" s="111" t="s">
        <v>2798</v>
      </c>
      <c r="L32" s="111" t="s">
        <v>2798</v>
      </c>
      <c r="M32" s="111" t="s">
        <v>2798</v>
      </c>
      <c r="N32" s="111" t="s">
        <v>2798</v>
      </c>
      <c r="O32" s="111" t="s">
        <v>2798</v>
      </c>
      <c r="P32" s="111" t="s">
        <v>2798</v>
      </c>
      <c r="Q32" s="111" t="s">
        <v>2798</v>
      </c>
      <c r="R32" s="111" t="s">
        <v>2798</v>
      </c>
      <c r="S32" s="111" t="s">
        <v>2798</v>
      </c>
      <c r="T32" s="111" t="s">
        <v>2798</v>
      </c>
      <c r="U32" s="111" t="s">
        <v>2798</v>
      </c>
      <c r="V32" s="111" t="s">
        <v>2798</v>
      </c>
      <c r="W32" s="111" t="s">
        <v>2798</v>
      </c>
      <c r="X32" s="111" t="s">
        <v>2798</v>
      </c>
      <c r="Y32" s="111" t="s">
        <v>2798</v>
      </c>
      <c r="Z32" s="111" t="s">
        <v>2798</v>
      </c>
      <c r="AA32" s="111" t="s">
        <v>2798</v>
      </c>
      <c r="AB32" s="111" t="s">
        <v>2798</v>
      </c>
      <c r="AC32" s="111" t="s">
        <v>2798</v>
      </c>
      <c r="AD32" s="111" t="s">
        <v>2798</v>
      </c>
      <c r="AE32" s="111" t="s">
        <v>2798</v>
      </c>
      <c r="AF32" s="111" t="s">
        <v>2798</v>
      </c>
      <c r="AG32" s="111" t="s">
        <v>2798</v>
      </c>
      <c r="AH32" s="111" t="s">
        <v>2798</v>
      </c>
      <c r="AI32" s="111" t="s">
        <v>2798</v>
      </c>
      <c r="AJ32" s="111" t="s">
        <v>2798</v>
      </c>
      <c r="AK32" s="111" t="s">
        <v>2798</v>
      </c>
      <c r="AL32" s="111" t="s">
        <v>2798</v>
      </c>
      <c r="AM32" s="111" t="s">
        <v>2798</v>
      </c>
      <c r="AN32" s="111" t="s">
        <v>2798</v>
      </c>
      <c r="AO32" s="111" t="s">
        <v>2798</v>
      </c>
      <c r="AP32" s="111" t="s">
        <v>2798</v>
      </c>
      <c r="AQ32" s="111" t="s">
        <v>2798</v>
      </c>
      <c r="AR32" s="111" t="s">
        <v>2798</v>
      </c>
      <c r="AS32" s="111" t="s">
        <v>2798</v>
      </c>
      <c r="AT32" s="111" t="s">
        <v>2798</v>
      </c>
      <c r="AU32" s="111" t="s">
        <v>2798</v>
      </c>
      <c r="AV32" s="111" t="s">
        <v>2798</v>
      </c>
      <c r="AW32" s="111" t="s">
        <v>2798</v>
      </c>
      <c r="AX32" s="111" t="s">
        <v>2798</v>
      </c>
      <c r="AY32" s="111" t="s">
        <v>2798</v>
      </c>
      <c r="AZ32" s="111" t="s">
        <v>2798</v>
      </c>
      <c r="BA32" s="111" t="s">
        <v>2798</v>
      </c>
      <c r="BB32" s="111" t="s">
        <v>2798</v>
      </c>
      <c r="BC32" s="111" t="s">
        <v>2798</v>
      </c>
      <c r="BD32" s="111" t="s">
        <v>2798</v>
      </c>
      <c r="BE32" s="111" t="s">
        <v>2798</v>
      </c>
      <c r="BF32" s="111" t="s">
        <v>2798</v>
      </c>
      <c r="BG32" s="111" t="s">
        <v>2798</v>
      </c>
      <c r="BH32" s="111" t="s">
        <v>2798</v>
      </c>
      <c r="BI32" s="111" t="s">
        <v>2798</v>
      </c>
      <c r="BJ32" s="111" t="s">
        <v>2798</v>
      </c>
      <c r="BK32" s="111" t="s">
        <v>2798</v>
      </c>
      <c r="BL32" s="111" t="s">
        <v>2798</v>
      </c>
      <c r="BM32" s="111" t="s">
        <v>2798</v>
      </c>
      <c r="BN32" s="111" t="s">
        <v>2798</v>
      </c>
      <c r="BO32" s="111" t="s">
        <v>2798</v>
      </c>
      <c r="BP32" s="111" t="s">
        <v>2798</v>
      </c>
      <c r="BQ32" s="111" t="s">
        <v>2798</v>
      </c>
      <c r="BR32" s="111" t="s">
        <v>2798</v>
      </c>
      <c r="BS32" s="111" t="s">
        <v>2798</v>
      </c>
      <c r="BT32" s="111" t="s">
        <v>2798</v>
      </c>
      <c r="BU32" s="111" t="s">
        <v>2798</v>
      </c>
      <c r="BV32" s="111" t="s">
        <v>2798</v>
      </c>
      <c r="BW32" s="111" t="s">
        <v>2798</v>
      </c>
      <c r="BX32" s="111" t="s">
        <v>2798</v>
      </c>
      <c r="BY32" s="111" t="s">
        <v>2798</v>
      </c>
      <c r="BZ32" s="111" t="s">
        <v>2775</v>
      </c>
      <c r="CA32" s="111" t="s">
        <v>2776</v>
      </c>
      <c r="CB32" s="111" t="s">
        <v>2777</v>
      </c>
      <c r="CC32" s="111" t="s">
        <v>2778</v>
      </c>
      <c r="CD32" s="111" t="s">
        <v>2779</v>
      </c>
      <c r="CE32" s="111" t="s">
        <v>2780</v>
      </c>
      <c r="CF32" s="111" t="s">
        <v>2781</v>
      </c>
      <c r="CG32" s="111" t="s">
        <v>2782</v>
      </c>
      <c r="CH32" s="111" t="s">
        <v>2783</v>
      </c>
      <c r="CI32" s="111" t="s">
        <v>2798</v>
      </c>
      <c r="CJ32" s="111" t="s">
        <v>2785</v>
      </c>
      <c r="CK32" s="111" t="s">
        <v>2786</v>
      </c>
      <c r="CL32" s="111" t="s">
        <v>2787</v>
      </c>
      <c r="CM32" s="111" t="s">
        <v>2788</v>
      </c>
      <c r="CN32" s="111" t="s">
        <v>2789</v>
      </c>
      <c r="CO32" s="111" t="s">
        <v>2790</v>
      </c>
      <c r="CP32" s="111" t="s">
        <v>2791</v>
      </c>
      <c r="CQ32" s="111" t="s">
        <v>2792</v>
      </c>
    </row>
    <row r="33" spans="2:95" ht="14.25" customHeight="1">
      <c r="B33" s="106" t="s">
        <v>738</v>
      </c>
      <c r="C33" s="106" t="s">
        <v>2824</v>
      </c>
      <c r="D33" s="109">
        <v>12239.950999999999</v>
      </c>
      <c r="E33" s="106" t="s">
        <v>1899</v>
      </c>
      <c r="F33" s="110">
        <v>49.581999999998516</v>
      </c>
      <c r="G33" s="106" t="s">
        <v>2795</v>
      </c>
      <c r="H33" s="102">
        <v>0</v>
      </c>
      <c r="I33" s="102">
        <v>0</v>
      </c>
      <c r="J33" s="111" t="s">
        <v>87</v>
      </c>
      <c r="K33" s="111" t="s">
        <v>2708</v>
      </c>
      <c r="L33" s="111" t="s">
        <v>2709</v>
      </c>
      <c r="M33" s="111" t="s">
        <v>2710</v>
      </c>
      <c r="N33" s="111" t="s">
        <v>2711</v>
      </c>
      <c r="O33" s="111" t="s">
        <v>2712</v>
      </c>
      <c r="P33" s="111" t="s">
        <v>2713</v>
      </c>
      <c r="Q33" s="111" t="s">
        <v>2714</v>
      </c>
      <c r="R33" s="111" t="s">
        <v>2715</v>
      </c>
      <c r="S33" s="111" t="s">
        <v>2716</v>
      </c>
      <c r="T33" s="111" t="s">
        <v>2717</v>
      </c>
      <c r="U33" s="111" t="s">
        <v>2718</v>
      </c>
      <c r="V33" s="111" t="s">
        <v>2719</v>
      </c>
      <c r="W33" s="111" t="s">
        <v>2720</v>
      </c>
      <c r="X33" s="111" t="s">
        <v>2721</v>
      </c>
      <c r="Y33" s="111" t="s">
        <v>2722</v>
      </c>
      <c r="Z33" s="111" t="s">
        <v>2723</v>
      </c>
      <c r="AA33" s="111" t="s">
        <v>2798</v>
      </c>
      <c r="AB33" s="111" t="s">
        <v>2798</v>
      </c>
      <c r="AC33" s="111" t="s">
        <v>2798</v>
      </c>
      <c r="AD33" s="111" t="s">
        <v>2798</v>
      </c>
      <c r="AE33" s="111" t="s">
        <v>2798</v>
      </c>
      <c r="AF33" s="111" t="s">
        <v>2798</v>
      </c>
      <c r="AG33" s="111" t="s">
        <v>2798</v>
      </c>
      <c r="AH33" s="111" t="s">
        <v>2798</v>
      </c>
      <c r="AI33" s="111" t="s">
        <v>2798</v>
      </c>
      <c r="AJ33" s="111" t="s">
        <v>2798</v>
      </c>
      <c r="AK33" s="111" t="s">
        <v>2798</v>
      </c>
      <c r="AL33" s="111" t="s">
        <v>2798</v>
      </c>
      <c r="AM33" s="111" t="s">
        <v>2798</v>
      </c>
      <c r="AN33" s="111" t="s">
        <v>2798</v>
      </c>
      <c r="AO33" s="111" t="s">
        <v>2798</v>
      </c>
      <c r="AP33" s="111" t="s">
        <v>2798</v>
      </c>
      <c r="AQ33" s="111" t="s">
        <v>2798</v>
      </c>
      <c r="AR33" s="111" t="s">
        <v>2798</v>
      </c>
      <c r="AS33" s="111" t="s">
        <v>2798</v>
      </c>
      <c r="AT33" s="111" t="s">
        <v>2798</v>
      </c>
      <c r="AU33" s="111" t="s">
        <v>2798</v>
      </c>
      <c r="AV33" s="111" t="s">
        <v>2798</v>
      </c>
      <c r="AW33" s="111" t="s">
        <v>2798</v>
      </c>
      <c r="AX33" s="111" t="s">
        <v>2798</v>
      </c>
      <c r="AY33" s="111" t="s">
        <v>2798</v>
      </c>
      <c r="AZ33" s="111" t="s">
        <v>2798</v>
      </c>
      <c r="BA33" s="111" t="s">
        <v>2798</v>
      </c>
      <c r="BB33" s="111" t="s">
        <v>2798</v>
      </c>
      <c r="BC33" s="111" t="s">
        <v>2798</v>
      </c>
      <c r="BD33" s="111" t="s">
        <v>2798</v>
      </c>
      <c r="BE33" s="111" t="s">
        <v>2798</v>
      </c>
      <c r="BF33" s="111" t="s">
        <v>2798</v>
      </c>
      <c r="BG33" s="111" t="s">
        <v>2798</v>
      </c>
      <c r="BH33" s="111" t="s">
        <v>2798</v>
      </c>
      <c r="BI33" s="111" t="s">
        <v>2798</v>
      </c>
      <c r="BJ33" s="111" t="s">
        <v>2798</v>
      </c>
      <c r="BK33" s="111" t="s">
        <v>2798</v>
      </c>
      <c r="BL33" s="111" t="s">
        <v>2798</v>
      </c>
      <c r="BM33" s="111" t="s">
        <v>2798</v>
      </c>
      <c r="BN33" s="111" t="s">
        <v>2798</v>
      </c>
      <c r="BO33" s="111" t="s">
        <v>2798</v>
      </c>
      <c r="BP33" s="111" t="s">
        <v>2798</v>
      </c>
      <c r="BQ33" s="111" t="s">
        <v>2798</v>
      </c>
      <c r="BR33" s="111" t="s">
        <v>2798</v>
      </c>
      <c r="BS33" s="111" t="s">
        <v>2798</v>
      </c>
      <c r="BT33" s="111" t="s">
        <v>2798</v>
      </c>
      <c r="BU33" s="111" t="s">
        <v>2798</v>
      </c>
      <c r="BV33" s="111" t="s">
        <v>2798</v>
      </c>
      <c r="BW33" s="111" t="s">
        <v>2798</v>
      </c>
      <c r="BX33" s="111" t="s">
        <v>2798</v>
      </c>
      <c r="BY33" s="111" t="s">
        <v>2798</v>
      </c>
      <c r="BZ33" s="111" t="s">
        <v>2798</v>
      </c>
      <c r="CA33" s="111" t="s">
        <v>2798</v>
      </c>
      <c r="CB33" s="111" t="s">
        <v>2798</v>
      </c>
      <c r="CC33" s="111" t="s">
        <v>2798</v>
      </c>
      <c r="CD33" s="111" t="s">
        <v>2798</v>
      </c>
      <c r="CE33" s="111" t="s">
        <v>2798</v>
      </c>
      <c r="CF33" s="111" t="s">
        <v>2798</v>
      </c>
      <c r="CG33" s="111" t="s">
        <v>2798</v>
      </c>
      <c r="CH33" s="111" t="s">
        <v>2798</v>
      </c>
      <c r="CI33" s="111" t="s">
        <v>2798</v>
      </c>
      <c r="CJ33" s="111" t="s">
        <v>2798</v>
      </c>
      <c r="CK33" s="111" t="s">
        <v>2798</v>
      </c>
      <c r="CL33" s="111" t="s">
        <v>2798</v>
      </c>
      <c r="CM33" s="111" t="s">
        <v>2798</v>
      </c>
      <c r="CN33" s="111" t="s">
        <v>2798</v>
      </c>
      <c r="CO33" s="111" t="s">
        <v>2798</v>
      </c>
      <c r="CP33" s="111" t="s">
        <v>2798</v>
      </c>
      <c r="CQ33" s="111" t="s">
        <v>2798</v>
      </c>
    </row>
    <row r="34" spans="2:95" ht="14.25" customHeight="1">
      <c r="B34" s="106" t="s">
        <v>739</v>
      </c>
      <c r="C34" s="106" t="s">
        <v>2825</v>
      </c>
      <c r="D34" s="109">
        <v>12289.531999999999</v>
      </c>
      <c r="E34" s="106" t="s">
        <v>1899</v>
      </c>
      <c r="F34" s="110">
        <v>49.581000000000131</v>
      </c>
      <c r="G34" s="106" t="s">
        <v>2795</v>
      </c>
      <c r="H34" s="102">
        <v>0</v>
      </c>
      <c r="I34" s="102">
        <v>0</v>
      </c>
      <c r="J34" s="111" t="s">
        <v>2798</v>
      </c>
      <c r="K34" s="111" t="s">
        <v>2798</v>
      </c>
      <c r="L34" s="111" t="s">
        <v>2798</v>
      </c>
      <c r="M34" s="111" t="s">
        <v>2798</v>
      </c>
      <c r="N34" s="111" t="s">
        <v>2798</v>
      </c>
      <c r="O34" s="111" t="s">
        <v>2798</v>
      </c>
      <c r="P34" s="111" t="s">
        <v>2798</v>
      </c>
      <c r="Q34" s="111" t="s">
        <v>2798</v>
      </c>
      <c r="R34" s="111" t="s">
        <v>2798</v>
      </c>
      <c r="S34" s="111" t="s">
        <v>2798</v>
      </c>
      <c r="T34" s="111" t="s">
        <v>2798</v>
      </c>
      <c r="U34" s="111" t="s">
        <v>2798</v>
      </c>
      <c r="V34" s="111" t="s">
        <v>2798</v>
      </c>
      <c r="W34" s="111" t="s">
        <v>2798</v>
      </c>
      <c r="X34" s="111" t="s">
        <v>2798</v>
      </c>
      <c r="Y34" s="111" t="s">
        <v>2798</v>
      </c>
      <c r="Z34" s="111" t="s">
        <v>2798</v>
      </c>
      <c r="AA34" s="111" t="s">
        <v>2724</v>
      </c>
      <c r="AB34" s="111" t="s">
        <v>2725</v>
      </c>
      <c r="AC34" s="111" t="s">
        <v>2726</v>
      </c>
      <c r="AD34" s="111" t="s">
        <v>2727</v>
      </c>
      <c r="AE34" s="111" t="s">
        <v>2728</v>
      </c>
      <c r="AF34" s="111" t="s">
        <v>2729</v>
      </c>
      <c r="AG34" s="111" t="s">
        <v>2730</v>
      </c>
      <c r="AH34" s="111" t="s">
        <v>2731</v>
      </c>
      <c r="AI34" s="111" t="s">
        <v>2732</v>
      </c>
      <c r="AJ34" s="111" t="s">
        <v>2733</v>
      </c>
      <c r="AK34" s="111" t="s">
        <v>2734</v>
      </c>
      <c r="AL34" s="111" t="s">
        <v>2735</v>
      </c>
      <c r="AM34" s="111" t="s">
        <v>2736</v>
      </c>
      <c r="AN34" s="111" t="s">
        <v>2737</v>
      </c>
      <c r="AO34" s="111" t="s">
        <v>2738</v>
      </c>
      <c r="AP34" s="111" t="s">
        <v>2739</v>
      </c>
      <c r="AQ34" s="111" t="s">
        <v>2740</v>
      </c>
      <c r="AR34" s="111" t="s">
        <v>2798</v>
      </c>
      <c r="AS34" s="111" t="s">
        <v>2798</v>
      </c>
      <c r="AT34" s="111" t="s">
        <v>2798</v>
      </c>
      <c r="AU34" s="111" t="s">
        <v>2798</v>
      </c>
      <c r="AV34" s="111" t="s">
        <v>2798</v>
      </c>
      <c r="AW34" s="111" t="s">
        <v>2798</v>
      </c>
      <c r="AX34" s="111" t="s">
        <v>2798</v>
      </c>
      <c r="AY34" s="111" t="s">
        <v>2798</v>
      </c>
      <c r="AZ34" s="111" t="s">
        <v>2798</v>
      </c>
      <c r="BA34" s="111" t="s">
        <v>2798</v>
      </c>
      <c r="BB34" s="111" t="s">
        <v>2798</v>
      </c>
      <c r="BC34" s="111" t="s">
        <v>2798</v>
      </c>
      <c r="BD34" s="111" t="s">
        <v>2798</v>
      </c>
      <c r="BE34" s="111" t="s">
        <v>2798</v>
      </c>
      <c r="BF34" s="111" t="s">
        <v>2798</v>
      </c>
      <c r="BG34" s="111" t="s">
        <v>2798</v>
      </c>
      <c r="BH34" s="111" t="s">
        <v>2798</v>
      </c>
      <c r="BI34" s="111" t="s">
        <v>2798</v>
      </c>
      <c r="BJ34" s="111" t="s">
        <v>2798</v>
      </c>
      <c r="BK34" s="111" t="s">
        <v>2798</v>
      </c>
      <c r="BL34" s="111" t="s">
        <v>2798</v>
      </c>
      <c r="BM34" s="111" t="s">
        <v>2798</v>
      </c>
      <c r="BN34" s="111" t="s">
        <v>2798</v>
      </c>
      <c r="BO34" s="111" t="s">
        <v>2798</v>
      </c>
      <c r="BP34" s="111" t="s">
        <v>2798</v>
      </c>
      <c r="BQ34" s="111" t="s">
        <v>2798</v>
      </c>
      <c r="BR34" s="111" t="s">
        <v>2798</v>
      </c>
      <c r="BS34" s="111" t="s">
        <v>2798</v>
      </c>
      <c r="BT34" s="111" t="s">
        <v>2798</v>
      </c>
      <c r="BU34" s="111" t="s">
        <v>2798</v>
      </c>
      <c r="BV34" s="111" t="s">
        <v>2798</v>
      </c>
      <c r="BW34" s="111" t="s">
        <v>2798</v>
      </c>
      <c r="BX34" s="111" t="s">
        <v>2798</v>
      </c>
      <c r="BY34" s="111" t="s">
        <v>2798</v>
      </c>
      <c r="BZ34" s="111" t="s">
        <v>2798</v>
      </c>
      <c r="CA34" s="111" t="s">
        <v>2798</v>
      </c>
      <c r="CB34" s="111" t="s">
        <v>2798</v>
      </c>
      <c r="CC34" s="111" t="s">
        <v>2798</v>
      </c>
      <c r="CD34" s="111" t="s">
        <v>2798</v>
      </c>
      <c r="CE34" s="111" t="s">
        <v>2798</v>
      </c>
      <c r="CF34" s="111" t="s">
        <v>2798</v>
      </c>
      <c r="CG34" s="111" t="s">
        <v>2798</v>
      </c>
      <c r="CH34" s="111" t="s">
        <v>2798</v>
      </c>
      <c r="CI34" s="111" t="s">
        <v>2798</v>
      </c>
      <c r="CJ34" s="111" t="s">
        <v>2798</v>
      </c>
      <c r="CK34" s="111" t="s">
        <v>2798</v>
      </c>
      <c r="CL34" s="111" t="s">
        <v>2798</v>
      </c>
      <c r="CM34" s="111" t="s">
        <v>2798</v>
      </c>
      <c r="CN34" s="111" t="s">
        <v>2798</v>
      </c>
      <c r="CO34" s="111" t="s">
        <v>2798</v>
      </c>
      <c r="CP34" s="111" t="s">
        <v>2798</v>
      </c>
      <c r="CQ34" s="111" t="s">
        <v>2798</v>
      </c>
    </row>
    <row r="35" spans="2:95" ht="14.25" customHeight="1">
      <c r="B35" s="106" t="s">
        <v>740</v>
      </c>
      <c r="C35" s="106" t="s">
        <v>2826</v>
      </c>
      <c r="D35" s="109">
        <v>12339.114</v>
      </c>
      <c r="E35" s="106" t="s">
        <v>1899</v>
      </c>
      <c r="F35" s="110">
        <v>49.582000000000335</v>
      </c>
      <c r="G35" s="106" t="s">
        <v>2795</v>
      </c>
      <c r="H35" s="102">
        <v>0</v>
      </c>
      <c r="I35" s="102">
        <v>0</v>
      </c>
      <c r="J35" s="111" t="s">
        <v>2798</v>
      </c>
      <c r="K35" s="111" t="s">
        <v>2798</v>
      </c>
      <c r="L35" s="111" t="s">
        <v>2798</v>
      </c>
      <c r="M35" s="111" t="s">
        <v>2798</v>
      </c>
      <c r="N35" s="111" t="s">
        <v>2798</v>
      </c>
      <c r="O35" s="111" t="s">
        <v>2798</v>
      </c>
      <c r="P35" s="111" t="s">
        <v>2798</v>
      </c>
      <c r="Q35" s="111" t="s">
        <v>2798</v>
      </c>
      <c r="R35" s="111" t="s">
        <v>2798</v>
      </c>
      <c r="S35" s="111" t="s">
        <v>2798</v>
      </c>
      <c r="T35" s="111" t="s">
        <v>2798</v>
      </c>
      <c r="U35" s="111" t="s">
        <v>2798</v>
      </c>
      <c r="V35" s="111" t="s">
        <v>2798</v>
      </c>
      <c r="W35" s="111" t="s">
        <v>2798</v>
      </c>
      <c r="X35" s="111" t="s">
        <v>2798</v>
      </c>
      <c r="Y35" s="111" t="s">
        <v>2798</v>
      </c>
      <c r="Z35" s="111" t="s">
        <v>2798</v>
      </c>
      <c r="AA35" s="111" t="s">
        <v>2798</v>
      </c>
      <c r="AB35" s="111" t="s">
        <v>2798</v>
      </c>
      <c r="AC35" s="111" t="s">
        <v>2798</v>
      </c>
      <c r="AD35" s="111" t="s">
        <v>2798</v>
      </c>
      <c r="AE35" s="111" t="s">
        <v>2798</v>
      </c>
      <c r="AF35" s="111" t="s">
        <v>2798</v>
      </c>
      <c r="AG35" s="111" t="s">
        <v>2798</v>
      </c>
      <c r="AH35" s="111" t="s">
        <v>2798</v>
      </c>
      <c r="AI35" s="111" t="s">
        <v>2798</v>
      </c>
      <c r="AJ35" s="111" t="s">
        <v>2798</v>
      </c>
      <c r="AK35" s="111" t="s">
        <v>2798</v>
      </c>
      <c r="AL35" s="111" t="s">
        <v>2798</v>
      </c>
      <c r="AM35" s="111" t="s">
        <v>2798</v>
      </c>
      <c r="AN35" s="111" t="s">
        <v>2798</v>
      </c>
      <c r="AO35" s="111" t="s">
        <v>2798</v>
      </c>
      <c r="AP35" s="111" t="s">
        <v>2798</v>
      </c>
      <c r="AQ35" s="111" t="s">
        <v>2798</v>
      </c>
      <c r="AR35" s="111" t="s">
        <v>2741</v>
      </c>
      <c r="AS35" s="111" t="s">
        <v>2742</v>
      </c>
      <c r="AT35" s="111" t="s">
        <v>2743</v>
      </c>
      <c r="AU35" s="111" t="s">
        <v>2744</v>
      </c>
      <c r="AV35" s="111" t="s">
        <v>2745</v>
      </c>
      <c r="AW35" s="111" t="s">
        <v>2746</v>
      </c>
      <c r="AX35" s="111" t="s">
        <v>2747</v>
      </c>
      <c r="AY35" s="111" t="s">
        <v>2748</v>
      </c>
      <c r="AZ35" s="111" t="s">
        <v>2749</v>
      </c>
      <c r="BA35" s="111" t="s">
        <v>2750</v>
      </c>
      <c r="BB35" s="111" t="s">
        <v>2751</v>
      </c>
      <c r="BC35" s="111" t="s">
        <v>2752</v>
      </c>
      <c r="BD35" s="111" t="s">
        <v>2753</v>
      </c>
      <c r="BE35" s="111" t="s">
        <v>2754</v>
      </c>
      <c r="BF35" s="111" t="s">
        <v>2755</v>
      </c>
      <c r="BG35" s="111" t="s">
        <v>2756</v>
      </c>
      <c r="BH35" s="111" t="s">
        <v>2757</v>
      </c>
      <c r="BI35" s="111" t="s">
        <v>2798</v>
      </c>
      <c r="BJ35" s="111" t="s">
        <v>2798</v>
      </c>
      <c r="BK35" s="111" t="s">
        <v>2798</v>
      </c>
      <c r="BL35" s="111" t="s">
        <v>2798</v>
      </c>
      <c r="BM35" s="111" t="s">
        <v>2798</v>
      </c>
      <c r="BN35" s="111" t="s">
        <v>2798</v>
      </c>
      <c r="BO35" s="111" t="s">
        <v>2798</v>
      </c>
      <c r="BP35" s="111" t="s">
        <v>2798</v>
      </c>
      <c r="BQ35" s="111" t="s">
        <v>2798</v>
      </c>
      <c r="BR35" s="111" t="s">
        <v>2798</v>
      </c>
      <c r="BS35" s="111" t="s">
        <v>2798</v>
      </c>
      <c r="BT35" s="111" t="s">
        <v>2798</v>
      </c>
      <c r="BU35" s="111" t="s">
        <v>2798</v>
      </c>
      <c r="BV35" s="111" t="s">
        <v>2798</v>
      </c>
      <c r="BW35" s="111" t="s">
        <v>2798</v>
      </c>
      <c r="BX35" s="111" t="s">
        <v>2798</v>
      </c>
      <c r="BY35" s="111" t="s">
        <v>2798</v>
      </c>
      <c r="BZ35" s="111" t="s">
        <v>2798</v>
      </c>
      <c r="CA35" s="111" t="s">
        <v>2798</v>
      </c>
      <c r="CB35" s="111" t="s">
        <v>2798</v>
      </c>
      <c r="CC35" s="111" t="s">
        <v>2798</v>
      </c>
      <c r="CD35" s="111" t="s">
        <v>2798</v>
      </c>
      <c r="CE35" s="111" t="s">
        <v>2798</v>
      </c>
      <c r="CF35" s="111" t="s">
        <v>2798</v>
      </c>
      <c r="CG35" s="111" t="s">
        <v>2798</v>
      </c>
      <c r="CH35" s="111" t="s">
        <v>2798</v>
      </c>
      <c r="CI35" s="111" t="s">
        <v>2798</v>
      </c>
      <c r="CJ35" s="111" t="s">
        <v>2798</v>
      </c>
      <c r="CK35" s="111" t="s">
        <v>2798</v>
      </c>
      <c r="CL35" s="111" t="s">
        <v>2798</v>
      </c>
      <c r="CM35" s="111" t="s">
        <v>2798</v>
      </c>
      <c r="CN35" s="111" t="s">
        <v>2798</v>
      </c>
      <c r="CO35" s="111" t="s">
        <v>2798</v>
      </c>
      <c r="CP35" s="111" t="s">
        <v>2798</v>
      </c>
      <c r="CQ35" s="111" t="s">
        <v>2798</v>
      </c>
    </row>
    <row r="36" spans="2:95" ht="14.25" customHeight="1">
      <c r="B36" s="106" t="s">
        <v>741</v>
      </c>
      <c r="C36" s="106" t="s">
        <v>2827</v>
      </c>
      <c r="D36" s="109">
        <v>12388.825000000001</v>
      </c>
      <c r="E36" s="106" t="s">
        <v>1899</v>
      </c>
      <c r="F36" s="110">
        <v>49.71100000000115</v>
      </c>
      <c r="G36" s="106" t="s">
        <v>2795</v>
      </c>
      <c r="H36" s="102">
        <v>0</v>
      </c>
      <c r="I36" s="102">
        <v>0</v>
      </c>
      <c r="J36" s="111" t="s">
        <v>2798</v>
      </c>
      <c r="K36" s="111" t="s">
        <v>2798</v>
      </c>
      <c r="L36" s="111" t="s">
        <v>2798</v>
      </c>
      <c r="M36" s="111" t="s">
        <v>2798</v>
      </c>
      <c r="N36" s="111" t="s">
        <v>2798</v>
      </c>
      <c r="O36" s="111" t="s">
        <v>2798</v>
      </c>
      <c r="P36" s="111" t="s">
        <v>2798</v>
      </c>
      <c r="Q36" s="111" t="s">
        <v>2798</v>
      </c>
      <c r="R36" s="111" t="s">
        <v>2798</v>
      </c>
      <c r="S36" s="111" t="s">
        <v>2798</v>
      </c>
      <c r="T36" s="111" t="s">
        <v>2798</v>
      </c>
      <c r="U36" s="111" t="s">
        <v>2798</v>
      </c>
      <c r="V36" s="111" t="s">
        <v>2798</v>
      </c>
      <c r="W36" s="111" t="s">
        <v>2798</v>
      </c>
      <c r="X36" s="111" t="s">
        <v>2798</v>
      </c>
      <c r="Y36" s="111" t="s">
        <v>2798</v>
      </c>
      <c r="Z36" s="111" t="s">
        <v>2798</v>
      </c>
      <c r="AA36" s="111" t="s">
        <v>2798</v>
      </c>
      <c r="AB36" s="111" t="s">
        <v>2798</v>
      </c>
      <c r="AC36" s="111" t="s">
        <v>2798</v>
      </c>
      <c r="AD36" s="111" t="s">
        <v>2798</v>
      </c>
      <c r="AE36" s="111" t="s">
        <v>2798</v>
      </c>
      <c r="AF36" s="111" t="s">
        <v>2798</v>
      </c>
      <c r="AG36" s="111" t="s">
        <v>2798</v>
      </c>
      <c r="AH36" s="111" t="s">
        <v>2798</v>
      </c>
      <c r="AI36" s="111" t="s">
        <v>2798</v>
      </c>
      <c r="AJ36" s="111" t="s">
        <v>2798</v>
      </c>
      <c r="AK36" s="111" t="s">
        <v>2798</v>
      </c>
      <c r="AL36" s="111" t="s">
        <v>2798</v>
      </c>
      <c r="AM36" s="111" t="s">
        <v>2798</v>
      </c>
      <c r="AN36" s="111" t="s">
        <v>2798</v>
      </c>
      <c r="AO36" s="111" t="s">
        <v>2798</v>
      </c>
      <c r="AP36" s="111" t="s">
        <v>2798</v>
      </c>
      <c r="AQ36" s="111" t="s">
        <v>2798</v>
      </c>
      <c r="AR36" s="111" t="s">
        <v>2798</v>
      </c>
      <c r="AS36" s="111" t="s">
        <v>2798</v>
      </c>
      <c r="AT36" s="111" t="s">
        <v>2798</v>
      </c>
      <c r="AU36" s="111" t="s">
        <v>2798</v>
      </c>
      <c r="AV36" s="111" t="s">
        <v>2798</v>
      </c>
      <c r="AW36" s="111" t="s">
        <v>2798</v>
      </c>
      <c r="AX36" s="111" t="s">
        <v>2798</v>
      </c>
      <c r="AY36" s="111" t="s">
        <v>2798</v>
      </c>
      <c r="AZ36" s="111" t="s">
        <v>2798</v>
      </c>
      <c r="BA36" s="111" t="s">
        <v>2798</v>
      </c>
      <c r="BB36" s="111" t="s">
        <v>2798</v>
      </c>
      <c r="BC36" s="111" t="s">
        <v>2798</v>
      </c>
      <c r="BD36" s="111" t="s">
        <v>2798</v>
      </c>
      <c r="BE36" s="111" t="s">
        <v>2798</v>
      </c>
      <c r="BF36" s="111" t="s">
        <v>2798</v>
      </c>
      <c r="BG36" s="111" t="s">
        <v>2798</v>
      </c>
      <c r="BH36" s="111" t="s">
        <v>2798</v>
      </c>
      <c r="BI36" s="111" t="s">
        <v>2758</v>
      </c>
      <c r="BJ36" s="111" t="s">
        <v>2759</v>
      </c>
      <c r="BK36" s="111" t="s">
        <v>2760</v>
      </c>
      <c r="BL36" s="111" t="s">
        <v>2761</v>
      </c>
      <c r="BM36" s="111" t="s">
        <v>2762</v>
      </c>
      <c r="BN36" s="111" t="s">
        <v>2763</v>
      </c>
      <c r="BO36" s="111" t="s">
        <v>2764</v>
      </c>
      <c r="BP36" s="111" t="s">
        <v>2765</v>
      </c>
      <c r="BQ36" s="111" t="s">
        <v>2766</v>
      </c>
      <c r="BR36" s="111" t="s">
        <v>2767</v>
      </c>
      <c r="BS36" s="111" t="s">
        <v>2768</v>
      </c>
      <c r="BT36" s="111" t="s">
        <v>2769</v>
      </c>
      <c r="BU36" s="111" t="s">
        <v>2770</v>
      </c>
      <c r="BV36" s="111" t="s">
        <v>2771</v>
      </c>
      <c r="BW36" s="111" t="s">
        <v>2772</v>
      </c>
      <c r="BX36" s="111" t="s">
        <v>2773</v>
      </c>
      <c r="BY36" s="111" t="s">
        <v>2774</v>
      </c>
      <c r="BZ36" s="111" t="s">
        <v>2798</v>
      </c>
      <c r="CA36" s="111" t="s">
        <v>2798</v>
      </c>
      <c r="CB36" s="111" t="s">
        <v>2798</v>
      </c>
      <c r="CC36" s="111" t="s">
        <v>2798</v>
      </c>
      <c r="CD36" s="111" t="s">
        <v>2798</v>
      </c>
      <c r="CE36" s="111" t="s">
        <v>2798</v>
      </c>
      <c r="CF36" s="111" t="s">
        <v>2798</v>
      </c>
      <c r="CG36" s="111" t="s">
        <v>2798</v>
      </c>
      <c r="CH36" s="111" t="s">
        <v>2798</v>
      </c>
      <c r="CI36" s="111" t="s">
        <v>2798</v>
      </c>
      <c r="CJ36" s="111" t="s">
        <v>2798</v>
      </c>
      <c r="CK36" s="111" t="s">
        <v>2798</v>
      </c>
      <c r="CL36" s="111" t="s">
        <v>2798</v>
      </c>
      <c r="CM36" s="111" t="s">
        <v>2798</v>
      </c>
      <c r="CN36" s="111" t="s">
        <v>2798</v>
      </c>
      <c r="CO36" s="111" t="s">
        <v>2798</v>
      </c>
      <c r="CP36" s="111" t="s">
        <v>2798</v>
      </c>
      <c r="CQ36" s="111" t="s">
        <v>2798</v>
      </c>
    </row>
    <row r="37" spans="2:95" ht="14.25" customHeight="1">
      <c r="B37" s="106" t="s">
        <v>742</v>
      </c>
      <c r="C37" s="106" t="s">
        <v>2828</v>
      </c>
      <c r="D37" s="109">
        <v>12438.772999999999</v>
      </c>
      <c r="E37" s="106" t="s">
        <v>1899</v>
      </c>
      <c r="F37" s="110">
        <v>49.947999999998501</v>
      </c>
      <c r="G37" s="106" t="s">
        <v>2793</v>
      </c>
      <c r="H37" s="102">
        <v>0</v>
      </c>
      <c r="I37" s="102">
        <v>0</v>
      </c>
      <c r="J37" s="111" t="s">
        <v>2798</v>
      </c>
      <c r="K37" s="111" t="s">
        <v>2798</v>
      </c>
      <c r="L37" s="111" t="s">
        <v>2798</v>
      </c>
      <c r="M37" s="111" t="s">
        <v>2798</v>
      </c>
      <c r="N37" s="111" t="s">
        <v>2798</v>
      </c>
      <c r="O37" s="111" t="s">
        <v>2798</v>
      </c>
      <c r="P37" s="111" t="s">
        <v>2798</v>
      </c>
      <c r="Q37" s="111" t="s">
        <v>2798</v>
      </c>
      <c r="R37" s="111" t="s">
        <v>2798</v>
      </c>
      <c r="S37" s="111" t="s">
        <v>2798</v>
      </c>
      <c r="T37" s="111" t="s">
        <v>2798</v>
      </c>
      <c r="U37" s="111" t="s">
        <v>2798</v>
      </c>
      <c r="V37" s="111" t="s">
        <v>2798</v>
      </c>
      <c r="W37" s="111" t="s">
        <v>2798</v>
      </c>
      <c r="X37" s="111" t="s">
        <v>2798</v>
      </c>
      <c r="Y37" s="111" t="s">
        <v>2798</v>
      </c>
      <c r="Z37" s="111" t="s">
        <v>2798</v>
      </c>
      <c r="AA37" s="111" t="s">
        <v>2798</v>
      </c>
      <c r="AB37" s="111" t="s">
        <v>2798</v>
      </c>
      <c r="AC37" s="111" t="s">
        <v>2798</v>
      </c>
      <c r="AD37" s="111" t="s">
        <v>2798</v>
      </c>
      <c r="AE37" s="111" t="s">
        <v>2798</v>
      </c>
      <c r="AF37" s="111" t="s">
        <v>2798</v>
      </c>
      <c r="AG37" s="111" t="s">
        <v>2798</v>
      </c>
      <c r="AH37" s="111" t="s">
        <v>2798</v>
      </c>
      <c r="AI37" s="111" t="s">
        <v>2798</v>
      </c>
      <c r="AJ37" s="111" t="s">
        <v>2798</v>
      </c>
      <c r="AK37" s="111" t="s">
        <v>2798</v>
      </c>
      <c r="AL37" s="111" t="s">
        <v>2798</v>
      </c>
      <c r="AM37" s="111" t="s">
        <v>2798</v>
      </c>
      <c r="AN37" s="111" t="s">
        <v>2798</v>
      </c>
      <c r="AO37" s="111" t="s">
        <v>2798</v>
      </c>
      <c r="AP37" s="111" t="s">
        <v>2798</v>
      </c>
      <c r="AQ37" s="111" t="s">
        <v>2798</v>
      </c>
      <c r="AR37" s="111" t="s">
        <v>2798</v>
      </c>
      <c r="AS37" s="111" t="s">
        <v>2798</v>
      </c>
      <c r="AT37" s="111" t="s">
        <v>2798</v>
      </c>
      <c r="AU37" s="111" t="s">
        <v>2798</v>
      </c>
      <c r="AV37" s="111" t="s">
        <v>2798</v>
      </c>
      <c r="AW37" s="111" t="s">
        <v>2798</v>
      </c>
      <c r="AX37" s="111" t="s">
        <v>2798</v>
      </c>
      <c r="AY37" s="111" t="s">
        <v>2798</v>
      </c>
      <c r="AZ37" s="111" t="s">
        <v>2798</v>
      </c>
      <c r="BA37" s="111" t="s">
        <v>2798</v>
      </c>
      <c r="BB37" s="111" t="s">
        <v>2798</v>
      </c>
      <c r="BC37" s="111" t="s">
        <v>2798</v>
      </c>
      <c r="BD37" s="111" t="s">
        <v>2798</v>
      </c>
      <c r="BE37" s="111" t="s">
        <v>2798</v>
      </c>
      <c r="BF37" s="111" t="s">
        <v>2798</v>
      </c>
      <c r="BG37" s="111" t="s">
        <v>2798</v>
      </c>
      <c r="BH37" s="111" t="s">
        <v>2798</v>
      </c>
      <c r="BI37" s="111" t="s">
        <v>2798</v>
      </c>
      <c r="BJ37" s="111" t="s">
        <v>2798</v>
      </c>
      <c r="BK37" s="111" t="s">
        <v>2798</v>
      </c>
      <c r="BL37" s="111" t="s">
        <v>2798</v>
      </c>
      <c r="BM37" s="111" t="s">
        <v>2798</v>
      </c>
      <c r="BN37" s="111" t="s">
        <v>2798</v>
      </c>
      <c r="BO37" s="111" t="s">
        <v>2798</v>
      </c>
      <c r="BP37" s="111" t="s">
        <v>2798</v>
      </c>
      <c r="BQ37" s="111" t="s">
        <v>2798</v>
      </c>
      <c r="BR37" s="111" t="s">
        <v>2798</v>
      </c>
      <c r="BS37" s="111" t="s">
        <v>2798</v>
      </c>
      <c r="BT37" s="111" t="s">
        <v>2798</v>
      </c>
      <c r="BU37" s="111" t="s">
        <v>2798</v>
      </c>
      <c r="BV37" s="111" t="s">
        <v>2798</v>
      </c>
      <c r="BW37" s="111" t="s">
        <v>2798</v>
      </c>
      <c r="BX37" s="111" t="s">
        <v>2798</v>
      </c>
      <c r="BY37" s="111" t="s">
        <v>2798</v>
      </c>
      <c r="BZ37" s="111" t="s">
        <v>2775</v>
      </c>
      <c r="CA37" s="111" t="s">
        <v>2776</v>
      </c>
      <c r="CB37" s="111" t="s">
        <v>2777</v>
      </c>
      <c r="CC37" s="111" t="s">
        <v>2778</v>
      </c>
      <c r="CD37" s="111" t="s">
        <v>2779</v>
      </c>
      <c r="CE37" s="111" t="s">
        <v>2780</v>
      </c>
      <c r="CF37" s="111" t="s">
        <v>2781</v>
      </c>
      <c r="CG37" s="111" t="s">
        <v>2782</v>
      </c>
      <c r="CH37" s="111" t="s">
        <v>2783</v>
      </c>
      <c r="CI37" s="111" t="s">
        <v>2798</v>
      </c>
      <c r="CJ37" s="111" t="s">
        <v>2785</v>
      </c>
      <c r="CK37" s="111" t="s">
        <v>2786</v>
      </c>
      <c r="CL37" s="111" t="s">
        <v>2787</v>
      </c>
      <c r="CM37" s="111" t="s">
        <v>2788</v>
      </c>
      <c r="CN37" s="111" t="s">
        <v>2789</v>
      </c>
      <c r="CO37" s="111" t="s">
        <v>2790</v>
      </c>
      <c r="CP37" s="111" t="s">
        <v>2791</v>
      </c>
      <c r="CQ37" s="111" t="s">
        <v>2792</v>
      </c>
    </row>
    <row r="38" spans="2:95" ht="14.25" customHeight="1">
      <c r="B38" s="106" t="s">
        <v>743</v>
      </c>
      <c r="C38" s="106" t="s">
        <v>2829</v>
      </c>
      <c r="D38" s="109">
        <v>12473.723</v>
      </c>
      <c r="E38" s="106" t="s">
        <v>1916</v>
      </c>
      <c r="F38" s="110">
        <v>34.950000000000728</v>
      </c>
      <c r="G38" s="106" t="s">
        <v>2795</v>
      </c>
      <c r="H38" s="102">
        <v>0</v>
      </c>
      <c r="I38" s="102">
        <v>0</v>
      </c>
      <c r="J38" s="111" t="s">
        <v>87</v>
      </c>
      <c r="K38" s="111" t="s">
        <v>2708</v>
      </c>
      <c r="L38" s="111" t="s">
        <v>2709</v>
      </c>
      <c r="M38" s="111" t="s">
        <v>2710</v>
      </c>
      <c r="N38" s="111" t="s">
        <v>2711</v>
      </c>
      <c r="O38" s="111" t="s">
        <v>2712</v>
      </c>
      <c r="P38" s="111" t="s">
        <v>2713</v>
      </c>
      <c r="Q38" s="111" t="s">
        <v>2714</v>
      </c>
      <c r="R38" s="111" t="s">
        <v>2715</v>
      </c>
      <c r="S38" s="111" t="s">
        <v>2716</v>
      </c>
      <c r="T38" s="111" t="s">
        <v>2717</v>
      </c>
      <c r="U38" s="111" t="s">
        <v>2718</v>
      </c>
      <c r="V38" s="111" t="s">
        <v>2798</v>
      </c>
      <c r="W38" s="111" t="s">
        <v>2798</v>
      </c>
      <c r="X38" s="111" t="s">
        <v>2798</v>
      </c>
      <c r="Y38" s="111" t="s">
        <v>2798</v>
      </c>
      <c r="Z38" s="111" t="s">
        <v>2798</v>
      </c>
      <c r="AA38" s="111" t="s">
        <v>2798</v>
      </c>
      <c r="AB38" s="111" t="s">
        <v>2798</v>
      </c>
      <c r="AC38" s="111" t="s">
        <v>2798</v>
      </c>
      <c r="AD38" s="111" t="s">
        <v>2798</v>
      </c>
      <c r="AE38" s="111" t="s">
        <v>2798</v>
      </c>
      <c r="AF38" s="111" t="s">
        <v>2798</v>
      </c>
      <c r="AG38" s="111" t="s">
        <v>2798</v>
      </c>
      <c r="AH38" s="111" t="s">
        <v>2798</v>
      </c>
      <c r="AI38" s="111" t="s">
        <v>2798</v>
      </c>
      <c r="AJ38" s="111" t="s">
        <v>2798</v>
      </c>
      <c r="AK38" s="111" t="s">
        <v>2798</v>
      </c>
      <c r="AL38" s="111" t="s">
        <v>2798</v>
      </c>
      <c r="AM38" s="111" t="s">
        <v>2798</v>
      </c>
      <c r="AN38" s="111" t="s">
        <v>2798</v>
      </c>
      <c r="AO38" s="111" t="s">
        <v>2798</v>
      </c>
      <c r="AP38" s="111" t="s">
        <v>2798</v>
      </c>
      <c r="AQ38" s="111" t="s">
        <v>2798</v>
      </c>
      <c r="AR38" s="111" t="s">
        <v>2798</v>
      </c>
      <c r="AS38" s="111" t="s">
        <v>2798</v>
      </c>
      <c r="AT38" s="111" t="s">
        <v>2798</v>
      </c>
      <c r="AU38" s="111" t="s">
        <v>2798</v>
      </c>
      <c r="AV38" s="111" t="s">
        <v>2798</v>
      </c>
      <c r="AW38" s="111" t="s">
        <v>2798</v>
      </c>
      <c r="AX38" s="111" t="s">
        <v>2798</v>
      </c>
      <c r="AY38" s="111" t="s">
        <v>2798</v>
      </c>
      <c r="AZ38" s="111" t="s">
        <v>2798</v>
      </c>
      <c r="BA38" s="111" t="s">
        <v>2798</v>
      </c>
      <c r="BB38" s="111" t="s">
        <v>2798</v>
      </c>
      <c r="BC38" s="111" t="s">
        <v>2798</v>
      </c>
      <c r="BD38" s="111" t="s">
        <v>2798</v>
      </c>
      <c r="BE38" s="111" t="s">
        <v>2798</v>
      </c>
      <c r="BF38" s="111" t="s">
        <v>2798</v>
      </c>
      <c r="BG38" s="111" t="s">
        <v>2798</v>
      </c>
      <c r="BH38" s="111" t="s">
        <v>2798</v>
      </c>
      <c r="BI38" s="111" t="s">
        <v>2798</v>
      </c>
      <c r="BJ38" s="111" t="s">
        <v>2798</v>
      </c>
      <c r="BK38" s="111" t="s">
        <v>2798</v>
      </c>
      <c r="BL38" s="111" t="s">
        <v>2798</v>
      </c>
      <c r="BM38" s="111" t="s">
        <v>2798</v>
      </c>
      <c r="BN38" s="111" t="s">
        <v>2798</v>
      </c>
      <c r="BO38" s="111" t="s">
        <v>2798</v>
      </c>
      <c r="BP38" s="111" t="s">
        <v>2798</v>
      </c>
      <c r="BQ38" s="111" t="s">
        <v>2798</v>
      </c>
      <c r="BR38" s="111" t="s">
        <v>2798</v>
      </c>
      <c r="BS38" s="111" t="s">
        <v>2798</v>
      </c>
      <c r="BT38" s="111" t="s">
        <v>2798</v>
      </c>
      <c r="BU38" s="111" t="s">
        <v>2798</v>
      </c>
      <c r="BV38" s="111" t="s">
        <v>2798</v>
      </c>
      <c r="BW38" s="111" t="s">
        <v>2798</v>
      </c>
      <c r="BX38" s="111" t="s">
        <v>2798</v>
      </c>
      <c r="BY38" s="111" t="s">
        <v>2798</v>
      </c>
      <c r="BZ38" s="111" t="s">
        <v>2798</v>
      </c>
      <c r="CA38" s="111" t="s">
        <v>2798</v>
      </c>
      <c r="CB38" s="111" t="s">
        <v>2798</v>
      </c>
      <c r="CC38" s="111" t="s">
        <v>2798</v>
      </c>
      <c r="CD38" s="111" t="s">
        <v>2798</v>
      </c>
      <c r="CE38" s="111" t="s">
        <v>2798</v>
      </c>
      <c r="CF38" s="111" t="s">
        <v>2798</v>
      </c>
      <c r="CG38" s="111" t="s">
        <v>2798</v>
      </c>
      <c r="CH38" s="111" t="s">
        <v>2798</v>
      </c>
      <c r="CI38" s="111" t="s">
        <v>2798</v>
      </c>
      <c r="CJ38" s="111" t="s">
        <v>2798</v>
      </c>
      <c r="CK38" s="111" t="s">
        <v>2798</v>
      </c>
      <c r="CL38" s="111" t="s">
        <v>2798</v>
      </c>
      <c r="CM38" s="111" t="s">
        <v>2798</v>
      </c>
      <c r="CN38" s="111" t="s">
        <v>2798</v>
      </c>
      <c r="CO38" s="111" t="s">
        <v>2798</v>
      </c>
      <c r="CP38" s="111" t="s">
        <v>2798</v>
      </c>
      <c r="CQ38" s="111" t="s">
        <v>2798</v>
      </c>
    </row>
    <row r="39" spans="2:95" ht="14.25" customHeight="1">
      <c r="B39" s="106" t="s">
        <v>744</v>
      </c>
      <c r="C39" s="106" t="s">
        <v>2830</v>
      </c>
      <c r="D39" s="109">
        <v>12508.673000000001</v>
      </c>
      <c r="E39" s="106" t="s">
        <v>1916</v>
      </c>
      <c r="F39" s="110">
        <v>34.950000000000728</v>
      </c>
      <c r="G39" s="106" t="s">
        <v>2793</v>
      </c>
      <c r="H39" s="102">
        <v>0</v>
      </c>
      <c r="I39" s="102">
        <v>0</v>
      </c>
      <c r="J39" s="111" t="s">
        <v>2798</v>
      </c>
      <c r="K39" s="111" t="s">
        <v>2798</v>
      </c>
      <c r="L39" s="111" t="s">
        <v>2798</v>
      </c>
      <c r="M39" s="111" t="s">
        <v>2798</v>
      </c>
      <c r="N39" s="111" t="s">
        <v>2798</v>
      </c>
      <c r="O39" s="111" t="s">
        <v>2798</v>
      </c>
      <c r="P39" s="111" t="s">
        <v>2798</v>
      </c>
      <c r="Q39" s="111" t="s">
        <v>2798</v>
      </c>
      <c r="R39" s="111" t="s">
        <v>2798</v>
      </c>
      <c r="S39" s="111" t="s">
        <v>2798</v>
      </c>
      <c r="T39" s="111" t="s">
        <v>2798</v>
      </c>
      <c r="U39" s="111" t="s">
        <v>2798</v>
      </c>
      <c r="V39" s="111" t="s">
        <v>2798</v>
      </c>
      <c r="W39" s="111" t="s">
        <v>2798</v>
      </c>
      <c r="X39" s="111" t="s">
        <v>2798</v>
      </c>
      <c r="Y39" s="111" t="s">
        <v>2798</v>
      </c>
      <c r="Z39" s="111" t="s">
        <v>2798</v>
      </c>
      <c r="AA39" s="111" t="s">
        <v>2798</v>
      </c>
      <c r="AB39" s="111" t="s">
        <v>2798</v>
      </c>
      <c r="AC39" s="111" t="s">
        <v>2798</v>
      </c>
      <c r="AD39" s="111" t="s">
        <v>2798</v>
      </c>
      <c r="AE39" s="111" t="s">
        <v>2798</v>
      </c>
      <c r="AF39" s="111" t="s">
        <v>2798</v>
      </c>
      <c r="AG39" s="111" t="s">
        <v>2798</v>
      </c>
      <c r="AH39" s="111" t="s">
        <v>2798</v>
      </c>
      <c r="AI39" s="111" t="s">
        <v>2798</v>
      </c>
      <c r="AJ39" s="111" t="s">
        <v>2798</v>
      </c>
      <c r="AK39" s="111" t="s">
        <v>2798</v>
      </c>
      <c r="AL39" s="111" t="s">
        <v>2798</v>
      </c>
      <c r="AM39" s="111" t="s">
        <v>2798</v>
      </c>
      <c r="AN39" s="111" t="s">
        <v>2798</v>
      </c>
      <c r="AO39" s="111" t="s">
        <v>2798</v>
      </c>
      <c r="AP39" s="111" t="s">
        <v>2798</v>
      </c>
      <c r="AQ39" s="111" t="s">
        <v>2798</v>
      </c>
      <c r="AR39" s="111" t="s">
        <v>2798</v>
      </c>
      <c r="AS39" s="111" t="s">
        <v>2798</v>
      </c>
      <c r="AT39" s="111" t="s">
        <v>2798</v>
      </c>
      <c r="AU39" s="111" t="s">
        <v>2798</v>
      </c>
      <c r="AV39" s="111" t="s">
        <v>2798</v>
      </c>
      <c r="AW39" s="111" t="s">
        <v>2798</v>
      </c>
      <c r="AX39" s="111" t="s">
        <v>2798</v>
      </c>
      <c r="AY39" s="111" t="s">
        <v>2798</v>
      </c>
      <c r="AZ39" s="111" t="s">
        <v>2798</v>
      </c>
      <c r="BA39" s="111" t="s">
        <v>2798</v>
      </c>
      <c r="BB39" s="111" t="s">
        <v>2798</v>
      </c>
      <c r="BC39" s="111" t="s">
        <v>2798</v>
      </c>
      <c r="BD39" s="111" t="s">
        <v>2798</v>
      </c>
      <c r="BE39" s="111" t="s">
        <v>2798</v>
      </c>
      <c r="BF39" s="111" t="s">
        <v>2798</v>
      </c>
      <c r="BG39" s="111" t="s">
        <v>2798</v>
      </c>
      <c r="BH39" s="111" t="s">
        <v>2798</v>
      </c>
      <c r="BI39" s="111" t="s">
        <v>2798</v>
      </c>
      <c r="BJ39" s="111" t="s">
        <v>2798</v>
      </c>
      <c r="BK39" s="111" t="s">
        <v>2798</v>
      </c>
      <c r="BL39" s="111" t="s">
        <v>2798</v>
      </c>
      <c r="BM39" s="111" t="s">
        <v>2798</v>
      </c>
      <c r="BN39" s="111" t="s">
        <v>2798</v>
      </c>
      <c r="BO39" s="111" t="s">
        <v>2798</v>
      </c>
      <c r="BP39" s="111" t="s">
        <v>2798</v>
      </c>
      <c r="BQ39" s="111" t="s">
        <v>2798</v>
      </c>
      <c r="BR39" s="111" t="s">
        <v>2798</v>
      </c>
      <c r="BS39" s="111" t="s">
        <v>2798</v>
      </c>
      <c r="BT39" s="111" t="s">
        <v>2798</v>
      </c>
      <c r="BU39" s="111" t="s">
        <v>2798</v>
      </c>
      <c r="BV39" s="111" t="s">
        <v>2798</v>
      </c>
      <c r="BW39" s="111" t="s">
        <v>2798</v>
      </c>
      <c r="BX39" s="111" t="s">
        <v>2798</v>
      </c>
      <c r="BY39" s="111" t="s">
        <v>2798</v>
      </c>
      <c r="BZ39" s="111" t="s">
        <v>2798</v>
      </c>
      <c r="CA39" s="111" t="s">
        <v>2798</v>
      </c>
      <c r="CB39" s="111" t="s">
        <v>2798</v>
      </c>
      <c r="CC39" s="111" t="s">
        <v>2798</v>
      </c>
      <c r="CD39" s="111" t="s">
        <v>2798</v>
      </c>
      <c r="CE39" s="111" t="s">
        <v>2780</v>
      </c>
      <c r="CF39" s="111" t="s">
        <v>2781</v>
      </c>
      <c r="CG39" s="111" t="s">
        <v>2782</v>
      </c>
      <c r="CH39" s="111" t="s">
        <v>2783</v>
      </c>
      <c r="CI39" s="111" t="s">
        <v>2798</v>
      </c>
      <c r="CJ39" s="111" t="s">
        <v>2785</v>
      </c>
      <c r="CK39" s="111" t="s">
        <v>2786</v>
      </c>
      <c r="CL39" s="111" t="s">
        <v>2787</v>
      </c>
      <c r="CM39" s="111" t="s">
        <v>2788</v>
      </c>
      <c r="CN39" s="111" t="s">
        <v>2789</v>
      </c>
      <c r="CO39" s="111" t="s">
        <v>2790</v>
      </c>
      <c r="CP39" s="111" t="s">
        <v>2791</v>
      </c>
      <c r="CQ39" s="111" t="s">
        <v>2792</v>
      </c>
    </row>
    <row r="40" spans="2:95" ht="14.25" customHeight="1">
      <c r="B40" s="106" t="s">
        <v>745</v>
      </c>
      <c r="C40" s="106" t="s">
        <v>2831</v>
      </c>
      <c r="D40" s="109">
        <v>12552.653</v>
      </c>
      <c r="E40" s="106" t="s">
        <v>1929</v>
      </c>
      <c r="F40" s="110">
        <v>43.979999999999563</v>
      </c>
      <c r="G40" s="106" t="s">
        <v>2793</v>
      </c>
      <c r="H40" s="102">
        <v>0</v>
      </c>
      <c r="I40" s="102">
        <v>0</v>
      </c>
      <c r="J40" s="111" t="s">
        <v>87</v>
      </c>
      <c r="K40" s="111" t="s">
        <v>2708</v>
      </c>
      <c r="L40" s="111" t="s">
        <v>2709</v>
      </c>
      <c r="M40" s="111" t="s">
        <v>2710</v>
      </c>
      <c r="N40" s="111" t="s">
        <v>2711</v>
      </c>
      <c r="O40" s="111" t="s">
        <v>2712</v>
      </c>
      <c r="P40" s="111" t="s">
        <v>2713</v>
      </c>
      <c r="Q40" s="111" t="s">
        <v>2714</v>
      </c>
      <c r="R40" s="111" t="s">
        <v>2798</v>
      </c>
      <c r="S40" s="111" t="s">
        <v>2798</v>
      </c>
      <c r="T40" s="111" t="s">
        <v>2798</v>
      </c>
      <c r="U40" s="111" t="s">
        <v>2798</v>
      </c>
      <c r="V40" s="111" t="s">
        <v>2798</v>
      </c>
      <c r="W40" s="111" t="s">
        <v>2798</v>
      </c>
      <c r="X40" s="111" t="s">
        <v>2798</v>
      </c>
      <c r="Y40" s="111" t="s">
        <v>2798</v>
      </c>
      <c r="Z40" s="111" t="s">
        <v>2798</v>
      </c>
      <c r="AA40" s="111" t="s">
        <v>2798</v>
      </c>
      <c r="AB40" s="111" t="s">
        <v>2798</v>
      </c>
      <c r="AC40" s="111" t="s">
        <v>2798</v>
      </c>
      <c r="AD40" s="111" t="s">
        <v>2798</v>
      </c>
      <c r="AE40" s="111" t="s">
        <v>2798</v>
      </c>
      <c r="AF40" s="111" t="s">
        <v>2798</v>
      </c>
      <c r="AG40" s="111" t="s">
        <v>2798</v>
      </c>
      <c r="AH40" s="111" t="s">
        <v>2798</v>
      </c>
      <c r="AI40" s="111" t="s">
        <v>2798</v>
      </c>
      <c r="AJ40" s="111" t="s">
        <v>2798</v>
      </c>
      <c r="AK40" s="111" t="s">
        <v>2798</v>
      </c>
      <c r="AL40" s="111" t="s">
        <v>2798</v>
      </c>
      <c r="AM40" s="111" t="s">
        <v>2798</v>
      </c>
      <c r="AN40" s="111" t="s">
        <v>2798</v>
      </c>
      <c r="AO40" s="111" t="s">
        <v>2798</v>
      </c>
      <c r="AP40" s="111" t="s">
        <v>2798</v>
      </c>
      <c r="AQ40" s="111" t="s">
        <v>2798</v>
      </c>
      <c r="AR40" s="111" t="s">
        <v>2798</v>
      </c>
      <c r="AS40" s="111" t="s">
        <v>2798</v>
      </c>
      <c r="AT40" s="111" t="s">
        <v>2798</v>
      </c>
      <c r="AU40" s="111" t="s">
        <v>2798</v>
      </c>
      <c r="AV40" s="111" t="s">
        <v>2798</v>
      </c>
      <c r="AW40" s="111" t="s">
        <v>2798</v>
      </c>
      <c r="AX40" s="111" t="s">
        <v>2798</v>
      </c>
      <c r="AY40" s="111" t="s">
        <v>2798</v>
      </c>
      <c r="AZ40" s="111" t="s">
        <v>2798</v>
      </c>
      <c r="BA40" s="111" t="s">
        <v>2798</v>
      </c>
      <c r="BB40" s="111" t="s">
        <v>2798</v>
      </c>
      <c r="BC40" s="111" t="s">
        <v>2798</v>
      </c>
      <c r="BD40" s="111" t="s">
        <v>2798</v>
      </c>
      <c r="BE40" s="111" t="s">
        <v>2798</v>
      </c>
      <c r="BF40" s="111" t="s">
        <v>2798</v>
      </c>
      <c r="BG40" s="111" t="s">
        <v>2798</v>
      </c>
      <c r="BH40" s="111" t="s">
        <v>2798</v>
      </c>
      <c r="BI40" s="111" t="s">
        <v>2798</v>
      </c>
      <c r="BJ40" s="111" t="s">
        <v>2798</v>
      </c>
      <c r="BK40" s="111" t="s">
        <v>2798</v>
      </c>
      <c r="BL40" s="111" t="s">
        <v>2798</v>
      </c>
      <c r="BM40" s="111" t="s">
        <v>2798</v>
      </c>
      <c r="BN40" s="111" t="s">
        <v>2798</v>
      </c>
      <c r="BO40" s="111" t="s">
        <v>2798</v>
      </c>
      <c r="BP40" s="111" t="s">
        <v>2798</v>
      </c>
      <c r="BQ40" s="111" t="s">
        <v>2798</v>
      </c>
      <c r="BR40" s="111" t="s">
        <v>2798</v>
      </c>
      <c r="BS40" s="111" t="s">
        <v>2798</v>
      </c>
      <c r="BT40" s="111" t="s">
        <v>2798</v>
      </c>
      <c r="BU40" s="111" t="s">
        <v>2798</v>
      </c>
      <c r="BV40" s="111" t="s">
        <v>2798</v>
      </c>
      <c r="BW40" s="111" t="s">
        <v>2798</v>
      </c>
      <c r="BX40" s="111" t="s">
        <v>2798</v>
      </c>
      <c r="BY40" s="111" t="s">
        <v>2798</v>
      </c>
      <c r="BZ40" s="111" t="s">
        <v>2798</v>
      </c>
      <c r="CA40" s="111" t="s">
        <v>2798</v>
      </c>
      <c r="CB40" s="111" t="s">
        <v>2798</v>
      </c>
      <c r="CC40" s="111" t="s">
        <v>2798</v>
      </c>
      <c r="CD40" s="111" t="s">
        <v>2798</v>
      </c>
      <c r="CE40" s="111" t="s">
        <v>2798</v>
      </c>
      <c r="CF40" s="111" t="s">
        <v>2798</v>
      </c>
      <c r="CG40" s="111" t="s">
        <v>2798</v>
      </c>
      <c r="CH40" s="111" t="s">
        <v>2798</v>
      </c>
      <c r="CI40" s="111" t="s">
        <v>2798</v>
      </c>
      <c r="CJ40" s="111" t="s">
        <v>2798</v>
      </c>
      <c r="CK40" s="111" t="s">
        <v>2786</v>
      </c>
      <c r="CL40" s="111" t="s">
        <v>2787</v>
      </c>
      <c r="CM40" s="111" t="s">
        <v>2788</v>
      </c>
      <c r="CN40" s="111" t="s">
        <v>2789</v>
      </c>
      <c r="CO40" s="111" t="s">
        <v>2790</v>
      </c>
      <c r="CP40" s="111" t="s">
        <v>2791</v>
      </c>
      <c r="CQ40" s="111" t="s">
        <v>2792</v>
      </c>
    </row>
    <row r="41" spans="2:95" ht="14.25" customHeight="1">
      <c r="B41" s="106" t="s">
        <v>748</v>
      </c>
      <c r="C41" s="106" t="s">
        <v>2832</v>
      </c>
      <c r="D41" s="109">
        <v>12652.653</v>
      </c>
      <c r="E41" s="106" t="s">
        <v>1936</v>
      </c>
      <c r="F41" s="110">
        <v>100</v>
      </c>
      <c r="G41" s="106" t="s">
        <v>2793</v>
      </c>
      <c r="H41" s="102">
        <v>0</v>
      </c>
      <c r="I41" s="102">
        <v>0</v>
      </c>
      <c r="J41" s="111" t="s">
        <v>2798</v>
      </c>
      <c r="K41" s="111" t="s">
        <v>2798</v>
      </c>
      <c r="L41" s="111" t="s">
        <v>2798</v>
      </c>
      <c r="M41" s="111" t="s">
        <v>2798</v>
      </c>
      <c r="N41" s="111" t="s">
        <v>2798</v>
      </c>
      <c r="O41" s="111" t="s">
        <v>2798</v>
      </c>
      <c r="P41" s="111" t="s">
        <v>2798</v>
      </c>
      <c r="Q41" s="111" t="s">
        <v>2798</v>
      </c>
      <c r="R41" s="111" t="s">
        <v>2798</v>
      </c>
      <c r="S41" s="111" t="s">
        <v>2798</v>
      </c>
      <c r="T41" s="111" t="s">
        <v>2798</v>
      </c>
      <c r="U41" s="111" t="s">
        <v>2798</v>
      </c>
      <c r="V41" s="111" t="s">
        <v>2798</v>
      </c>
      <c r="W41" s="111" t="s">
        <v>2798</v>
      </c>
      <c r="X41" s="111" t="s">
        <v>2798</v>
      </c>
      <c r="Y41" s="111" t="s">
        <v>2798</v>
      </c>
      <c r="Z41" s="111" t="s">
        <v>2798</v>
      </c>
      <c r="AA41" s="111" t="s">
        <v>2798</v>
      </c>
      <c r="AB41" s="111" t="s">
        <v>2798</v>
      </c>
      <c r="AC41" s="111" t="s">
        <v>2798</v>
      </c>
      <c r="AD41" s="111" t="s">
        <v>2798</v>
      </c>
      <c r="AE41" s="111" t="s">
        <v>2798</v>
      </c>
      <c r="AF41" s="111" t="s">
        <v>2798</v>
      </c>
      <c r="AG41" s="111" t="s">
        <v>2798</v>
      </c>
      <c r="AH41" s="111" t="s">
        <v>2798</v>
      </c>
      <c r="AI41" s="111" t="s">
        <v>2798</v>
      </c>
      <c r="AJ41" s="111" t="s">
        <v>2798</v>
      </c>
      <c r="AK41" s="111" t="s">
        <v>2798</v>
      </c>
      <c r="AL41" s="111" t="s">
        <v>2798</v>
      </c>
      <c r="AM41" s="111" t="s">
        <v>2798</v>
      </c>
      <c r="AN41" s="111" t="s">
        <v>2798</v>
      </c>
      <c r="AO41" s="111" t="s">
        <v>2798</v>
      </c>
      <c r="AP41" s="111" t="s">
        <v>2798</v>
      </c>
      <c r="AQ41" s="111" t="s">
        <v>2798</v>
      </c>
      <c r="AR41" s="111" t="s">
        <v>2798</v>
      </c>
      <c r="AS41" s="111" t="s">
        <v>2798</v>
      </c>
      <c r="AT41" s="111" t="s">
        <v>2798</v>
      </c>
      <c r="AU41" s="111" t="s">
        <v>2798</v>
      </c>
      <c r="AV41" s="111" t="s">
        <v>2798</v>
      </c>
      <c r="AW41" s="111" t="s">
        <v>2798</v>
      </c>
      <c r="AX41" s="111" t="s">
        <v>2798</v>
      </c>
      <c r="AY41" s="111" t="s">
        <v>2798</v>
      </c>
      <c r="AZ41" s="111" t="s">
        <v>2798</v>
      </c>
      <c r="BA41" s="111" t="s">
        <v>2798</v>
      </c>
      <c r="BB41" s="111" t="s">
        <v>2798</v>
      </c>
      <c r="BC41" s="111" t="s">
        <v>2798</v>
      </c>
      <c r="BD41" s="111" t="s">
        <v>2798</v>
      </c>
      <c r="BE41" s="111" t="s">
        <v>2798</v>
      </c>
      <c r="BF41" s="111" t="s">
        <v>2798</v>
      </c>
      <c r="BG41" s="111" t="s">
        <v>2798</v>
      </c>
      <c r="BH41" s="111" t="s">
        <v>2798</v>
      </c>
      <c r="BI41" s="111" t="s">
        <v>2798</v>
      </c>
      <c r="BJ41" s="111" t="s">
        <v>2798</v>
      </c>
      <c r="BK41" s="111" t="s">
        <v>2798</v>
      </c>
      <c r="BL41" s="111" t="s">
        <v>2798</v>
      </c>
      <c r="BM41" s="111" t="s">
        <v>2798</v>
      </c>
      <c r="BN41" s="111" t="s">
        <v>2798</v>
      </c>
      <c r="BO41" s="111" t="s">
        <v>2798</v>
      </c>
      <c r="BP41" s="111" t="s">
        <v>2798</v>
      </c>
      <c r="BQ41" s="111" t="s">
        <v>2798</v>
      </c>
      <c r="BR41" s="111" t="s">
        <v>2798</v>
      </c>
      <c r="BS41" s="111" t="s">
        <v>2798</v>
      </c>
      <c r="BT41" s="111" t="s">
        <v>2798</v>
      </c>
      <c r="BU41" s="111" t="s">
        <v>2798</v>
      </c>
      <c r="BV41" s="111" t="s">
        <v>2798</v>
      </c>
      <c r="BW41" s="111" t="s">
        <v>2798</v>
      </c>
      <c r="BX41" s="111" t="s">
        <v>2798</v>
      </c>
      <c r="BY41" s="111" t="s">
        <v>2798</v>
      </c>
      <c r="BZ41" s="111" t="s">
        <v>2798</v>
      </c>
      <c r="CA41" s="111" t="s">
        <v>2798</v>
      </c>
      <c r="CB41" s="111" t="s">
        <v>2798</v>
      </c>
      <c r="CC41" s="111" t="s">
        <v>2798</v>
      </c>
      <c r="CD41" s="111" t="s">
        <v>2798</v>
      </c>
      <c r="CE41" s="111" t="s">
        <v>2798</v>
      </c>
      <c r="CF41" s="111" t="s">
        <v>2798</v>
      </c>
      <c r="CG41" s="111" t="s">
        <v>2798</v>
      </c>
      <c r="CH41" s="111" t="s">
        <v>2798</v>
      </c>
      <c r="CI41" s="111" t="s">
        <v>2798</v>
      </c>
      <c r="CJ41" s="111" t="s">
        <v>2798</v>
      </c>
      <c r="CK41" s="111" t="s">
        <v>2798</v>
      </c>
      <c r="CL41" s="111" t="s">
        <v>2798</v>
      </c>
      <c r="CM41" s="111" t="s">
        <v>2798</v>
      </c>
      <c r="CN41" s="111" t="s">
        <v>2798</v>
      </c>
      <c r="CO41" s="111" t="s">
        <v>2798</v>
      </c>
      <c r="CP41" s="111" t="s">
        <v>2798</v>
      </c>
      <c r="CQ41" s="111" t="s">
        <v>2798</v>
      </c>
    </row>
    <row r="42" spans="2:95" ht="14.25" customHeight="1">
      <c r="B42" s="106" t="s">
        <v>749</v>
      </c>
      <c r="C42" s="106" t="s">
        <v>2833</v>
      </c>
      <c r="D42" s="109">
        <v>12693.919</v>
      </c>
      <c r="E42" s="106" t="s">
        <v>1943</v>
      </c>
      <c r="F42" s="110">
        <v>41.265999999999622</v>
      </c>
      <c r="G42" s="106" t="s">
        <v>2795</v>
      </c>
      <c r="H42" s="102">
        <v>0</v>
      </c>
      <c r="I42" s="102">
        <v>0</v>
      </c>
      <c r="J42" s="111" t="s">
        <v>87</v>
      </c>
      <c r="K42" s="111" t="s">
        <v>2708</v>
      </c>
      <c r="L42" s="111" t="s">
        <v>2709</v>
      </c>
      <c r="M42" s="111" t="s">
        <v>2710</v>
      </c>
      <c r="N42" s="111" t="s">
        <v>2711</v>
      </c>
      <c r="O42" s="111" t="s">
        <v>2712</v>
      </c>
      <c r="P42" s="111" t="s">
        <v>2713</v>
      </c>
      <c r="Q42" s="111" t="s">
        <v>2714</v>
      </c>
      <c r="R42" s="111" t="s">
        <v>2715</v>
      </c>
      <c r="S42" s="111" t="s">
        <v>2716</v>
      </c>
      <c r="T42" s="111" t="s">
        <v>2717</v>
      </c>
      <c r="U42" s="111" t="s">
        <v>2718</v>
      </c>
      <c r="V42" s="111" t="s">
        <v>2719</v>
      </c>
      <c r="W42" s="111" t="s">
        <v>2720</v>
      </c>
      <c r="X42" s="111" t="s">
        <v>2798</v>
      </c>
      <c r="Y42" s="111" t="s">
        <v>2798</v>
      </c>
      <c r="Z42" s="111" t="s">
        <v>2798</v>
      </c>
      <c r="AA42" s="111" t="s">
        <v>2798</v>
      </c>
      <c r="AB42" s="111" t="s">
        <v>2798</v>
      </c>
      <c r="AC42" s="111" t="s">
        <v>2798</v>
      </c>
      <c r="AD42" s="111" t="s">
        <v>2798</v>
      </c>
      <c r="AE42" s="111" t="s">
        <v>2798</v>
      </c>
      <c r="AF42" s="111" t="s">
        <v>2798</v>
      </c>
      <c r="AG42" s="111" t="s">
        <v>2798</v>
      </c>
      <c r="AH42" s="111" t="s">
        <v>2798</v>
      </c>
      <c r="AI42" s="111" t="s">
        <v>2798</v>
      </c>
      <c r="AJ42" s="111" t="s">
        <v>2798</v>
      </c>
      <c r="AK42" s="111" t="s">
        <v>2798</v>
      </c>
      <c r="AL42" s="111" t="s">
        <v>2798</v>
      </c>
      <c r="AM42" s="111" t="s">
        <v>2798</v>
      </c>
      <c r="AN42" s="111" t="s">
        <v>2798</v>
      </c>
      <c r="AO42" s="111" t="s">
        <v>2798</v>
      </c>
      <c r="AP42" s="111" t="s">
        <v>2798</v>
      </c>
      <c r="AQ42" s="111" t="s">
        <v>2798</v>
      </c>
      <c r="AR42" s="111" t="s">
        <v>2798</v>
      </c>
      <c r="AS42" s="111" t="s">
        <v>2798</v>
      </c>
      <c r="AT42" s="111" t="s">
        <v>2798</v>
      </c>
      <c r="AU42" s="111" t="s">
        <v>2798</v>
      </c>
      <c r="AV42" s="111" t="s">
        <v>2798</v>
      </c>
      <c r="AW42" s="111" t="s">
        <v>2798</v>
      </c>
      <c r="AX42" s="111" t="s">
        <v>2798</v>
      </c>
      <c r="AY42" s="111" t="s">
        <v>2798</v>
      </c>
      <c r="AZ42" s="111" t="s">
        <v>2798</v>
      </c>
      <c r="BA42" s="111" t="s">
        <v>2798</v>
      </c>
      <c r="BB42" s="111" t="s">
        <v>2798</v>
      </c>
      <c r="BC42" s="111" t="s">
        <v>2798</v>
      </c>
      <c r="BD42" s="111" t="s">
        <v>2798</v>
      </c>
      <c r="BE42" s="111" t="s">
        <v>2798</v>
      </c>
      <c r="BF42" s="111" t="s">
        <v>2798</v>
      </c>
      <c r="BG42" s="111" t="s">
        <v>2798</v>
      </c>
      <c r="BH42" s="111" t="s">
        <v>2798</v>
      </c>
      <c r="BI42" s="111" t="s">
        <v>2798</v>
      </c>
      <c r="BJ42" s="111" t="s">
        <v>2798</v>
      </c>
      <c r="BK42" s="111" t="s">
        <v>2798</v>
      </c>
      <c r="BL42" s="111" t="s">
        <v>2798</v>
      </c>
      <c r="BM42" s="111" t="s">
        <v>2798</v>
      </c>
      <c r="BN42" s="111" t="s">
        <v>2798</v>
      </c>
      <c r="BO42" s="111" t="s">
        <v>2798</v>
      </c>
      <c r="BP42" s="111" t="s">
        <v>2798</v>
      </c>
      <c r="BQ42" s="111" t="s">
        <v>2798</v>
      </c>
      <c r="BR42" s="111" t="s">
        <v>2798</v>
      </c>
      <c r="BS42" s="111" t="s">
        <v>2798</v>
      </c>
      <c r="BT42" s="111" t="s">
        <v>2798</v>
      </c>
      <c r="BU42" s="111" t="s">
        <v>2798</v>
      </c>
      <c r="BV42" s="111" t="s">
        <v>2798</v>
      </c>
      <c r="BW42" s="111" t="s">
        <v>2798</v>
      </c>
      <c r="BX42" s="111" t="s">
        <v>2798</v>
      </c>
      <c r="BY42" s="111" t="s">
        <v>2798</v>
      </c>
      <c r="BZ42" s="111" t="s">
        <v>2798</v>
      </c>
      <c r="CA42" s="111" t="s">
        <v>2798</v>
      </c>
      <c r="CB42" s="111" t="s">
        <v>2798</v>
      </c>
      <c r="CC42" s="111" t="s">
        <v>2798</v>
      </c>
      <c r="CD42" s="111" t="s">
        <v>2798</v>
      </c>
      <c r="CE42" s="111" t="s">
        <v>2798</v>
      </c>
      <c r="CF42" s="111" t="s">
        <v>2798</v>
      </c>
      <c r="CG42" s="111" t="s">
        <v>2798</v>
      </c>
      <c r="CH42" s="111" t="s">
        <v>2798</v>
      </c>
      <c r="CI42" s="111" t="s">
        <v>2798</v>
      </c>
      <c r="CJ42" s="111" t="s">
        <v>2798</v>
      </c>
      <c r="CK42" s="111" t="s">
        <v>2798</v>
      </c>
      <c r="CL42" s="111" t="s">
        <v>2798</v>
      </c>
      <c r="CM42" s="111" t="s">
        <v>2798</v>
      </c>
      <c r="CN42" s="111" t="s">
        <v>2798</v>
      </c>
      <c r="CO42" s="111" t="s">
        <v>2798</v>
      </c>
      <c r="CP42" s="111" t="s">
        <v>2798</v>
      </c>
      <c r="CQ42" s="111" t="s">
        <v>2798</v>
      </c>
    </row>
    <row r="43" spans="2:95" ht="14.25" customHeight="1">
      <c r="B43" s="106" t="s">
        <v>750</v>
      </c>
      <c r="C43" s="106" t="s">
        <v>2834</v>
      </c>
      <c r="D43" s="109">
        <v>12734.905000000001</v>
      </c>
      <c r="E43" s="106" t="s">
        <v>1943</v>
      </c>
      <c r="F43" s="110">
        <v>40.986000000000786</v>
      </c>
      <c r="G43" s="106" t="s">
        <v>2795</v>
      </c>
      <c r="H43" s="102">
        <v>0</v>
      </c>
      <c r="I43" s="102">
        <v>0</v>
      </c>
      <c r="J43" s="111" t="s">
        <v>2798</v>
      </c>
      <c r="K43" s="111" t="s">
        <v>2798</v>
      </c>
      <c r="L43" s="111" t="s">
        <v>2798</v>
      </c>
      <c r="M43" s="111" t="s">
        <v>2798</v>
      </c>
      <c r="N43" s="111" t="s">
        <v>2798</v>
      </c>
      <c r="O43" s="111" t="s">
        <v>2798</v>
      </c>
      <c r="P43" s="111" t="s">
        <v>2798</v>
      </c>
      <c r="Q43" s="111" t="s">
        <v>2798</v>
      </c>
      <c r="R43" s="111" t="s">
        <v>2798</v>
      </c>
      <c r="S43" s="111" t="s">
        <v>2798</v>
      </c>
      <c r="T43" s="111" t="s">
        <v>2798</v>
      </c>
      <c r="U43" s="111" t="s">
        <v>2798</v>
      </c>
      <c r="V43" s="111" t="s">
        <v>2798</v>
      </c>
      <c r="W43" s="111" t="s">
        <v>2798</v>
      </c>
      <c r="X43" s="111" t="s">
        <v>2721</v>
      </c>
      <c r="Y43" s="111" t="s">
        <v>2722</v>
      </c>
      <c r="Z43" s="111" t="s">
        <v>2723</v>
      </c>
      <c r="AA43" s="111" t="s">
        <v>2724</v>
      </c>
      <c r="AB43" s="111" t="s">
        <v>2725</v>
      </c>
      <c r="AC43" s="111" t="s">
        <v>2726</v>
      </c>
      <c r="AD43" s="111" t="s">
        <v>2727</v>
      </c>
      <c r="AE43" s="111" t="s">
        <v>2728</v>
      </c>
      <c r="AF43" s="111" t="s">
        <v>2729</v>
      </c>
      <c r="AG43" s="111" t="s">
        <v>2730</v>
      </c>
      <c r="AH43" s="111" t="s">
        <v>2731</v>
      </c>
      <c r="AI43" s="111" t="s">
        <v>2732</v>
      </c>
      <c r="AJ43" s="111" t="s">
        <v>2733</v>
      </c>
      <c r="AK43" s="111" t="s">
        <v>2734</v>
      </c>
      <c r="AL43" s="111" t="s">
        <v>2798</v>
      </c>
      <c r="AM43" s="111" t="s">
        <v>2798</v>
      </c>
      <c r="AN43" s="111" t="s">
        <v>2798</v>
      </c>
      <c r="AO43" s="111" t="s">
        <v>2798</v>
      </c>
      <c r="AP43" s="111" t="s">
        <v>2798</v>
      </c>
      <c r="AQ43" s="111" t="s">
        <v>2798</v>
      </c>
      <c r="AR43" s="111" t="s">
        <v>2798</v>
      </c>
      <c r="AS43" s="111" t="s">
        <v>2798</v>
      </c>
      <c r="AT43" s="111" t="s">
        <v>2798</v>
      </c>
      <c r="AU43" s="111" t="s">
        <v>2798</v>
      </c>
      <c r="AV43" s="111" t="s">
        <v>2798</v>
      </c>
      <c r="AW43" s="111" t="s">
        <v>2798</v>
      </c>
      <c r="AX43" s="111" t="s">
        <v>2798</v>
      </c>
      <c r="AY43" s="111" t="s">
        <v>2798</v>
      </c>
      <c r="AZ43" s="111" t="s">
        <v>2798</v>
      </c>
      <c r="BA43" s="111" t="s">
        <v>2798</v>
      </c>
      <c r="BB43" s="111" t="s">
        <v>2798</v>
      </c>
      <c r="BC43" s="111" t="s">
        <v>2798</v>
      </c>
      <c r="BD43" s="111" t="s">
        <v>2798</v>
      </c>
      <c r="BE43" s="111" t="s">
        <v>2798</v>
      </c>
      <c r="BF43" s="111" t="s">
        <v>2798</v>
      </c>
      <c r="BG43" s="111" t="s">
        <v>2798</v>
      </c>
      <c r="BH43" s="111" t="s">
        <v>2798</v>
      </c>
      <c r="BI43" s="111" t="s">
        <v>2798</v>
      </c>
      <c r="BJ43" s="111" t="s">
        <v>2798</v>
      </c>
      <c r="BK43" s="111" t="s">
        <v>2798</v>
      </c>
      <c r="BL43" s="111" t="s">
        <v>2798</v>
      </c>
      <c r="BM43" s="111" t="s">
        <v>2798</v>
      </c>
      <c r="BN43" s="111" t="s">
        <v>2798</v>
      </c>
      <c r="BO43" s="111" t="s">
        <v>2798</v>
      </c>
      <c r="BP43" s="111" t="s">
        <v>2798</v>
      </c>
      <c r="BQ43" s="111" t="s">
        <v>2798</v>
      </c>
      <c r="BR43" s="111" t="s">
        <v>2798</v>
      </c>
      <c r="BS43" s="111" t="s">
        <v>2798</v>
      </c>
      <c r="BT43" s="111" t="s">
        <v>2798</v>
      </c>
      <c r="BU43" s="111" t="s">
        <v>2798</v>
      </c>
      <c r="BV43" s="111" t="s">
        <v>2798</v>
      </c>
      <c r="BW43" s="111" t="s">
        <v>2798</v>
      </c>
      <c r="BX43" s="111" t="s">
        <v>2798</v>
      </c>
      <c r="BY43" s="111" t="s">
        <v>2798</v>
      </c>
      <c r="BZ43" s="111" t="s">
        <v>2798</v>
      </c>
      <c r="CA43" s="111" t="s">
        <v>2798</v>
      </c>
      <c r="CB43" s="111" t="s">
        <v>2798</v>
      </c>
      <c r="CC43" s="111" t="s">
        <v>2798</v>
      </c>
      <c r="CD43" s="111" t="s">
        <v>2798</v>
      </c>
      <c r="CE43" s="111" t="s">
        <v>2798</v>
      </c>
      <c r="CF43" s="111" t="s">
        <v>2798</v>
      </c>
      <c r="CG43" s="111" t="s">
        <v>2798</v>
      </c>
      <c r="CH43" s="111" t="s">
        <v>2798</v>
      </c>
      <c r="CI43" s="111" t="s">
        <v>2798</v>
      </c>
      <c r="CJ43" s="111" t="s">
        <v>2798</v>
      </c>
      <c r="CK43" s="111" t="s">
        <v>2798</v>
      </c>
      <c r="CL43" s="111" t="s">
        <v>2798</v>
      </c>
      <c r="CM43" s="111" t="s">
        <v>2798</v>
      </c>
      <c r="CN43" s="111" t="s">
        <v>2798</v>
      </c>
      <c r="CO43" s="111" t="s">
        <v>2798</v>
      </c>
      <c r="CP43" s="111" t="s">
        <v>2798</v>
      </c>
      <c r="CQ43" s="111" t="s">
        <v>2798</v>
      </c>
    </row>
    <row r="44" spans="2:95" ht="14.25" customHeight="1">
      <c r="B44" s="106" t="s">
        <v>751</v>
      </c>
      <c r="C44" s="106" t="s">
        <v>2835</v>
      </c>
      <c r="D44" s="109">
        <v>12775.199000000001</v>
      </c>
      <c r="E44" s="106" t="s">
        <v>1943</v>
      </c>
      <c r="F44" s="110">
        <v>40.293999999999869</v>
      </c>
      <c r="G44" s="106" t="s">
        <v>2795</v>
      </c>
      <c r="H44" s="102">
        <v>0</v>
      </c>
      <c r="I44" s="102">
        <v>0</v>
      </c>
      <c r="J44" s="111" t="s">
        <v>2798</v>
      </c>
      <c r="K44" s="111" t="s">
        <v>2798</v>
      </c>
      <c r="L44" s="111" t="s">
        <v>2798</v>
      </c>
      <c r="M44" s="111" t="s">
        <v>2798</v>
      </c>
      <c r="N44" s="111" t="s">
        <v>2798</v>
      </c>
      <c r="O44" s="111" t="s">
        <v>2798</v>
      </c>
      <c r="P44" s="111" t="s">
        <v>2798</v>
      </c>
      <c r="Q44" s="111" t="s">
        <v>2798</v>
      </c>
      <c r="R44" s="111" t="s">
        <v>2798</v>
      </c>
      <c r="S44" s="111" t="s">
        <v>2798</v>
      </c>
      <c r="T44" s="111" t="s">
        <v>2798</v>
      </c>
      <c r="U44" s="111" t="s">
        <v>2798</v>
      </c>
      <c r="V44" s="111" t="s">
        <v>2798</v>
      </c>
      <c r="W44" s="111" t="s">
        <v>2798</v>
      </c>
      <c r="X44" s="111" t="s">
        <v>2798</v>
      </c>
      <c r="Y44" s="111" t="s">
        <v>2798</v>
      </c>
      <c r="Z44" s="111" t="s">
        <v>2798</v>
      </c>
      <c r="AA44" s="111" t="s">
        <v>2798</v>
      </c>
      <c r="AB44" s="111" t="s">
        <v>2798</v>
      </c>
      <c r="AC44" s="111" t="s">
        <v>2798</v>
      </c>
      <c r="AD44" s="111" t="s">
        <v>2798</v>
      </c>
      <c r="AE44" s="111" t="s">
        <v>2798</v>
      </c>
      <c r="AF44" s="111" t="s">
        <v>2798</v>
      </c>
      <c r="AG44" s="111" t="s">
        <v>2798</v>
      </c>
      <c r="AH44" s="111" t="s">
        <v>2798</v>
      </c>
      <c r="AI44" s="111" t="s">
        <v>2798</v>
      </c>
      <c r="AJ44" s="111" t="s">
        <v>2798</v>
      </c>
      <c r="AK44" s="111" t="s">
        <v>2798</v>
      </c>
      <c r="AL44" s="111" t="s">
        <v>2735</v>
      </c>
      <c r="AM44" s="111" t="s">
        <v>2736</v>
      </c>
      <c r="AN44" s="111" t="s">
        <v>2737</v>
      </c>
      <c r="AO44" s="111" t="s">
        <v>2738</v>
      </c>
      <c r="AP44" s="111" t="s">
        <v>2739</v>
      </c>
      <c r="AQ44" s="111" t="s">
        <v>2740</v>
      </c>
      <c r="AR44" s="111" t="s">
        <v>2741</v>
      </c>
      <c r="AS44" s="111" t="s">
        <v>2798</v>
      </c>
      <c r="AT44" s="111" t="s">
        <v>2798</v>
      </c>
      <c r="AU44" s="111" t="s">
        <v>2798</v>
      </c>
      <c r="AV44" s="111" t="s">
        <v>2798</v>
      </c>
      <c r="AW44" s="111" t="s">
        <v>2798</v>
      </c>
      <c r="AX44" s="111" t="s">
        <v>2798</v>
      </c>
      <c r="AY44" s="111" t="s">
        <v>2798</v>
      </c>
      <c r="AZ44" s="111" t="s">
        <v>2798</v>
      </c>
      <c r="BA44" s="111" t="s">
        <v>2798</v>
      </c>
      <c r="BB44" s="111" t="s">
        <v>2798</v>
      </c>
      <c r="BC44" s="111" t="s">
        <v>2798</v>
      </c>
      <c r="BD44" s="111" t="s">
        <v>2798</v>
      </c>
      <c r="BE44" s="111" t="s">
        <v>2798</v>
      </c>
      <c r="BF44" s="111" t="s">
        <v>2798</v>
      </c>
      <c r="BG44" s="111" t="s">
        <v>2798</v>
      </c>
      <c r="BH44" s="111" t="s">
        <v>2757</v>
      </c>
      <c r="BI44" s="111" t="s">
        <v>2758</v>
      </c>
      <c r="BJ44" s="111" t="s">
        <v>2759</v>
      </c>
      <c r="BK44" s="111" t="s">
        <v>2760</v>
      </c>
      <c r="BL44" s="111" t="s">
        <v>2761</v>
      </c>
      <c r="BM44" s="111" t="s">
        <v>2762</v>
      </c>
      <c r="BN44" s="111" t="s">
        <v>2763</v>
      </c>
      <c r="BO44" s="111" t="s">
        <v>2798</v>
      </c>
      <c r="BP44" s="111" t="s">
        <v>2798</v>
      </c>
      <c r="BQ44" s="111" t="s">
        <v>2798</v>
      </c>
      <c r="BR44" s="111" t="s">
        <v>2798</v>
      </c>
      <c r="BS44" s="111" t="s">
        <v>2798</v>
      </c>
      <c r="BT44" s="111" t="s">
        <v>2798</v>
      </c>
      <c r="BU44" s="111" t="s">
        <v>2798</v>
      </c>
      <c r="BV44" s="111" t="s">
        <v>2798</v>
      </c>
      <c r="BW44" s="111" t="s">
        <v>2798</v>
      </c>
      <c r="BX44" s="111" t="s">
        <v>2798</v>
      </c>
      <c r="BY44" s="111" t="s">
        <v>2798</v>
      </c>
      <c r="BZ44" s="111" t="s">
        <v>2798</v>
      </c>
      <c r="CA44" s="111" t="s">
        <v>2798</v>
      </c>
      <c r="CB44" s="111" t="s">
        <v>2798</v>
      </c>
      <c r="CC44" s="111" t="s">
        <v>2798</v>
      </c>
      <c r="CD44" s="111" t="s">
        <v>2798</v>
      </c>
      <c r="CE44" s="111" t="s">
        <v>2798</v>
      </c>
      <c r="CF44" s="111" t="s">
        <v>2798</v>
      </c>
      <c r="CG44" s="111" t="s">
        <v>2798</v>
      </c>
      <c r="CH44" s="111" t="s">
        <v>2798</v>
      </c>
      <c r="CI44" s="111" t="s">
        <v>2798</v>
      </c>
      <c r="CJ44" s="111" t="s">
        <v>2798</v>
      </c>
      <c r="CK44" s="111" t="s">
        <v>2798</v>
      </c>
      <c r="CL44" s="111" t="s">
        <v>2798</v>
      </c>
      <c r="CM44" s="111" t="s">
        <v>2798</v>
      </c>
      <c r="CN44" s="111" t="s">
        <v>2798</v>
      </c>
      <c r="CO44" s="111" t="s">
        <v>2798</v>
      </c>
      <c r="CP44" s="111" t="s">
        <v>2798</v>
      </c>
      <c r="CQ44" s="111" t="s">
        <v>2798</v>
      </c>
    </row>
    <row r="45" spans="2:95" ht="14.25" customHeight="1">
      <c r="B45" s="106" t="s">
        <v>752</v>
      </c>
      <c r="C45" s="106" t="s">
        <v>2836</v>
      </c>
      <c r="D45" s="109">
        <v>12816.182000000001</v>
      </c>
      <c r="E45" s="106" t="s">
        <v>1943</v>
      </c>
      <c r="F45" s="110">
        <v>40.983000000000175</v>
      </c>
      <c r="G45" s="106" t="s">
        <v>2795</v>
      </c>
      <c r="H45" s="102">
        <v>0</v>
      </c>
      <c r="I45" s="102">
        <v>0</v>
      </c>
      <c r="J45" s="111" t="s">
        <v>2798</v>
      </c>
      <c r="K45" s="111" t="s">
        <v>2798</v>
      </c>
      <c r="L45" s="111" t="s">
        <v>2798</v>
      </c>
      <c r="M45" s="111" t="s">
        <v>2798</v>
      </c>
      <c r="N45" s="111" t="s">
        <v>2798</v>
      </c>
      <c r="O45" s="111" t="s">
        <v>2798</v>
      </c>
      <c r="P45" s="111" t="s">
        <v>2798</v>
      </c>
      <c r="Q45" s="111" t="s">
        <v>2798</v>
      </c>
      <c r="R45" s="111" t="s">
        <v>2798</v>
      </c>
      <c r="S45" s="111" t="s">
        <v>2798</v>
      </c>
      <c r="T45" s="111" t="s">
        <v>2798</v>
      </c>
      <c r="U45" s="111" t="s">
        <v>2798</v>
      </c>
      <c r="V45" s="111" t="s">
        <v>2798</v>
      </c>
      <c r="W45" s="111" t="s">
        <v>2798</v>
      </c>
      <c r="X45" s="111" t="s">
        <v>2798</v>
      </c>
      <c r="Y45" s="111" t="s">
        <v>2798</v>
      </c>
      <c r="Z45" s="111" t="s">
        <v>2798</v>
      </c>
      <c r="AA45" s="111" t="s">
        <v>2798</v>
      </c>
      <c r="AB45" s="111" t="s">
        <v>2798</v>
      </c>
      <c r="AC45" s="111" t="s">
        <v>2798</v>
      </c>
      <c r="AD45" s="111" t="s">
        <v>2798</v>
      </c>
      <c r="AE45" s="111" t="s">
        <v>2798</v>
      </c>
      <c r="AF45" s="111" t="s">
        <v>2798</v>
      </c>
      <c r="AG45" s="111" t="s">
        <v>2798</v>
      </c>
      <c r="AH45" s="111" t="s">
        <v>2798</v>
      </c>
      <c r="AI45" s="111" t="s">
        <v>2798</v>
      </c>
      <c r="AJ45" s="111" t="s">
        <v>2798</v>
      </c>
      <c r="AK45" s="111" t="s">
        <v>2798</v>
      </c>
      <c r="AL45" s="111" t="s">
        <v>2798</v>
      </c>
      <c r="AM45" s="111" t="s">
        <v>2798</v>
      </c>
      <c r="AN45" s="111" t="s">
        <v>2798</v>
      </c>
      <c r="AO45" s="111" t="s">
        <v>2798</v>
      </c>
      <c r="AP45" s="111" t="s">
        <v>2798</v>
      </c>
      <c r="AQ45" s="111" t="s">
        <v>2798</v>
      </c>
      <c r="AR45" s="111" t="s">
        <v>2798</v>
      </c>
      <c r="AS45" s="111" t="s">
        <v>2798</v>
      </c>
      <c r="AT45" s="111" t="s">
        <v>2798</v>
      </c>
      <c r="AU45" s="111" t="s">
        <v>2798</v>
      </c>
      <c r="AV45" s="111" t="s">
        <v>2798</v>
      </c>
      <c r="AW45" s="111" t="s">
        <v>2798</v>
      </c>
      <c r="AX45" s="111" t="s">
        <v>2798</v>
      </c>
      <c r="AY45" s="111" t="s">
        <v>2798</v>
      </c>
      <c r="AZ45" s="111" t="s">
        <v>2798</v>
      </c>
      <c r="BA45" s="111" t="s">
        <v>2798</v>
      </c>
      <c r="BB45" s="111" t="s">
        <v>2798</v>
      </c>
      <c r="BC45" s="111" t="s">
        <v>2798</v>
      </c>
      <c r="BD45" s="111" t="s">
        <v>2798</v>
      </c>
      <c r="BE45" s="111" t="s">
        <v>2798</v>
      </c>
      <c r="BF45" s="111" t="s">
        <v>2798</v>
      </c>
      <c r="BG45" s="111" t="s">
        <v>2798</v>
      </c>
      <c r="BH45" s="111" t="s">
        <v>2798</v>
      </c>
      <c r="BI45" s="111" t="s">
        <v>2798</v>
      </c>
      <c r="BJ45" s="111" t="s">
        <v>2798</v>
      </c>
      <c r="BK45" s="111" t="s">
        <v>2798</v>
      </c>
      <c r="BL45" s="111" t="s">
        <v>2798</v>
      </c>
      <c r="BM45" s="111" t="s">
        <v>2798</v>
      </c>
      <c r="BN45" s="111" t="s">
        <v>2798</v>
      </c>
      <c r="BO45" s="111" t="s">
        <v>2764</v>
      </c>
      <c r="BP45" s="111" t="s">
        <v>2765</v>
      </c>
      <c r="BQ45" s="111" t="s">
        <v>2766</v>
      </c>
      <c r="BR45" s="111" t="s">
        <v>2767</v>
      </c>
      <c r="BS45" s="111" t="s">
        <v>2768</v>
      </c>
      <c r="BT45" s="111" t="s">
        <v>2769</v>
      </c>
      <c r="BU45" s="111" t="s">
        <v>2770</v>
      </c>
      <c r="BV45" s="111" t="s">
        <v>2771</v>
      </c>
      <c r="BW45" s="111" t="s">
        <v>2772</v>
      </c>
      <c r="BX45" s="111" t="s">
        <v>2773</v>
      </c>
      <c r="BY45" s="111" t="s">
        <v>2774</v>
      </c>
      <c r="BZ45" s="111" t="s">
        <v>2775</v>
      </c>
      <c r="CA45" s="111" t="s">
        <v>2776</v>
      </c>
      <c r="CB45" s="111" t="s">
        <v>2777</v>
      </c>
      <c r="CC45" s="111" t="s">
        <v>2798</v>
      </c>
      <c r="CD45" s="111" t="s">
        <v>2798</v>
      </c>
      <c r="CE45" s="111" t="s">
        <v>2798</v>
      </c>
      <c r="CF45" s="111" t="s">
        <v>2798</v>
      </c>
      <c r="CG45" s="111" t="s">
        <v>2798</v>
      </c>
      <c r="CH45" s="111" t="s">
        <v>2798</v>
      </c>
      <c r="CI45" s="111" t="s">
        <v>2798</v>
      </c>
      <c r="CJ45" s="111" t="s">
        <v>2798</v>
      </c>
      <c r="CK45" s="111" t="s">
        <v>2798</v>
      </c>
      <c r="CL45" s="111" t="s">
        <v>2798</v>
      </c>
      <c r="CM45" s="111" t="s">
        <v>2798</v>
      </c>
      <c r="CN45" s="111" t="s">
        <v>2798</v>
      </c>
      <c r="CO45" s="111" t="s">
        <v>2798</v>
      </c>
      <c r="CP45" s="111" t="s">
        <v>2798</v>
      </c>
      <c r="CQ45" s="111" t="s">
        <v>2798</v>
      </c>
    </row>
    <row r="46" spans="2:95" ht="14.25" customHeight="1">
      <c r="B46" s="106" t="s">
        <v>753</v>
      </c>
      <c r="C46" s="106" t="s">
        <v>2837</v>
      </c>
      <c r="D46" s="109">
        <v>12857.449000000001</v>
      </c>
      <c r="E46" s="106" t="s">
        <v>1943</v>
      </c>
      <c r="F46" s="110">
        <v>41.266999999999825</v>
      </c>
      <c r="G46" s="106" t="s">
        <v>2793</v>
      </c>
      <c r="H46" s="102">
        <v>0</v>
      </c>
      <c r="I46" s="102">
        <v>0</v>
      </c>
      <c r="J46" s="111" t="s">
        <v>2798</v>
      </c>
      <c r="K46" s="111" t="s">
        <v>2798</v>
      </c>
      <c r="L46" s="111" t="s">
        <v>2798</v>
      </c>
      <c r="M46" s="111" t="s">
        <v>2798</v>
      </c>
      <c r="N46" s="111" t="s">
        <v>2798</v>
      </c>
      <c r="O46" s="111" t="s">
        <v>2798</v>
      </c>
      <c r="P46" s="111" t="s">
        <v>2798</v>
      </c>
      <c r="Q46" s="111" t="s">
        <v>2798</v>
      </c>
      <c r="R46" s="111" t="s">
        <v>2798</v>
      </c>
      <c r="S46" s="111" t="s">
        <v>2798</v>
      </c>
      <c r="T46" s="111" t="s">
        <v>2798</v>
      </c>
      <c r="U46" s="111" t="s">
        <v>2798</v>
      </c>
      <c r="V46" s="111" t="s">
        <v>2798</v>
      </c>
      <c r="W46" s="111" t="s">
        <v>2798</v>
      </c>
      <c r="X46" s="111" t="s">
        <v>2798</v>
      </c>
      <c r="Y46" s="111" t="s">
        <v>2798</v>
      </c>
      <c r="Z46" s="111" t="s">
        <v>2798</v>
      </c>
      <c r="AA46" s="111" t="s">
        <v>2798</v>
      </c>
      <c r="AB46" s="111" t="s">
        <v>2798</v>
      </c>
      <c r="AC46" s="111" t="s">
        <v>2798</v>
      </c>
      <c r="AD46" s="111" t="s">
        <v>2798</v>
      </c>
      <c r="AE46" s="111" t="s">
        <v>2798</v>
      </c>
      <c r="AF46" s="111" t="s">
        <v>2798</v>
      </c>
      <c r="AG46" s="111" t="s">
        <v>2798</v>
      </c>
      <c r="AH46" s="111" t="s">
        <v>2798</v>
      </c>
      <c r="AI46" s="111" t="s">
        <v>2798</v>
      </c>
      <c r="AJ46" s="111" t="s">
        <v>2798</v>
      </c>
      <c r="AK46" s="111" t="s">
        <v>2798</v>
      </c>
      <c r="AL46" s="111" t="s">
        <v>2798</v>
      </c>
      <c r="AM46" s="111" t="s">
        <v>2798</v>
      </c>
      <c r="AN46" s="111" t="s">
        <v>2798</v>
      </c>
      <c r="AO46" s="111" t="s">
        <v>2798</v>
      </c>
      <c r="AP46" s="111" t="s">
        <v>2798</v>
      </c>
      <c r="AQ46" s="111" t="s">
        <v>2798</v>
      </c>
      <c r="AR46" s="111" t="s">
        <v>2798</v>
      </c>
      <c r="AS46" s="111" t="s">
        <v>2798</v>
      </c>
      <c r="AT46" s="111" t="s">
        <v>2798</v>
      </c>
      <c r="AU46" s="111" t="s">
        <v>2798</v>
      </c>
      <c r="AV46" s="111" t="s">
        <v>2798</v>
      </c>
      <c r="AW46" s="111" t="s">
        <v>2798</v>
      </c>
      <c r="AX46" s="111" t="s">
        <v>2798</v>
      </c>
      <c r="AY46" s="111" t="s">
        <v>2798</v>
      </c>
      <c r="AZ46" s="111" t="s">
        <v>2798</v>
      </c>
      <c r="BA46" s="111" t="s">
        <v>2798</v>
      </c>
      <c r="BB46" s="111" t="s">
        <v>2798</v>
      </c>
      <c r="BC46" s="111" t="s">
        <v>2798</v>
      </c>
      <c r="BD46" s="111" t="s">
        <v>2798</v>
      </c>
      <c r="BE46" s="111" t="s">
        <v>2798</v>
      </c>
      <c r="BF46" s="111" t="s">
        <v>2798</v>
      </c>
      <c r="BG46" s="111" t="s">
        <v>2798</v>
      </c>
      <c r="BH46" s="111" t="s">
        <v>2798</v>
      </c>
      <c r="BI46" s="111" t="s">
        <v>2798</v>
      </c>
      <c r="BJ46" s="111" t="s">
        <v>2798</v>
      </c>
      <c r="BK46" s="111" t="s">
        <v>2798</v>
      </c>
      <c r="BL46" s="111" t="s">
        <v>2798</v>
      </c>
      <c r="BM46" s="111" t="s">
        <v>2798</v>
      </c>
      <c r="BN46" s="111" t="s">
        <v>2798</v>
      </c>
      <c r="BO46" s="111" t="s">
        <v>2798</v>
      </c>
      <c r="BP46" s="111" t="s">
        <v>2798</v>
      </c>
      <c r="BQ46" s="111" t="s">
        <v>2798</v>
      </c>
      <c r="BR46" s="111" t="s">
        <v>2798</v>
      </c>
      <c r="BS46" s="111" t="s">
        <v>2798</v>
      </c>
      <c r="BT46" s="111" t="s">
        <v>2798</v>
      </c>
      <c r="BU46" s="111" t="s">
        <v>2798</v>
      </c>
      <c r="BV46" s="111" t="s">
        <v>2798</v>
      </c>
      <c r="BW46" s="111" t="s">
        <v>2798</v>
      </c>
      <c r="BX46" s="111" t="s">
        <v>2798</v>
      </c>
      <c r="BY46" s="111" t="s">
        <v>2798</v>
      </c>
      <c r="BZ46" s="111" t="s">
        <v>2798</v>
      </c>
      <c r="CA46" s="111" t="s">
        <v>2798</v>
      </c>
      <c r="CB46" s="111" t="s">
        <v>2798</v>
      </c>
      <c r="CC46" s="111" t="s">
        <v>2778</v>
      </c>
      <c r="CD46" s="111" t="s">
        <v>2779</v>
      </c>
      <c r="CE46" s="111" t="s">
        <v>2780</v>
      </c>
      <c r="CF46" s="111" t="s">
        <v>2781</v>
      </c>
      <c r="CG46" s="111" t="s">
        <v>2782</v>
      </c>
      <c r="CH46" s="111" t="s">
        <v>2783</v>
      </c>
      <c r="CI46" s="111" t="s">
        <v>2798</v>
      </c>
      <c r="CJ46" s="111" t="s">
        <v>2785</v>
      </c>
      <c r="CK46" s="111" t="s">
        <v>2786</v>
      </c>
      <c r="CL46" s="111" t="s">
        <v>2787</v>
      </c>
      <c r="CM46" s="111" t="s">
        <v>2788</v>
      </c>
      <c r="CN46" s="111" t="s">
        <v>2789</v>
      </c>
      <c r="CO46" s="111" t="s">
        <v>2790</v>
      </c>
      <c r="CP46" s="111" t="s">
        <v>2791</v>
      </c>
      <c r="CQ46" s="111" t="s">
        <v>2792</v>
      </c>
    </row>
    <row r="47" spans="2:95" ht="14.25" customHeight="1">
      <c r="B47" s="106" t="s">
        <v>754</v>
      </c>
      <c r="C47" s="106" t="s">
        <v>2838</v>
      </c>
      <c r="D47" s="109">
        <v>12907.449000000001</v>
      </c>
      <c r="E47" s="106" t="s">
        <v>1964</v>
      </c>
      <c r="F47" s="110">
        <v>50</v>
      </c>
      <c r="G47" s="106" t="s">
        <v>2795</v>
      </c>
      <c r="H47" s="102">
        <v>0</v>
      </c>
      <c r="I47" s="102">
        <v>0</v>
      </c>
      <c r="J47" s="111" t="s">
        <v>87</v>
      </c>
      <c r="K47" s="111" t="s">
        <v>2708</v>
      </c>
      <c r="L47" s="111" t="s">
        <v>2709</v>
      </c>
      <c r="M47" s="111" t="s">
        <v>2710</v>
      </c>
      <c r="N47" s="111" t="s">
        <v>2711</v>
      </c>
      <c r="O47" s="111" t="s">
        <v>2712</v>
      </c>
      <c r="P47" s="111" t="s">
        <v>2713</v>
      </c>
      <c r="Q47" s="111" t="s">
        <v>2714</v>
      </c>
      <c r="R47" s="111" t="s">
        <v>2715</v>
      </c>
      <c r="S47" s="111" t="s">
        <v>2716</v>
      </c>
      <c r="T47" s="111" t="s">
        <v>2717</v>
      </c>
      <c r="U47" s="111" t="s">
        <v>2718</v>
      </c>
      <c r="V47" s="111" t="s">
        <v>2719</v>
      </c>
      <c r="W47" s="111" t="s">
        <v>2720</v>
      </c>
      <c r="X47" s="111" t="s">
        <v>2721</v>
      </c>
      <c r="Y47" s="111" t="s">
        <v>2722</v>
      </c>
      <c r="Z47" s="111" t="s">
        <v>2723</v>
      </c>
      <c r="AA47" s="111" t="s">
        <v>2798</v>
      </c>
      <c r="AB47" s="111" t="s">
        <v>2798</v>
      </c>
      <c r="AC47" s="111" t="s">
        <v>2798</v>
      </c>
      <c r="AD47" s="111" t="s">
        <v>2798</v>
      </c>
      <c r="AE47" s="111" t="s">
        <v>2798</v>
      </c>
      <c r="AF47" s="111" t="s">
        <v>2798</v>
      </c>
      <c r="AG47" s="111" t="s">
        <v>2798</v>
      </c>
      <c r="AH47" s="111" t="s">
        <v>2798</v>
      </c>
      <c r="AI47" s="111" t="s">
        <v>2798</v>
      </c>
      <c r="AJ47" s="111" t="s">
        <v>2798</v>
      </c>
      <c r="AK47" s="111" t="s">
        <v>2798</v>
      </c>
      <c r="AL47" s="111" t="s">
        <v>2798</v>
      </c>
      <c r="AM47" s="111" t="s">
        <v>2798</v>
      </c>
      <c r="AN47" s="111" t="s">
        <v>2798</v>
      </c>
      <c r="AO47" s="111" t="s">
        <v>2798</v>
      </c>
      <c r="AP47" s="111" t="s">
        <v>2798</v>
      </c>
      <c r="AQ47" s="111" t="s">
        <v>2798</v>
      </c>
      <c r="AR47" s="111" t="s">
        <v>2798</v>
      </c>
      <c r="AS47" s="111" t="s">
        <v>2798</v>
      </c>
      <c r="AT47" s="111" t="s">
        <v>2798</v>
      </c>
      <c r="AU47" s="111" t="s">
        <v>2798</v>
      </c>
      <c r="AV47" s="111" t="s">
        <v>2798</v>
      </c>
      <c r="AW47" s="111" t="s">
        <v>2798</v>
      </c>
      <c r="AX47" s="111" t="s">
        <v>2798</v>
      </c>
      <c r="AY47" s="111" t="s">
        <v>2798</v>
      </c>
      <c r="AZ47" s="111" t="s">
        <v>2798</v>
      </c>
      <c r="BA47" s="111" t="s">
        <v>2798</v>
      </c>
      <c r="BB47" s="111" t="s">
        <v>2798</v>
      </c>
      <c r="BC47" s="111" t="s">
        <v>2798</v>
      </c>
      <c r="BD47" s="111" t="s">
        <v>2798</v>
      </c>
      <c r="BE47" s="111" t="s">
        <v>2798</v>
      </c>
      <c r="BF47" s="111" t="s">
        <v>2798</v>
      </c>
      <c r="BG47" s="111" t="s">
        <v>2798</v>
      </c>
      <c r="BH47" s="111" t="s">
        <v>2798</v>
      </c>
      <c r="BI47" s="111" t="s">
        <v>2798</v>
      </c>
      <c r="BJ47" s="111" t="s">
        <v>2798</v>
      </c>
      <c r="BK47" s="111" t="s">
        <v>2798</v>
      </c>
      <c r="BL47" s="111" t="s">
        <v>2798</v>
      </c>
      <c r="BM47" s="111" t="s">
        <v>2798</v>
      </c>
      <c r="BN47" s="111" t="s">
        <v>2798</v>
      </c>
      <c r="BO47" s="111" t="s">
        <v>2798</v>
      </c>
      <c r="BP47" s="111" t="s">
        <v>2798</v>
      </c>
      <c r="BQ47" s="111" t="s">
        <v>2798</v>
      </c>
      <c r="BR47" s="111" t="s">
        <v>2798</v>
      </c>
      <c r="BS47" s="111" t="s">
        <v>2798</v>
      </c>
      <c r="BT47" s="111" t="s">
        <v>2798</v>
      </c>
      <c r="BU47" s="111" t="s">
        <v>2798</v>
      </c>
      <c r="BV47" s="111" t="s">
        <v>2798</v>
      </c>
      <c r="BW47" s="111" t="s">
        <v>2798</v>
      </c>
      <c r="BX47" s="111" t="s">
        <v>2798</v>
      </c>
      <c r="BY47" s="111" t="s">
        <v>2798</v>
      </c>
      <c r="BZ47" s="111" t="s">
        <v>2798</v>
      </c>
      <c r="CA47" s="111" t="s">
        <v>2798</v>
      </c>
      <c r="CB47" s="111" t="s">
        <v>2798</v>
      </c>
      <c r="CC47" s="111" t="s">
        <v>2798</v>
      </c>
      <c r="CD47" s="111" t="s">
        <v>2798</v>
      </c>
      <c r="CE47" s="111" t="s">
        <v>2798</v>
      </c>
      <c r="CF47" s="111" t="s">
        <v>2798</v>
      </c>
      <c r="CG47" s="111" t="s">
        <v>2798</v>
      </c>
      <c r="CH47" s="111" t="s">
        <v>2798</v>
      </c>
      <c r="CI47" s="111" t="s">
        <v>2798</v>
      </c>
      <c r="CJ47" s="111" t="s">
        <v>2798</v>
      </c>
      <c r="CK47" s="111" t="s">
        <v>2798</v>
      </c>
      <c r="CL47" s="111" t="s">
        <v>2798</v>
      </c>
      <c r="CM47" s="111" t="s">
        <v>2798</v>
      </c>
      <c r="CN47" s="111" t="s">
        <v>2798</v>
      </c>
      <c r="CO47" s="111" t="s">
        <v>2798</v>
      </c>
      <c r="CP47" s="111" t="s">
        <v>2798</v>
      </c>
      <c r="CQ47" s="111" t="s">
        <v>2798</v>
      </c>
    </row>
    <row r="48" spans="2:95" ht="14.25" customHeight="1">
      <c r="B48" s="106" t="s">
        <v>755</v>
      </c>
      <c r="C48" s="106" t="s">
        <v>2839</v>
      </c>
      <c r="D48" s="109">
        <v>12957.449000000001</v>
      </c>
      <c r="E48" s="106" t="s">
        <v>1964</v>
      </c>
      <c r="F48" s="110">
        <v>50</v>
      </c>
      <c r="G48" s="106" t="s">
        <v>2795</v>
      </c>
      <c r="H48" s="102">
        <v>0</v>
      </c>
      <c r="I48" s="102">
        <v>0</v>
      </c>
      <c r="J48" s="111" t="s">
        <v>2798</v>
      </c>
      <c r="K48" s="111" t="s">
        <v>2798</v>
      </c>
      <c r="L48" s="111" t="s">
        <v>2798</v>
      </c>
      <c r="M48" s="111" t="s">
        <v>2798</v>
      </c>
      <c r="N48" s="111" t="s">
        <v>2798</v>
      </c>
      <c r="O48" s="111" t="s">
        <v>2798</v>
      </c>
      <c r="P48" s="111" t="s">
        <v>2798</v>
      </c>
      <c r="Q48" s="111" t="s">
        <v>2798</v>
      </c>
      <c r="R48" s="111" t="s">
        <v>2798</v>
      </c>
      <c r="S48" s="111" t="s">
        <v>2798</v>
      </c>
      <c r="T48" s="111" t="s">
        <v>2798</v>
      </c>
      <c r="U48" s="111" t="s">
        <v>2798</v>
      </c>
      <c r="V48" s="111" t="s">
        <v>2798</v>
      </c>
      <c r="W48" s="111" t="s">
        <v>2798</v>
      </c>
      <c r="X48" s="111" t="s">
        <v>2798</v>
      </c>
      <c r="Y48" s="111" t="s">
        <v>2798</v>
      </c>
      <c r="Z48" s="111" t="s">
        <v>2798</v>
      </c>
      <c r="AA48" s="111" t="s">
        <v>2724</v>
      </c>
      <c r="AB48" s="111" t="s">
        <v>2725</v>
      </c>
      <c r="AC48" s="111" t="s">
        <v>2726</v>
      </c>
      <c r="AD48" s="111" t="s">
        <v>2727</v>
      </c>
      <c r="AE48" s="111" t="s">
        <v>2728</v>
      </c>
      <c r="AF48" s="111" t="s">
        <v>2729</v>
      </c>
      <c r="AG48" s="111" t="s">
        <v>2730</v>
      </c>
      <c r="AH48" s="111" t="s">
        <v>2731</v>
      </c>
      <c r="AI48" s="111" t="s">
        <v>2732</v>
      </c>
      <c r="AJ48" s="111" t="s">
        <v>2733</v>
      </c>
      <c r="AK48" s="111" t="s">
        <v>2734</v>
      </c>
      <c r="AL48" s="111" t="s">
        <v>2735</v>
      </c>
      <c r="AM48" s="111" t="s">
        <v>2736</v>
      </c>
      <c r="AN48" s="111" t="s">
        <v>2737</v>
      </c>
      <c r="AO48" s="111" t="s">
        <v>2738</v>
      </c>
      <c r="AP48" s="111" t="s">
        <v>2739</v>
      </c>
      <c r="AQ48" s="111" t="s">
        <v>2740</v>
      </c>
      <c r="AR48" s="111" t="s">
        <v>2798</v>
      </c>
      <c r="AS48" s="111" t="s">
        <v>2798</v>
      </c>
      <c r="AT48" s="111" t="s">
        <v>2798</v>
      </c>
      <c r="AU48" s="111" t="s">
        <v>2798</v>
      </c>
      <c r="AV48" s="111" t="s">
        <v>2798</v>
      </c>
      <c r="AW48" s="111" t="s">
        <v>2798</v>
      </c>
      <c r="AX48" s="111" t="s">
        <v>2798</v>
      </c>
      <c r="AY48" s="111" t="s">
        <v>2798</v>
      </c>
      <c r="AZ48" s="111" t="s">
        <v>2798</v>
      </c>
      <c r="BA48" s="111" t="s">
        <v>2798</v>
      </c>
      <c r="BB48" s="111" t="s">
        <v>2798</v>
      </c>
      <c r="BC48" s="111" t="s">
        <v>2798</v>
      </c>
      <c r="BD48" s="111" t="s">
        <v>2798</v>
      </c>
      <c r="BE48" s="111" t="s">
        <v>2798</v>
      </c>
      <c r="BF48" s="111" t="s">
        <v>2798</v>
      </c>
      <c r="BG48" s="111" t="s">
        <v>2798</v>
      </c>
      <c r="BH48" s="111" t="s">
        <v>2798</v>
      </c>
      <c r="BI48" s="111" t="s">
        <v>2798</v>
      </c>
      <c r="BJ48" s="111" t="s">
        <v>2798</v>
      </c>
      <c r="BK48" s="111" t="s">
        <v>2798</v>
      </c>
      <c r="BL48" s="111" t="s">
        <v>2798</v>
      </c>
      <c r="BM48" s="111" t="s">
        <v>2798</v>
      </c>
      <c r="BN48" s="111" t="s">
        <v>2798</v>
      </c>
      <c r="BO48" s="111" t="s">
        <v>2798</v>
      </c>
      <c r="BP48" s="111" t="s">
        <v>2798</v>
      </c>
      <c r="BQ48" s="111" t="s">
        <v>2798</v>
      </c>
      <c r="BR48" s="111" t="s">
        <v>2798</v>
      </c>
      <c r="BS48" s="111" t="s">
        <v>2798</v>
      </c>
      <c r="BT48" s="111" t="s">
        <v>2798</v>
      </c>
      <c r="BU48" s="111" t="s">
        <v>2798</v>
      </c>
      <c r="BV48" s="111" t="s">
        <v>2798</v>
      </c>
      <c r="BW48" s="111" t="s">
        <v>2798</v>
      </c>
      <c r="BX48" s="111" t="s">
        <v>2798</v>
      </c>
      <c r="BY48" s="111" t="s">
        <v>2798</v>
      </c>
      <c r="BZ48" s="111" t="s">
        <v>2798</v>
      </c>
      <c r="CA48" s="111" t="s">
        <v>2798</v>
      </c>
      <c r="CB48" s="111" t="s">
        <v>2798</v>
      </c>
      <c r="CC48" s="111" t="s">
        <v>2798</v>
      </c>
      <c r="CD48" s="111" t="s">
        <v>2798</v>
      </c>
      <c r="CE48" s="111" t="s">
        <v>2798</v>
      </c>
      <c r="CF48" s="111" t="s">
        <v>2798</v>
      </c>
      <c r="CG48" s="111" t="s">
        <v>2798</v>
      </c>
      <c r="CH48" s="111" t="s">
        <v>2798</v>
      </c>
      <c r="CI48" s="111" t="s">
        <v>2798</v>
      </c>
      <c r="CJ48" s="111" t="s">
        <v>2798</v>
      </c>
      <c r="CK48" s="111" t="s">
        <v>2798</v>
      </c>
      <c r="CL48" s="111" t="s">
        <v>2798</v>
      </c>
      <c r="CM48" s="111" t="s">
        <v>2798</v>
      </c>
      <c r="CN48" s="111" t="s">
        <v>2798</v>
      </c>
      <c r="CO48" s="111" t="s">
        <v>2798</v>
      </c>
      <c r="CP48" s="111" t="s">
        <v>2798</v>
      </c>
      <c r="CQ48" s="111" t="s">
        <v>2798</v>
      </c>
    </row>
    <row r="49" spans="2:95" ht="14.25" customHeight="1">
      <c r="B49" s="106" t="s">
        <v>756</v>
      </c>
      <c r="C49" s="106" t="s">
        <v>2840</v>
      </c>
      <c r="D49" s="109">
        <v>13007.449000000001</v>
      </c>
      <c r="E49" s="106" t="s">
        <v>1964</v>
      </c>
      <c r="F49" s="110">
        <v>50</v>
      </c>
      <c r="G49" s="106" t="s">
        <v>2795</v>
      </c>
      <c r="H49" s="102">
        <v>0</v>
      </c>
      <c r="I49" s="102">
        <v>0</v>
      </c>
      <c r="J49" s="111" t="s">
        <v>2798</v>
      </c>
      <c r="K49" s="111" t="s">
        <v>2798</v>
      </c>
      <c r="L49" s="111" t="s">
        <v>2798</v>
      </c>
      <c r="M49" s="111" t="s">
        <v>2798</v>
      </c>
      <c r="N49" s="111" t="s">
        <v>2798</v>
      </c>
      <c r="O49" s="111" t="s">
        <v>2798</v>
      </c>
      <c r="P49" s="111" t="s">
        <v>2798</v>
      </c>
      <c r="Q49" s="111" t="s">
        <v>2798</v>
      </c>
      <c r="R49" s="111" t="s">
        <v>2798</v>
      </c>
      <c r="S49" s="111" t="s">
        <v>2798</v>
      </c>
      <c r="T49" s="111" t="s">
        <v>2798</v>
      </c>
      <c r="U49" s="111" t="s">
        <v>2798</v>
      </c>
      <c r="V49" s="111" t="s">
        <v>2798</v>
      </c>
      <c r="W49" s="111" t="s">
        <v>2798</v>
      </c>
      <c r="X49" s="111" t="s">
        <v>2798</v>
      </c>
      <c r="Y49" s="111" t="s">
        <v>2798</v>
      </c>
      <c r="Z49" s="111" t="s">
        <v>2798</v>
      </c>
      <c r="AA49" s="111" t="s">
        <v>2798</v>
      </c>
      <c r="AB49" s="111" t="s">
        <v>2798</v>
      </c>
      <c r="AC49" s="111" t="s">
        <v>2798</v>
      </c>
      <c r="AD49" s="111" t="s">
        <v>2798</v>
      </c>
      <c r="AE49" s="111" t="s">
        <v>2798</v>
      </c>
      <c r="AF49" s="111" t="s">
        <v>2798</v>
      </c>
      <c r="AG49" s="111" t="s">
        <v>2798</v>
      </c>
      <c r="AH49" s="111" t="s">
        <v>2798</v>
      </c>
      <c r="AI49" s="111" t="s">
        <v>2798</v>
      </c>
      <c r="AJ49" s="111" t="s">
        <v>2798</v>
      </c>
      <c r="AK49" s="111" t="s">
        <v>2798</v>
      </c>
      <c r="AL49" s="111" t="s">
        <v>2798</v>
      </c>
      <c r="AM49" s="111" t="s">
        <v>2798</v>
      </c>
      <c r="AN49" s="111" t="s">
        <v>2798</v>
      </c>
      <c r="AO49" s="111" t="s">
        <v>2798</v>
      </c>
      <c r="AP49" s="111" t="s">
        <v>2798</v>
      </c>
      <c r="AQ49" s="111" t="s">
        <v>2798</v>
      </c>
      <c r="AR49" s="111" t="s">
        <v>2741</v>
      </c>
      <c r="AS49" s="111" t="s">
        <v>2742</v>
      </c>
      <c r="AT49" s="111" t="s">
        <v>2743</v>
      </c>
      <c r="AU49" s="111" t="s">
        <v>2744</v>
      </c>
      <c r="AV49" s="111" t="s">
        <v>2745</v>
      </c>
      <c r="AW49" s="111" t="s">
        <v>2746</v>
      </c>
      <c r="AX49" s="111" t="s">
        <v>2747</v>
      </c>
      <c r="AY49" s="111" t="s">
        <v>2748</v>
      </c>
      <c r="AZ49" s="111" t="s">
        <v>2749</v>
      </c>
      <c r="BA49" s="111" t="s">
        <v>2750</v>
      </c>
      <c r="BB49" s="111" t="s">
        <v>2751</v>
      </c>
      <c r="BC49" s="111" t="s">
        <v>2752</v>
      </c>
      <c r="BD49" s="111" t="s">
        <v>2753</v>
      </c>
      <c r="BE49" s="111" t="s">
        <v>2754</v>
      </c>
      <c r="BF49" s="111" t="s">
        <v>2755</v>
      </c>
      <c r="BG49" s="111" t="s">
        <v>2756</v>
      </c>
      <c r="BH49" s="111" t="s">
        <v>2757</v>
      </c>
      <c r="BI49" s="111" t="s">
        <v>2798</v>
      </c>
      <c r="BJ49" s="111" t="s">
        <v>2798</v>
      </c>
      <c r="BK49" s="111" t="s">
        <v>2798</v>
      </c>
      <c r="BL49" s="111" t="s">
        <v>2798</v>
      </c>
      <c r="BM49" s="111" t="s">
        <v>2798</v>
      </c>
      <c r="BN49" s="111" t="s">
        <v>2798</v>
      </c>
      <c r="BO49" s="111" t="s">
        <v>2798</v>
      </c>
      <c r="BP49" s="111" t="s">
        <v>2798</v>
      </c>
      <c r="BQ49" s="111" t="s">
        <v>2798</v>
      </c>
      <c r="BR49" s="111" t="s">
        <v>2798</v>
      </c>
      <c r="BS49" s="111" t="s">
        <v>2798</v>
      </c>
      <c r="BT49" s="111" t="s">
        <v>2798</v>
      </c>
      <c r="BU49" s="111" t="s">
        <v>2798</v>
      </c>
      <c r="BV49" s="111" t="s">
        <v>2798</v>
      </c>
      <c r="BW49" s="111" t="s">
        <v>2798</v>
      </c>
      <c r="BX49" s="111" t="s">
        <v>2798</v>
      </c>
      <c r="BY49" s="111" t="s">
        <v>2798</v>
      </c>
      <c r="BZ49" s="111" t="s">
        <v>2798</v>
      </c>
      <c r="CA49" s="111" t="s">
        <v>2798</v>
      </c>
      <c r="CB49" s="111" t="s">
        <v>2798</v>
      </c>
      <c r="CC49" s="111" t="s">
        <v>2798</v>
      </c>
      <c r="CD49" s="111" t="s">
        <v>2798</v>
      </c>
      <c r="CE49" s="111" t="s">
        <v>2798</v>
      </c>
      <c r="CF49" s="111" t="s">
        <v>2798</v>
      </c>
      <c r="CG49" s="111" t="s">
        <v>2798</v>
      </c>
      <c r="CH49" s="111" t="s">
        <v>2798</v>
      </c>
      <c r="CI49" s="111" t="s">
        <v>2798</v>
      </c>
      <c r="CJ49" s="111" t="s">
        <v>2798</v>
      </c>
      <c r="CK49" s="111" t="s">
        <v>2798</v>
      </c>
      <c r="CL49" s="111" t="s">
        <v>2798</v>
      </c>
      <c r="CM49" s="111" t="s">
        <v>2798</v>
      </c>
      <c r="CN49" s="111" t="s">
        <v>2798</v>
      </c>
      <c r="CO49" s="111" t="s">
        <v>2798</v>
      </c>
      <c r="CP49" s="111" t="s">
        <v>2798</v>
      </c>
      <c r="CQ49" s="111" t="s">
        <v>2798</v>
      </c>
    </row>
    <row r="50" spans="2:95" ht="14.25" customHeight="1">
      <c r="B50" s="106" t="s">
        <v>757</v>
      </c>
      <c r="C50" s="106" t="s">
        <v>2841</v>
      </c>
      <c r="D50" s="109">
        <v>13057.449000000001</v>
      </c>
      <c r="E50" s="106" t="s">
        <v>1964</v>
      </c>
      <c r="F50" s="110">
        <v>50</v>
      </c>
      <c r="G50" s="106" t="s">
        <v>2795</v>
      </c>
      <c r="H50" s="102">
        <v>0</v>
      </c>
      <c r="I50" s="102">
        <v>0</v>
      </c>
      <c r="J50" s="111" t="s">
        <v>2798</v>
      </c>
      <c r="K50" s="111" t="s">
        <v>2798</v>
      </c>
      <c r="L50" s="111" t="s">
        <v>2798</v>
      </c>
      <c r="M50" s="111" t="s">
        <v>2798</v>
      </c>
      <c r="N50" s="111" t="s">
        <v>2798</v>
      </c>
      <c r="O50" s="111" t="s">
        <v>2798</v>
      </c>
      <c r="P50" s="111" t="s">
        <v>2798</v>
      </c>
      <c r="Q50" s="111" t="s">
        <v>2798</v>
      </c>
      <c r="R50" s="111" t="s">
        <v>2798</v>
      </c>
      <c r="S50" s="111" t="s">
        <v>2798</v>
      </c>
      <c r="T50" s="111" t="s">
        <v>2798</v>
      </c>
      <c r="U50" s="111" t="s">
        <v>2798</v>
      </c>
      <c r="V50" s="111" t="s">
        <v>2798</v>
      </c>
      <c r="W50" s="111" t="s">
        <v>2798</v>
      </c>
      <c r="X50" s="111" t="s">
        <v>2798</v>
      </c>
      <c r="Y50" s="111" t="s">
        <v>2798</v>
      </c>
      <c r="Z50" s="111" t="s">
        <v>2798</v>
      </c>
      <c r="AA50" s="111" t="s">
        <v>2798</v>
      </c>
      <c r="AB50" s="111" t="s">
        <v>2798</v>
      </c>
      <c r="AC50" s="111" t="s">
        <v>2798</v>
      </c>
      <c r="AD50" s="111" t="s">
        <v>2798</v>
      </c>
      <c r="AE50" s="111" t="s">
        <v>2798</v>
      </c>
      <c r="AF50" s="111" t="s">
        <v>2798</v>
      </c>
      <c r="AG50" s="111" t="s">
        <v>2798</v>
      </c>
      <c r="AH50" s="111" t="s">
        <v>2798</v>
      </c>
      <c r="AI50" s="111" t="s">
        <v>2798</v>
      </c>
      <c r="AJ50" s="111" t="s">
        <v>2798</v>
      </c>
      <c r="AK50" s="111" t="s">
        <v>2798</v>
      </c>
      <c r="AL50" s="111" t="s">
        <v>2798</v>
      </c>
      <c r="AM50" s="111" t="s">
        <v>2798</v>
      </c>
      <c r="AN50" s="111" t="s">
        <v>2798</v>
      </c>
      <c r="AO50" s="111" t="s">
        <v>2798</v>
      </c>
      <c r="AP50" s="111" t="s">
        <v>2798</v>
      </c>
      <c r="AQ50" s="111" t="s">
        <v>2798</v>
      </c>
      <c r="AR50" s="111" t="s">
        <v>2798</v>
      </c>
      <c r="AS50" s="111" t="s">
        <v>2798</v>
      </c>
      <c r="AT50" s="111" t="s">
        <v>2798</v>
      </c>
      <c r="AU50" s="111" t="s">
        <v>2798</v>
      </c>
      <c r="AV50" s="111" t="s">
        <v>2798</v>
      </c>
      <c r="AW50" s="111" t="s">
        <v>2798</v>
      </c>
      <c r="AX50" s="111" t="s">
        <v>2798</v>
      </c>
      <c r="AY50" s="111" t="s">
        <v>2798</v>
      </c>
      <c r="AZ50" s="111" t="s">
        <v>2798</v>
      </c>
      <c r="BA50" s="111" t="s">
        <v>2798</v>
      </c>
      <c r="BB50" s="111" t="s">
        <v>2798</v>
      </c>
      <c r="BC50" s="111" t="s">
        <v>2798</v>
      </c>
      <c r="BD50" s="111" t="s">
        <v>2798</v>
      </c>
      <c r="BE50" s="111" t="s">
        <v>2798</v>
      </c>
      <c r="BF50" s="111" t="s">
        <v>2798</v>
      </c>
      <c r="BG50" s="111" t="s">
        <v>2798</v>
      </c>
      <c r="BH50" s="111" t="s">
        <v>2798</v>
      </c>
      <c r="BI50" s="111" t="s">
        <v>2758</v>
      </c>
      <c r="BJ50" s="111" t="s">
        <v>2759</v>
      </c>
      <c r="BK50" s="111" t="s">
        <v>2760</v>
      </c>
      <c r="BL50" s="111" t="s">
        <v>2761</v>
      </c>
      <c r="BM50" s="111" t="s">
        <v>2762</v>
      </c>
      <c r="BN50" s="111" t="s">
        <v>2763</v>
      </c>
      <c r="BO50" s="111" t="s">
        <v>2764</v>
      </c>
      <c r="BP50" s="111" t="s">
        <v>2765</v>
      </c>
      <c r="BQ50" s="111" t="s">
        <v>2766</v>
      </c>
      <c r="BR50" s="111" t="s">
        <v>2767</v>
      </c>
      <c r="BS50" s="111" t="s">
        <v>2768</v>
      </c>
      <c r="BT50" s="111" t="s">
        <v>2769</v>
      </c>
      <c r="BU50" s="111" t="s">
        <v>2770</v>
      </c>
      <c r="BV50" s="111" t="s">
        <v>2771</v>
      </c>
      <c r="BW50" s="111" t="s">
        <v>2772</v>
      </c>
      <c r="BX50" s="111" t="s">
        <v>2773</v>
      </c>
      <c r="BY50" s="111" t="s">
        <v>2774</v>
      </c>
      <c r="BZ50" s="111" t="s">
        <v>2798</v>
      </c>
      <c r="CA50" s="111" t="s">
        <v>2798</v>
      </c>
      <c r="CB50" s="111" t="s">
        <v>2798</v>
      </c>
      <c r="CC50" s="111" t="s">
        <v>2798</v>
      </c>
      <c r="CD50" s="111" t="s">
        <v>2798</v>
      </c>
      <c r="CE50" s="111" t="s">
        <v>2798</v>
      </c>
      <c r="CF50" s="111" t="s">
        <v>2798</v>
      </c>
      <c r="CG50" s="111" t="s">
        <v>2798</v>
      </c>
      <c r="CH50" s="111" t="s">
        <v>2798</v>
      </c>
      <c r="CI50" s="111" t="s">
        <v>2798</v>
      </c>
      <c r="CJ50" s="111" t="s">
        <v>2798</v>
      </c>
      <c r="CK50" s="111" t="s">
        <v>2798</v>
      </c>
      <c r="CL50" s="111" t="s">
        <v>2798</v>
      </c>
      <c r="CM50" s="111" t="s">
        <v>2798</v>
      </c>
      <c r="CN50" s="111" t="s">
        <v>2798</v>
      </c>
      <c r="CO50" s="111" t="s">
        <v>2798</v>
      </c>
      <c r="CP50" s="111" t="s">
        <v>2798</v>
      </c>
      <c r="CQ50" s="111" t="s">
        <v>2798</v>
      </c>
    </row>
    <row r="51" spans="2:95" ht="14.25" customHeight="1">
      <c r="B51" s="106" t="s">
        <v>758</v>
      </c>
      <c r="C51" s="106" t="s">
        <v>2842</v>
      </c>
      <c r="D51" s="109">
        <v>13107.449000000001</v>
      </c>
      <c r="E51" s="106" t="s">
        <v>1964</v>
      </c>
      <c r="F51" s="110">
        <v>50</v>
      </c>
      <c r="G51" s="106" t="s">
        <v>2793</v>
      </c>
      <c r="H51" s="102">
        <v>0</v>
      </c>
      <c r="I51" s="102">
        <v>0</v>
      </c>
      <c r="J51" s="111" t="s">
        <v>2798</v>
      </c>
      <c r="K51" s="111" t="s">
        <v>2798</v>
      </c>
      <c r="L51" s="111" t="s">
        <v>2798</v>
      </c>
      <c r="M51" s="111" t="s">
        <v>2798</v>
      </c>
      <c r="N51" s="111" t="s">
        <v>2798</v>
      </c>
      <c r="O51" s="111" t="s">
        <v>2798</v>
      </c>
      <c r="P51" s="111" t="s">
        <v>2798</v>
      </c>
      <c r="Q51" s="111" t="s">
        <v>2798</v>
      </c>
      <c r="R51" s="111" t="s">
        <v>2798</v>
      </c>
      <c r="S51" s="111" t="s">
        <v>2798</v>
      </c>
      <c r="T51" s="111" t="s">
        <v>2798</v>
      </c>
      <c r="U51" s="111" t="s">
        <v>2798</v>
      </c>
      <c r="V51" s="111" t="s">
        <v>2798</v>
      </c>
      <c r="W51" s="111" t="s">
        <v>2798</v>
      </c>
      <c r="X51" s="111" t="s">
        <v>2798</v>
      </c>
      <c r="Y51" s="111" t="s">
        <v>2798</v>
      </c>
      <c r="Z51" s="111" t="s">
        <v>2798</v>
      </c>
      <c r="AA51" s="111" t="s">
        <v>2798</v>
      </c>
      <c r="AB51" s="111" t="s">
        <v>2798</v>
      </c>
      <c r="AC51" s="111" t="s">
        <v>2798</v>
      </c>
      <c r="AD51" s="111" t="s">
        <v>2798</v>
      </c>
      <c r="AE51" s="111" t="s">
        <v>2798</v>
      </c>
      <c r="AF51" s="111" t="s">
        <v>2798</v>
      </c>
      <c r="AG51" s="111" t="s">
        <v>2798</v>
      </c>
      <c r="AH51" s="111" t="s">
        <v>2798</v>
      </c>
      <c r="AI51" s="111" t="s">
        <v>2798</v>
      </c>
      <c r="AJ51" s="111" t="s">
        <v>2798</v>
      </c>
      <c r="AK51" s="111" t="s">
        <v>2798</v>
      </c>
      <c r="AL51" s="111" t="s">
        <v>2798</v>
      </c>
      <c r="AM51" s="111" t="s">
        <v>2798</v>
      </c>
      <c r="AN51" s="111" t="s">
        <v>2798</v>
      </c>
      <c r="AO51" s="111" t="s">
        <v>2798</v>
      </c>
      <c r="AP51" s="111" t="s">
        <v>2798</v>
      </c>
      <c r="AQ51" s="111" t="s">
        <v>2798</v>
      </c>
      <c r="AR51" s="111" t="s">
        <v>2798</v>
      </c>
      <c r="AS51" s="111" t="s">
        <v>2798</v>
      </c>
      <c r="AT51" s="111" t="s">
        <v>2798</v>
      </c>
      <c r="AU51" s="111" t="s">
        <v>2798</v>
      </c>
      <c r="AV51" s="111" t="s">
        <v>2798</v>
      </c>
      <c r="AW51" s="111" t="s">
        <v>2798</v>
      </c>
      <c r="AX51" s="111" t="s">
        <v>2798</v>
      </c>
      <c r="AY51" s="111" t="s">
        <v>2798</v>
      </c>
      <c r="AZ51" s="111" t="s">
        <v>2798</v>
      </c>
      <c r="BA51" s="111" t="s">
        <v>2798</v>
      </c>
      <c r="BB51" s="111" t="s">
        <v>2798</v>
      </c>
      <c r="BC51" s="111" t="s">
        <v>2798</v>
      </c>
      <c r="BD51" s="111" t="s">
        <v>2798</v>
      </c>
      <c r="BE51" s="111" t="s">
        <v>2798</v>
      </c>
      <c r="BF51" s="111" t="s">
        <v>2798</v>
      </c>
      <c r="BG51" s="111" t="s">
        <v>2798</v>
      </c>
      <c r="BH51" s="111" t="s">
        <v>2798</v>
      </c>
      <c r="BI51" s="111" t="s">
        <v>2798</v>
      </c>
      <c r="BJ51" s="111" t="s">
        <v>2798</v>
      </c>
      <c r="BK51" s="111" t="s">
        <v>2798</v>
      </c>
      <c r="BL51" s="111" t="s">
        <v>2798</v>
      </c>
      <c r="BM51" s="111" t="s">
        <v>2798</v>
      </c>
      <c r="BN51" s="111" t="s">
        <v>2798</v>
      </c>
      <c r="BO51" s="111" t="s">
        <v>2798</v>
      </c>
      <c r="BP51" s="111" t="s">
        <v>2798</v>
      </c>
      <c r="BQ51" s="111" t="s">
        <v>2798</v>
      </c>
      <c r="BR51" s="111" t="s">
        <v>2798</v>
      </c>
      <c r="BS51" s="111" t="s">
        <v>2798</v>
      </c>
      <c r="BT51" s="111" t="s">
        <v>2798</v>
      </c>
      <c r="BU51" s="111" t="s">
        <v>2798</v>
      </c>
      <c r="BV51" s="111" t="s">
        <v>2798</v>
      </c>
      <c r="BW51" s="111" t="s">
        <v>2798</v>
      </c>
      <c r="BX51" s="111" t="s">
        <v>2798</v>
      </c>
      <c r="BY51" s="111" t="s">
        <v>2798</v>
      </c>
      <c r="BZ51" s="111" t="s">
        <v>2775</v>
      </c>
      <c r="CA51" s="111" t="s">
        <v>2776</v>
      </c>
      <c r="CB51" s="111" t="s">
        <v>2777</v>
      </c>
      <c r="CC51" s="111" t="s">
        <v>2778</v>
      </c>
      <c r="CD51" s="111" t="s">
        <v>2779</v>
      </c>
      <c r="CE51" s="111" t="s">
        <v>2780</v>
      </c>
      <c r="CF51" s="111" t="s">
        <v>2781</v>
      </c>
      <c r="CG51" s="111" t="s">
        <v>2782</v>
      </c>
      <c r="CH51" s="111" t="s">
        <v>2783</v>
      </c>
      <c r="CI51" s="111" t="s">
        <v>2798</v>
      </c>
      <c r="CJ51" s="111" t="s">
        <v>2785</v>
      </c>
      <c r="CK51" s="111" t="s">
        <v>2786</v>
      </c>
      <c r="CL51" s="111" t="s">
        <v>2787</v>
      </c>
      <c r="CM51" s="111" t="s">
        <v>2788</v>
      </c>
      <c r="CN51" s="111" t="s">
        <v>2789</v>
      </c>
      <c r="CO51" s="111" t="s">
        <v>2790</v>
      </c>
      <c r="CP51" s="111" t="s">
        <v>2791</v>
      </c>
      <c r="CQ51" s="111" t="s">
        <v>2792</v>
      </c>
    </row>
    <row r="52" spans="2:95" ht="14.25" customHeight="1">
      <c r="B52" s="106" t="s">
        <v>759</v>
      </c>
      <c r="C52" s="106" t="s">
        <v>2843</v>
      </c>
      <c r="D52" s="109">
        <v>13157.449000000001</v>
      </c>
      <c r="E52" s="106" t="s">
        <v>1981</v>
      </c>
      <c r="F52" s="110">
        <v>50</v>
      </c>
      <c r="G52" s="106" t="s">
        <v>2795</v>
      </c>
      <c r="H52" s="102">
        <v>0</v>
      </c>
      <c r="I52" s="102">
        <v>0</v>
      </c>
      <c r="J52" s="111" t="s">
        <v>87</v>
      </c>
      <c r="K52" s="111" t="s">
        <v>2708</v>
      </c>
      <c r="L52" s="111" t="s">
        <v>2709</v>
      </c>
      <c r="M52" s="111" t="s">
        <v>2710</v>
      </c>
      <c r="N52" s="111" t="s">
        <v>2711</v>
      </c>
      <c r="O52" s="111" t="s">
        <v>2712</v>
      </c>
      <c r="P52" s="111" t="s">
        <v>2713</v>
      </c>
      <c r="Q52" s="111" t="s">
        <v>2714</v>
      </c>
      <c r="R52" s="111" t="s">
        <v>2715</v>
      </c>
      <c r="S52" s="111" t="s">
        <v>2716</v>
      </c>
      <c r="T52" s="111" t="s">
        <v>2717</v>
      </c>
      <c r="U52" s="111" t="s">
        <v>2718</v>
      </c>
      <c r="V52" s="111" t="s">
        <v>2719</v>
      </c>
      <c r="W52" s="111" t="s">
        <v>2720</v>
      </c>
      <c r="X52" s="111" t="s">
        <v>2721</v>
      </c>
      <c r="Y52" s="111" t="s">
        <v>2722</v>
      </c>
      <c r="Z52" s="111" t="s">
        <v>2723</v>
      </c>
      <c r="AA52" s="111" t="s">
        <v>2798</v>
      </c>
      <c r="AB52" s="111" t="s">
        <v>2798</v>
      </c>
      <c r="AC52" s="111" t="s">
        <v>2798</v>
      </c>
      <c r="AD52" s="111" t="s">
        <v>2798</v>
      </c>
      <c r="AE52" s="111" t="s">
        <v>2798</v>
      </c>
      <c r="AF52" s="111" t="s">
        <v>2798</v>
      </c>
      <c r="AG52" s="111" t="s">
        <v>2798</v>
      </c>
      <c r="AH52" s="111" t="s">
        <v>2798</v>
      </c>
      <c r="AI52" s="111" t="s">
        <v>2798</v>
      </c>
      <c r="AJ52" s="111" t="s">
        <v>2798</v>
      </c>
      <c r="AK52" s="111" t="s">
        <v>2798</v>
      </c>
      <c r="AL52" s="111" t="s">
        <v>2798</v>
      </c>
      <c r="AM52" s="111" t="s">
        <v>2798</v>
      </c>
      <c r="AN52" s="111" t="s">
        <v>2798</v>
      </c>
      <c r="AO52" s="111" t="s">
        <v>2798</v>
      </c>
      <c r="AP52" s="111" t="s">
        <v>2798</v>
      </c>
      <c r="AQ52" s="111" t="s">
        <v>2798</v>
      </c>
      <c r="AR52" s="111" t="s">
        <v>2798</v>
      </c>
      <c r="AS52" s="111" t="s">
        <v>2798</v>
      </c>
      <c r="AT52" s="111" t="s">
        <v>2798</v>
      </c>
      <c r="AU52" s="111" t="s">
        <v>2798</v>
      </c>
      <c r="AV52" s="111" t="s">
        <v>2798</v>
      </c>
      <c r="AW52" s="111" t="s">
        <v>2798</v>
      </c>
      <c r="AX52" s="111" t="s">
        <v>2798</v>
      </c>
      <c r="AY52" s="111" t="s">
        <v>2798</v>
      </c>
      <c r="AZ52" s="111" t="s">
        <v>2798</v>
      </c>
      <c r="BA52" s="111" t="s">
        <v>2798</v>
      </c>
      <c r="BB52" s="111" t="s">
        <v>2798</v>
      </c>
      <c r="BC52" s="111" t="s">
        <v>2798</v>
      </c>
      <c r="BD52" s="111" t="s">
        <v>2798</v>
      </c>
      <c r="BE52" s="111" t="s">
        <v>2798</v>
      </c>
      <c r="BF52" s="111" t="s">
        <v>2798</v>
      </c>
      <c r="BG52" s="111" t="s">
        <v>2798</v>
      </c>
      <c r="BH52" s="111" t="s">
        <v>2798</v>
      </c>
      <c r="BI52" s="111" t="s">
        <v>2798</v>
      </c>
      <c r="BJ52" s="111" t="s">
        <v>2798</v>
      </c>
      <c r="BK52" s="111" t="s">
        <v>2798</v>
      </c>
      <c r="BL52" s="111" t="s">
        <v>2798</v>
      </c>
      <c r="BM52" s="111" t="s">
        <v>2798</v>
      </c>
      <c r="BN52" s="111" t="s">
        <v>2798</v>
      </c>
      <c r="BO52" s="111" t="s">
        <v>2798</v>
      </c>
      <c r="BP52" s="111" t="s">
        <v>2798</v>
      </c>
      <c r="BQ52" s="111" t="s">
        <v>2798</v>
      </c>
      <c r="BR52" s="111" t="s">
        <v>2798</v>
      </c>
      <c r="BS52" s="111" t="s">
        <v>2798</v>
      </c>
      <c r="BT52" s="111" t="s">
        <v>2798</v>
      </c>
      <c r="BU52" s="111" t="s">
        <v>2798</v>
      </c>
      <c r="BV52" s="111" t="s">
        <v>2798</v>
      </c>
      <c r="BW52" s="111" t="s">
        <v>2798</v>
      </c>
      <c r="BX52" s="111" t="s">
        <v>2798</v>
      </c>
      <c r="BY52" s="111" t="s">
        <v>2798</v>
      </c>
      <c r="BZ52" s="111" t="s">
        <v>2798</v>
      </c>
      <c r="CA52" s="111" t="s">
        <v>2798</v>
      </c>
      <c r="CB52" s="111" t="s">
        <v>2798</v>
      </c>
      <c r="CC52" s="111" t="s">
        <v>2798</v>
      </c>
      <c r="CD52" s="111" t="s">
        <v>2798</v>
      </c>
      <c r="CE52" s="111" t="s">
        <v>2798</v>
      </c>
      <c r="CF52" s="111" t="s">
        <v>2798</v>
      </c>
      <c r="CG52" s="111" t="s">
        <v>2798</v>
      </c>
      <c r="CH52" s="111" t="s">
        <v>2798</v>
      </c>
      <c r="CI52" s="111" t="s">
        <v>2798</v>
      </c>
      <c r="CJ52" s="111" t="s">
        <v>2798</v>
      </c>
      <c r="CK52" s="111" t="s">
        <v>2798</v>
      </c>
      <c r="CL52" s="111" t="s">
        <v>2798</v>
      </c>
      <c r="CM52" s="111" t="s">
        <v>2798</v>
      </c>
      <c r="CN52" s="111" t="s">
        <v>2798</v>
      </c>
      <c r="CO52" s="111" t="s">
        <v>2798</v>
      </c>
      <c r="CP52" s="111" t="s">
        <v>2798</v>
      </c>
      <c r="CQ52" s="111" t="s">
        <v>2798</v>
      </c>
    </row>
    <row r="53" spans="2:95" ht="14.25" customHeight="1">
      <c r="B53" s="106" t="s">
        <v>760</v>
      </c>
      <c r="C53" s="106" t="s">
        <v>2844</v>
      </c>
      <c r="D53" s="109">
        <v>13207.449000000001</v>
      </c>
      <c r="E53" s="106" t="s">
        <v>1981</v>
      </c>
      <c r="F53" s="110">
        <v>50</v>
      </c>
      <c r="G53" s="106" t="s">
        <v>2795</v>
      </c>
      <c r="H53" s="102">
        <v>0</v>
      </c>
      <c r="I53" s="102">
        <v>0</v>
      </c>
      <c r="J53" s="111" t="s">
        <v>2798</v>
      </c>
      <c r="K53" s="111" t="s">
        <v>2798</v>
      </c>
      <c r="L53" s="111" t="s">
        <v>2798</v>
      </c>
      <c r="M53" s="111" t="s">
        <v>2798</v>
      </c>
      <c r="N53" s="111" t="s">
        <v>2798</v>
      </c>
      <c r="O53" s="111" t="s">
        <v>2798</v>
      </c>
      <c r="P53" s="111" t="s">
        <v>2798</v>
      </c>
      <c r="Q53" s="111" t="s">
        <v>2798</v>
      </c>
      <c r="R53" s="111" t="s">
        <v>2798</v>
      </c>
      <c r="S53" s="111" t="s">
        <v>2798</v>
      </c>
      <c r="T53" s="111" t="s">
        <v>2798</v>
      </c>
      <c r="U53" s="111" t="s">
        <v>2798</v>
      </c>
      <c r="V53" s="111" t="s">
        <v>2798</v>
      </c>
      <c r="W53" s="111" t="s">
        <v>2798</v>
      </c>
      <c r="X53" s="111" t="s">
        <v>2798</v>
      </c>
      <c r="Y53" s="111" t="s">
        <v>2798</v>
      </c>
      <c r="Z53" s="111" t="s">
        <v>2798</v>
      </c>
      <c r="AA53" s="111" t="s">
        <v>2724</v>
      </c>
      <c r="AB53" s="111" t="s">
        <v>2725</v>
      </c>
      <c r="AC53" s="111" t="s">
        <v>2726</v>
      </c>
      <c r="AD53" s="111" t="s">
        <v>2727</v>
      </c>
      <c r="AE53" s="111" t="s">
        <v>2728</v>
      </c>
      <c r="AF53" s="111" t="s">
        <v>2729</v>
      </c>
      <c r="AG53" s="111" t="s">
        <v>2730</v>
      </c>
      <c r="AH53" s="111" t="s">
        <v>2731</v>
      </c>
      <c r="AI53" s="111" t="s">
        <v>2732</v>
      </c>
      <c r="AJ53" s="111" t="s">
        <v>2733</v>
      </c>
      <c r="AK53" s="111" t="s">
        <v>2734</v>
      </c>
      <c r="AL53" s="111" t="s">
        <v>2735</v>
      </c>
      <c r="AM53" s="111" t="s">
        <v>2736</v>
      </c>
      <c r="AN53" s="111" t="s">
        <v>2737</v>
      </c>
      <c r="AO53" s="111" t="s">
        <v>2738</v>
      </c>
      <c r="AP53" s="111" t="s">
        <v>2739</v>
      </c>
      <c r="AQ53" s="111" t="s">
        <v>2740</v>
      </c>
      <c r="AR53" s="111" t="s">
        <v>2798</v>
      </c>
      <c r="AS53" s="111" t="s">
        <v>2798</v>
      </c>
      <c r="AT53" s="111" t="s">
        <v>2798</v>
      </c>
      <c r="AU53" s="111" t="s">
        <v>2798</v>
      </c>
      <c r="AV53" s="111" t="s">
        <v>2798</v>
      </c>
      <c r="AW53" s="111" t="s">
        <v>2798</v>
      </c>
      <c r="AX53" s="111" t="s">
        <v>2798</v>
      </c>
      <c r="AY53" s="111" t="s">
        <v>2798</v>
      </c>
      <c r="AZ53" s="111" t="s">
        <v>2798</v>
      </c>
      <c r="BA53" s="111" t="s">
        <v>2798</v>
      </c>
      <c r="BB53" s="111" t="s">
        <v>2798</v>
      </c>
      <c r="BC53" s="111" t="s">
        <v>2798</v>
      </c>
      <c r="BD53" s="111" t="s">
        <v>2798</v>
      </c>
      <c r="BE53" s="111" t="s">
        <v>2798</v>
      </c>
      <c r="BF53" s="111" t="s">
        <v>2798</v>
      </c>
      <c r="BG53" s="111" t="s">
        <v>2798</v>
      </c>
      <c r="BH53" s="111" t="s">
        <v>2798</v>
      </c>
      <c r="BI53" s="111" t="s">
        <v>2798</v>
      </c>
      <c r="BJ53" s="111" t="s">
        <v>2798</v>
      </c>
      <c r="BK53" s="111" t="s">
        <v>2798</v>
      </c>
      <c r="BL53" s="111" t="s">
        <v>2798</v>
      </c>
      <c r="BM53" s="111" t="s">
        <v>2798</v>
      </c>
      <c r="BN53" s="111" t="s">
        <v>2798</v>
      </c>
      <c r="BO53" s="111" t="s">
        <v>2798</v>
      </c>
      <c r="BP53" s="111" t="s">
        <v>2798</v>
      </c>
      <c r="BQ53" s="111" t="s">
        <v>2798</v>
      </c>
      <c r="BR53" s="111" t="s">
        <v>2798</v>
      </c>
      <c r="BS53" s="111" t="s">
        <v>2798</v>
      </c>
      <c r="BT53" s="111" t="s">
        <v>2798</v>
      </c>
      <c r="BU53" s="111" t="s">
        <v>2798</v>
      </c>
      <c r="BV53" s="111" t="s">
        <v>2798</v>
      </c>
      <c r="BW53" s="111" t="s">
        <v>2798</v>
      </c>
      <c r="BX53" s="111" t="s">
        <v>2798</v>
      </c>
      <c r="BY53" s="111" t="s">
        <v>2798</v>
      </c>
      <c r="BZ53" s="111" t="s">
        <v>2798</v>
      </c>
      <c r="CA53" s="111" t="s">
        <v>2798</v>
      </c>
      <c r="CB53" s="111" t="s">
        <v>2798</v>
      </c>
      <c r="CC53" s="111" t="s">
        <v>2798</v>
      </c>
      <c r="CD53" s="111" t="s">
        <v>2798</v>
      </c>
      <c r="CE53" s="111" t="s">
        <v>2798</v>
      </c>
      <c r="CF53" s="111" t="s">
        <v>2798</v>
      </c>
      <c r="CG53" s="111" t="s">
        <v>2798</v>
      </c>
      <c r="CH53" s="111" t="s">
        <v>2798</v>
      </c>
      <c r="CI53" s="111" t="s">
        <v>2798</v>
      </c>
      <c r="CJ53" s="111" t="s">
        <v>2798</v>
      </c>
      <c r="CK53" s="111" t="s">
        <v>2798</v>
      </c>
      <c r="CL53" s="111" t="s">
        <v>2798</v>
      </c>
      <c r="CM53" s="111" t="s">
        <v>2798</v>
      </c>
      <c r="CN53" s="111" t="s">
        <v>2798</v>
      </c>
      <c r="CO53" s="111" t="s">
        <v>2798</v>
      </c>
      <c r="CP53" s="111" t="s">
        <v>2798</v>
      </c>
      <c r="CQ53" s="111" t="s">
        <v>2798</v>
      </c>
    </row>
    <row r="54" spans="2:95" ht="14.25" customHeight="1">
      <c r="B54" s="106" t="s">
        <v>761</v>
      </c>
      <c r="C54" s="106" t="s">
        <v>2845</v>
      </c>
      <c r="D54" s="109">
        <v>13257.449000000001</v>
      </c>
      <c r="E54" s="106" t="s">
        <v>1981</v>
      </c>
      <c r="F54" s="110">
        <v>50</v>
      </c>
      <c r="G54" s="106" t="s">
        <v>2795</v>
      </c>
      <c r="H54" s="102">
        <v>0</v>
      </c>
      <c r="I54" s="102">
        <v>0</v>
      </c>
      <c r="J54" s="111" t="s">
        <v>2798</v>
      </c>
      <c r="K54" s="111" t="s">
        <v>2798</v>
      </c>
      <c r="L54" s="111" t="s">
        <v>2798</v>
      </c>
      <c r="M54" s="111" t="s">
        <v>2798</v>
      </c>
      <c r="N54" s="111" t="s">
        <v>2798</v>
      </c>
      <c r="O54" s="111" t="s">
        <v>2798</v>
      </c>
      <c r="P54" s="111" t="s">
        <v>2798</v>
      </c>
      <c r="Q54" s="111" t="s">
        <v>2798</v>
      </c>
      <c r="R54" s="111" t="s">
        <v>2798</v>
      </c>
      <c r="S54" s="111" t="s">
        <v>2798</v>
      </c>
      <c r="T54" s="111" t="s">
        <v>2798</v>
      </c>
      <c r="U54" s="111" t="s">
        <v>2798</v>
      </c>
      <c r="V54" s="111" t="s">
        <v>2798</v>
      </c>
      <c r="W54" s="111" t="s">
        <v>2798</v>
      </c>
      <c r="X54" s="111" t="s">
        <v>2798</v>
      </c>
      <c r="Y54" s="111" t="s">
        <v>2798</v>
      </c>
      <c r="Z54" s="111" t="s">
        <v>2798</v>
      </c>
      <c r="AA54" s="111" t="s">
        <v>2798</v>
      </c>
      <c r="AB54" s="111" t="s">
        <v>2798</v>
      </c>
      <c r="AC54" s="111" t="s">
        <v>2798</v>
      </c>
      <c r="AD54" s="111" t="s">
        <v>2798</v>
      </c>
      <c r="AE54" s="111" t="s">
        <v>2798</v>
      </c>
      <c r="AF54" s="111" t="s">
        <v>2798</v>
      </c>
      <c r="AG54" s="111" t="s">
        <v>2798</v>
      </c>
      <c r="AH54" s="111" t="s">
        <v>2798</v>
      </c>
      <c r="AI54" s="111" t="s">
        <v>2798</v>
      </c>
      <c r="AJ54" s="111" t="s">
        <v>2798</v>
      </c>
      <c r="AK54" s="111" t="s">
        <v>2798</v>
      </c>
      <c r="AL54" s="111" t="s">
        <v>2798</v>
      </c>
      <c r="AM54" s="111" t="s">
        <v>2798</v>
      </c>
      <c r="AN54" s="111" t="s">
        <v>2798</v>
      </c>
      <c r="AO54" s="111" t="s">
        <v>2798</v>
      </c>
      <c r="AP54" s="111" t="s">
        <v>2798</v>
      </c>
      <c r="AQ54" s="111" t="s">
        <v>2798</v>
      </c>
      <c r="AR54" s="111" t="s">
        <v>2798</v>
      </c>
      <c r="AS54" s="111" t="s">
        <v>2798</v>
      </c>
      <c r="AT54" s="111" t="s">
        <v>2798</v>
      </c>
      <c r="AU54" s="111" t="s">
        <v>2798</v>
      </c>
      <c r="AV54" s="111" t="s">
        <v>2798</v>
      </c>
      <c r="AW54" s="111" t="s">
        <v>2798</v>
      </c>
      <c r="AX54" s="111" t="s">
        <v>2798</v>
      </c>
      <c r="AY54" s="111" t="s">
        <v>2798</v>
      </c>
      <c r="AZ54" s="111" t="s">
        <v>2798</v>
      </c>
      <c r="BA54" s="111" t="s">
        <v>2798</v>
      </c>
      <c r="BB54" s="111" t="s">
        <v>2798</v>
      </c>
      <c r="BC54" s="111" t="s">
        <v>2798</v>
      </c>
      <c r="BD54" s="111" t="s">
        <v>2798</v>
      </c>
      <c r="BE54" s="111" t="s">
        <v>2798</v>
      </c>
      <c r="BF54" s="111" t="s">
        <v>2798</v>
      </c>
      <c r="BG54" s="111" t="s">
        <v>2798</v>
      </c>
      <c r="BH54" s="111" t="s">
        <v>2798</v>
      </c>
      <c r="BI54" s="111" t="s">
        <v>2758</v>
      </c>
      <c r="BJ54" s="111" t="s">
        <v>2759</v>
      </c>
      <c r="BK54" s="111" t="s">
        <v>2760</v>
      </c>
      <c r="BL54" s="111" t="s">
        <v>2761</v>
      </c>
      <c r="BM54" s="111" t="s">
        <v>2762</v>
      </c>
      <c r="BN54" s="111" t="s">
        <v>2763</v>
      </c>
      <c r="BO54" s="111" t="s">
        <v>2764</v>
      </c>
      <c r="BP54" s="111" t="s">
        <v>2765</v>
      </c>
      <c r="BQ54" s="111" t="s">
        <v>2766</v>
      </c>
      <c r="BR54" s="111" t="s">
        <v>2767</v>
      </c>
      <c r="BS54" s="111" t="s">
        <v>2768</v>
      </c>
      <c r="BT54" s="111" t="s">
        <v>2769</v>
      </c>
      <c r="BU54" s="111" t="s">
        <v>2770</v>
      </c>
      <c r="BV54" s="111" t="s">
        <v>2771</v>
      </c>
      <c r="BW54" s="111" t="s">
        <v>2772</v>
      </c>
      <c r="BX54" s="111" t="s">
        <v>2773</v>
      </c>
      <c r="BY54" s="111" t="s">
        <v>2774</v>
      </c>
      <c r="BZ54" s="111" t="s">
        <v>2798</v>
      </c>
      <c r="CA54" s="111" t="s">
        <v>2798</v>
      </c>
      <c r="CB54" s="111" t="s">
        <v>2798</v>
      </c>
      <c r="CC54" s="111" t="s">
        <v>2798</v>
      </c>
      <c r="CD54" s="111" t="s">
        <v>2798</v>
      </c>
      <c r="CE54" s="111" t="s">
        <v>2798</v>
      </c>
      <c r="CF54" s="111" t="s">
        <v>2798</v>
      </c>
      <c r="CG54" s="111" t="s">
        <v>2798</v>
      </c>
      <c r="CH54" s="111" t="s">
        <v>2798</v>
      </c>
      <c r="CI54" s="111" t="s">
        <v>2798</v>
      </c>
      <c r="CJ54" s="111" t="s">
        <v>2798</v>
      </c>
      <c r="CK54" s="111" t="s">
        <v>2798</v>
      </c>
      <c r="CL54" s="111" t="s">
        <v>2798</v>
      </c>
      <c r="CM54" s="111" t="s">
        <v>2798</v>
      </c>
      <c r="CN54" s="111" t="s">
        <v>2798</v>
      </c>
      <c r="CO54" s="111" t="s">
        <v>2798</v>
      </c>
      <c r="CP54" s="111" t="s">
        <v>2798</v>
      </c>
      <c r="CQ54" s="111" t="s">
        <v>2798</v>
      </c>
    </row>
    <row r="55" spans="2:95" ht="14.25" customHeight="1">
      <c r="B55" s="106" t="s">
        <v>762</v>
      </c>
      <c r="C55" s="106" t="s">
        <v>2846</v>
      </c>
      <c r="D55" s="109">
        <v>13307.449000000001</v>
      </c>
      <c r="E55" s="106" t="s">
        <v>1981</v>
      </c>
      <c r="F55" s="110">
        <v>50</v>
      </c>
      <c r="G55" s="106" t="s">
        <v>2793</v>
      </c>
      <c r="H55" s="102">
        <v>0</v>
      </c>
      <c r="I55" s="102">
        <v>0</v>
      </c>
      <c r="J55" s="111" t="s">
        <v>2798</v>
      </c>
      <c r="K55" s="111" t="s">
        <v>2798</v>
      </c>
      <c r="L55" s="111" t="s">
        <v>2798</v>
      </c>
      <c r="M55" s="111" t="s">
        <v>2798</v>
      </c>
      <c r="N55" s="111" t="s">
        <v>2798</v>
      </c>
      <c r="O55" s="111" t="s">
        <v>2798</v>
      </c>
      <c r="P55" s="111" t="s">
        <v>2798</v>
      </c>
      <c r="Q55" s="111" t="s">
        <v>2798</v>
      </c>
      <c r="R55" s="111" t="s">
        <v>2798</v>
      </c>
      <c r="S55" s="111" t="s">
        <v>2798</v>
      </c>
      <c r="T55" s="111" t="s">
        <v>2798</v>
      </c>
      <c r="U55" s="111" t="s">
        <v>2798</v>
      </c>
      <c r="V55" s="111" t="s">
        <v>2798</v>
      </c>
      <c r="W55" s="111" t="s">
        <v>2798</v>
      </c>
      <c r="X55" s="111" t="s">
        <v>2798</v>
      </c>
      <c r="Y55" s="111" t="s">
        <v>2798</v>
      </c>
      <c r="Z55" s="111" t="s">
        <v>2798</v>
      </c>
      <c r="AA55" s="111" t="s">
        <v>2798</v>
      </c>
      <c r="AB55" s="111" t="s">
        <v>2798</v>
      </c>
      <c r="AC55" s="111" t="s">
        <v>2798</v>
      </c>
      <c r="AD55" s="111" t="s">
        <v>2798</v>
      </c>
      <c r="AE55" s="111" t="s">
        <v>2798</v>
      </c>
      <c r="AF55" s="111" t="s">
        <v>2798</v>
      </c>
      <c r="AG55" s="111" t="s">
        <v>2798</v>
      </c>
      <c r="AH55" s="111" t="s">
        <v>2798</v>
      </c>
      <c r="AI55" s="111" t="s">
        <v>2798</v>
      </c>
      <c r="AJ55" s="111" t="s">
        <v>2798</v>
      </c>
      <c r="AK55" s="111" t="s">
        <v>2798</v>
      </c>
      <c r="AL55" s="111" t="s">
        <v>2798</v>
      </c>
      <c r="AM55" s="111" t="s">
        <v>2798</v>
      </c>
      <c r="AN55" s="111" t="s">
        <v>2798</v>
      </c>
      <c r="AO55" s="111" t="s">
        <v>2798</v>
      </c>
      <c r="AP55" s="111" t="s">
        <v>2798</v>
      </c>
      <c r="AQ55" s="111" t="s">
        <v>2798</v>
      </c>
      <c r="AR55" s="111" t="s">
        <v>2798</v>
      </c>
      <c r="AS55" s="111" t="s">
        <v>2798</v>
      </c>
      <c r="AT55" s="111" t="s">
        <v>2798</v>
      </c>
      <c r="AU55" s="111" t="s">
        <v>2798</v>
      </c>
      <c r="AV55" s="111" t="s">
        <v>2798</v>
      </c>
      <c r="AW55" s="111" t="s">
        <v>2798</v>
      </c>
      <c r="AX55" s="111" t="s">
        <v>2798</v>
      </c>
      <c r="AY55" s="111" t="s">
        <v>2798</v>
      </c>
      <c r="AZ55" s="111" t="s">
        <v>2798</v>
      </c>
      <c r="BA55" s="111" t="s">
        <v>2798</v>
      </c>
      <c r="BB55" s="111" t="s">
        <v>2798</v>
      </c>
      <c r="BC55" s="111" t="s">
        <v>2798</v>
      </c>
      <c r="BD55" s="111" t="s">
        <v>2798</v>
      </c>
      <c r="BE55" s="111" t="s">
        <v>2798</v>
      </c>
      <c r="BF55" s="111" t="s">
        <v>2798</v>
      </c>
      <c r="BG55" s="111" t="s">
        <v>2798</v>
      </c>
      <c r="BH55" s="111" t="s">
        <v>2798</v>
      </c>
      <c r="BI55" s="111" t="s">
        <v>2798</v>
      </c>
      <c r="BJ55" s="111" t="s">
        <v>2798</v>
      </c>
      <c r="BK55" s="111" t="s">
        <v>2798</v>
      </c>
      <c r="BL55" s="111" t="s">
        <v>2798</v>
      </c>
      <c r="BM55" s="111" t="s">
        <v>2798</v>
      </c>
      <c r="BN55" s="111" t="s">
        <v>2798</v>
      </c>
      <c r="BO55" s="111" t="s">
        <v>2798</v>
      </c>
      <c r="BP55" s="111" t="s">
        <v>2798</v>
      </c>
      <c r="BQ55" s="111" t="s">
        <v>2798</v>
      </c>
      <c r="BR55" s="111" t="s">
        <v>2798</v>
      </c>
      <c r="BS55" s="111" t="s">
        <v>2798</v>
      </c>
      <c r="BT55" s="111" t="s">
        <v>2798</v>
      </c>
      <c r="BU55" s="111" t="s">
        <v>2798</v>
      </c>
      <c r="BV55" s="111" t="s">
        <v>2798</v>
      </c>
      <c r="BW55" s="111" t="s">
        <v>2798</v>
      </c>
      <c r="BX55" s="111" t="s">
        <v>2798</v>
      </c>
      <c r="BY55" s="111" t="s">
        <v>2798</v>
      </c>
      <c r="BZ55" s="111" t="s">
        <v>2775</v>
      </c>
      <c r="CA55" s="111" t="s">
        <v>2776</v>
      </c>
      <c r="CB55" s="111" t="s">
        <v>2777</v>
      </c>
      <c r="CC55" s="111" t="s">
        <v>2778</v>
      </c>
      <c r="CD55" s="111" t="s">
        <v>2779</v>
      </c>
      <c r="CE55" s="111" t="s">
        <v>2780</v>
      </c>
      <c r="CF55" s="111" t="s">
        <v>2781</v>
      </c>
      <c r="CG55" s="111" t="s">
        <v>2782</v>
      </c>
      <c r="CH55" s="111" t="s">
        <v>2783</v>
      </c>
      <c r="CI55" s="111" t="s">
        <v>2798</v>
      </c>
      <c r="CJ55" s="111" t="s">
        <v>2785</v>
      </c>
      <c r="CK55" s="111" t="s">
        <v>2786</v>
      </c>
      <c r="CL55" s="111" t="s">
        <v>2787</v>
      </c>
      <c r="CM55" s="111" t="s">
        <v>2788</v>
      </c>
      <c r="CN55" s="111" t="s">
        <v>2789</v>
      </c>
      <c r="CO55" s="111" t="s">
        <v>2790</v>
      </c>
      <c r="CP55" s="111" t="s">
        <v>2791</v>
      </c>
      <c r="CQ55" s="111" t="s">
        <v>2792</v>
      </c>
    </row>
    <row r="56" spans="2:95" ht="14.25" customHeight="1">
      <c r="B56" s="106" t="s">
        <v>763</v>
      </c>
      <c r="C56" s="106" t="s">
        <v>2847</v>
      </c>
      <c r="D56" s="109">
        <v>13357.449000000001</v>
      </c>
      <c r="E56" s="106" t="s">
        <v>1998</v>
      </c>
      <c r="F56" s="110">
        <v>50</v>
      </c>
      <c r="G56" s="106" t="s">
        <v>2795</v>
      </c>
      <c r="H56" s="102">
        <v>0</v>
      </c>
      <c r="I56" s="102">
        <v>0</v>
      </c>
      <c r="J56" s="111" t="s">
        <v>87</v>
      </c>
      <c r="K56" s="111" t="s">
        <v>2708</v>
      </c>
      <c r="L56" s="111" t="s">
        <v>2709</v>
      </c>
      <c r="M56" s="111" t="s">
        <v>2710</v>
      </c>
      <c r="N56" s="111" t="s">
        <v>2711</v>
      </c>
      <c r="O56" s="111" t="s">
        <v>2712</v>
      </c>
      <c r="P56" s="111" t="s">
        <v>2713</v>
      </c>
      <c r="Q56" s="111" t="s">
        <v>2714</v>
      </c>
      <c r="R56" s="111" t="s">
        <v>2715</v>
      </c>
      <c r="S56" s="111" t="s">
        <v>2716</v>
      </c>
      <c r="T56" s="111" t="s">
        <v>2717</v>
      </c>
      <c r="U56" s="111" t="s">
        <v>2718</v>
      </c>
      <c r="V56" s="111" t="s">
        <v>2719</v>
      </c>
      <c r="W56" s="111" t="s">
        <v>2720</v>
      </c>
      <c r="X56" s="111" t="s">
        <v>2721</v>
      </c>
      <c r="Y56" s="111" t="s">
        <v>2722</v>
      </c>
      <c r="Z56" s="111" t="s">
        <v>2723</v>
      </c>
      <c r="AA56" s="111" t="s">
        <v>2798</v>
      </c>
      <c r="AB56" s="111" t="s">
        <v>2798</v>
      </c>
      <c r="AC56" s="111" t="s">
        <v>2798</v>
      </c>
      <c r="AD56" s="111" t="s">
        <v>2798</v>
      </c>
      <c r="AE56" s="111" t="s">
        <v>2798</v>
      </c>
      <c r="AF56" s="111" t="s">
        <v>2798</v>
      </c>
      <c r="AG56" s="111" t="s">
        <v>2798</v>
      </c>
      <c r="AH56" s="111" t="s">
        <v>2798</v>
      </c>
      <c r="AI56" s="111" t="s">
        <v>2798</v>
      </c>
      <c r="AJ56" s="111" t="s">
        <v>2798</v>
      </c>
      <c r="AK56" s="111" t="s">
        <v>2798</v>
      </c>
      <c r="AL56" s="111" t="s">
        <v>2798</v>
      </c>
      <c r="AM56" s="111" t="s">
        <v>2798</v>
      </c>
      <c r="AN56" s="111" t="s">
        <v>2798</v>
      </c>
      <c r="AO56" s="111" t="s">
        <v>2798</v>
      </c>
      <c r="AP56" s="111" t="s">
        <v>2798</v>
      </c>
      <c r="AQ56" s="111" t="s">
        <v>2798</v>
      </c>
      <c r="AR56" s="111" t="s">
        <v>2798</v>
      </c>
      <c r="AS56" s="111" t="s">
        <v>2798</v>
      </c>
      <c r="AT56" s="111" t="s">
        <v>2798</v>
      </c>
      <c r="AU56" s="111" t="s">
        <v>2798</v>
      </c>
      <c r="AV56" s="111" t="s">
        <v>2798</v>
      </c>
      <c r="AW56" s="111" t="s">
        <v>2798</v>
      </c>
      <c r="AX56" s="111" t="s">
        <v>2798</v>
      </c>
      <c r="AY56" s="111" t="s">
        <v>2798</v>
      </c>
      <c r="AZ56" s="111" t="s">
        <v>2798</v>
      </c>
      <c r="BA56" s="111" t="s">
        <v>2798</v>
      </c>
      <c r="BB56" s="111" t="s">
        <v>2798</v>
      </c>
      <c r="BC56" s="111" t="s">
        <v>2798</v>
      </c>
      <c r="BD56" s="111" t="s">
        <v>2798</v>
      </c>
      <c r="BE56" s="111" t="s">
        <v>2798</v>
      </c>
      <c r="BF56" s="111" t="s">
        <v>2798</v>
      </c>
      <c r="BG56" s="111" t="s">
        <v>2798</v>
      </c>
      <c r="BH56" s="111" t="s">
        <v>2798</v>
      </c>
      <c r="BI56" s="111" t="s">
        <v>2798</v>
      </c>
      <c r="BJ56" s="111" t="s">
        <v>2798</v>
      </c>
      <c r="BK56" s="111" t="s">
        <v>2798</v>
      </c>
      <c r="BL56" s="111" t="s">
        <v>2798</v>
      </c>
      <c r="BM56" s="111" t="s">
        <v>2798</v>
      </c>
      <c r="BN56" s="111" t="s">
        <v>2798</v>
      </c>
      <c r="BO56" s="111" t="s">
        <v>2798</v>
      </c>
      <c r="BP56" s="111" t="s">
        <v>2798</v>
      </c>
      <c r="BQ56" s="111" t="s">
        <v>2798</v>
      </c>
      <c r="BR56" s="111" t="s">
        <v>2798</v>
      </c>
      <c r="BS56" s="111" t="s">
        <v>2798</v>
      </c>
      <c r="BT56" s="111" t="s">
        <v>2798</v>
      </c>
      <c r="BU56" s="111" t="s">
        <v>2798</v>
      </c>
      <c r="BV56" s="111" t="s">
        <v>2798</v>
      </c>
      <c r="BW56" s="111" t="s">
        <v>2798</v>
      </c>
      <c r="BX56" s="111" t="s">
        <v>2798</v>
      </c>
      <c r="BY56" s="111" t="s">
        <v>2798</v>
      </c>
      <c r="BZ56" s="111" t="s">
        <v>2798</v>
      </c>
      <c r="CA56" s="111" t="s">
        <v>2798</v>
      </c>
      <c r="CB56" s="111" t="s">
        <v>2798</v>
      </c>
      <c r="CC56" s="111" t="s">
        <v>2798</v>
      </c>
      <c r="CD56" s="111" t="s">
        <v>2798</v>
      </c>
      <c r="CE56" s="111" t="s">
        <v>2798</v>
      </c>
      <c r="CF56" s="111" t="s">
        <v>2798</v>
      </c>
      <c r="CG56" s="111" t="s">
        <v>2798</v>
      </c>
      <c r="CH56" s="111" t="s">
        <v>2798</v>
      </c>
      <c r="CI56" s="111" t="s">
        <v>2798</v>
      </c>
      <c r="CJ56" s="111" t="s">
        <v>2798</v>
      </c>
      <c r="CK56" s="111" t="s">
        <v>2798</v>
      </c>
      <c r="CL56" s="111" t="s">
        <v>2798</v>
      </c>
      <c r="CM56" s="111" t="s">
        <v>2798</v>
      </c>
      <c r="CN56" s="111" t="s">
        <v>2798</v>
      </c>
      <c r="CO56" s="111" t="s">
        <v>2798</v>
      </c>
      <c r="CP56" s="111" t="s">
        <v>2798</v>
      </c>
      <c r="CQ56" s="111" t="s">
        <v>2798</v>
      </c>
    </row>
    <row r="57" spans="2:95" ht="14.25" customHeight="1">
      <c r="B57" s="106" t="s">
        <v>764</v>
      </c>
      <c r="C57" s="106" t="s">
        <v>2848</v>
      </c>
      <c r="D57" s="109">
        <v>13407.449000000001</v>
      </c>
      <c r="E57" s="106" t="s">
        <v>1998</v>
      </c>
      <c r="F57" s="110">
        <v>50</v>
      </c>
      <c r="G57" s="106" t="s">
        <v>2795</v>
      </c>
      <c r="H57" s="102">
        <v>0</v>
      </c>
      <c r="I57" s="102">
        <v>0</v>
      </c>
      <c r="J57" s="111" t="s">
        <v>2798</v>
      </c>
      <c r="K57" s="111" t="s">
        <v>2798</v>
      </c>
      <c r="L57" s="111" t="s">
        <v>2798</v>
      </c>
      <c r="M57" s="111" t="s">
        <v>2798</v>
      </c>
      <c r="N57" s="111" t="s">
        <v>2798</v>
      </c>
      <c r="O57" s="111" t="s">
        <v>2798</v>
      </c>
      <c r="P57" s="111" t="s">
        <v>2798</v>
      </c>
      <c r="Q57" s="111" t="s">
        <v>2798</v>
      </c>
      <c r="R57" s="111" t="s">
        <v>2798</v>
      </c>
      <c r="S57" s="111" t="s">
        <v>2798</v>
      </c>
      <c r="T57" s="111" t="s">
        <v>2798</v>
      </c>
      <c r="U57" s="111" t="s">
        <v>2798</v>
      </c>
      <c r="V57" s="111" t="s">
        <v>2798</v>
      </c>
      <c r="W57" s="111" t="s">
        <v>2798</v>
      </c>
      <c r="X57" s="111" t="s">
        <v>2798</v>
      </c>
      <c r="Y57" s="111" t="s">
        <v>2798</v>
      </c>
      <c r="Z57" s="111" t="s">
        <v>2798</v>
      </c>
      <c r="AA57" s="111" t="s">
        <v>2724</v>
      </c>
      <c r="AB57" s="111" t="s">
        <v>2725</v>
      </c>
      <c r="AC57" s="111" t="s">
        <v>2726</v>
      </c>
      <c r="AD57" s="111" t="s">
        <v>2727</v>
      </c>
      <c r="AE57" s="111" t="s">
        <v>2728</v>
      </c>
      <c r="AF57" s="111" t="s">
        <v>2729</v>
      </c>
      <c r="AG57" s="111" t="s">
        <v>2730</v>
      </c>
      <c r="AH57" s="111" t="s">
        <v>2731</v>
      </c>
      <c r="AI57" s="111" t="s">
        <v>2732</v>
      </c>
      <c r="AJ57" s="111" t="s">
        <v>2733</v>
      </c>
      <c r="AK57" s="111" t="s">
        <v>2734</v>
      </c>
      <c r="AL57" s="111" t="s">
        <v>2735</v>
      </c>
      <c r="AM57" s="111" t="s">
        <v>2736</v>
      </c>
      <c r="AN57" s="111" t="s">
        <v>2737</v>
      </c>
      <c r="AO57" s="111" t="s">
        <v>2738</v>
      </c>
      <c r="AP57" s="111" t="s">
        <v>2739</v>
      </c>
      <c r="AQ57" s="111" t="s">
        <v>2740</v>
      </c>
      <c r="AR57" s="111" t="s">
        <v>2798</v>
      </c>
      <c r="AS57" s="111" t="s">
        <v>2798</v>
      </c>
      <c r="AT57" s="111" t="s">
        <v>2798</v>
      </c>
      <c r="AU57" s="111" t="s">
        <v>2798</v>
      </c>
      <c r="AV57" s="111" t="s">
        <v>2798</v>
      </c>
      <c r="AW57" s="111" t="s">
        <v>2798</v>
      </c>
      <c r="AX57" s="111" t="s">
        <v>2798</v>
      </c>
      <c r="AY57" s="111" t="s">
        <v>2798</v>
      </c>
      <c r="AZ57" s="111" t="s">
        <v>2798</v>
      </c>
      <c r="BA57" s="111" t="s">
        <v>2798</v>
      </c>
      <c r="BB57" s="111" t="s">
        <v>2798</v>
      </c>
      <c r="BC57" s="111" t="s">
        <v>2798</v>
      </c>
      <c r="BD57" s="111" t="s">
        <v>2798</v>
      </c>
      <c r="BE57" s="111" t="s">
        <v>2798</v>
      </c>
      <c r="BF57" s="111" t="s">
        <v>2798</v>
      </c>
      <c r="BG57" s="111" t="s">
        <v>2798</v>
      </c>
      <c r="BH57" s="111" t="s">
        <v>2798</v>
      </c>
      <c r="BI57" s="111" t="s">
        <v>2798</v>
      </c>
      <c r="BJ57" s="111" t="s">
        <v>2798</v>
      </c>
      <c r="BK57" s="111" t="s">
        <v>2798</v>
      </c>
      <c r="BL57" s="111" t="s">
        <v>2798</v>
      </c>
      <c r="BM57" s="111" t="s">
        <v>2798</v>
      </c>
      <c r="BN57" s="111" t="s">
        <v>2798</v>
      </c>
      <c r="BO57" s="111" t="s">
        <v>2798</v>
      </c>
      <c r="BP57" s="111" t="s">
        <v>2798</v>
      </c>
      <c r="BQ57" s="111" t="s">
        <v>2798</v>
      </c>
      <c r="BR57" s="111" t="s">
        <v>2798</v>
      </c>
      <c r="BS57" s="111" t="s">
        <v>2798</v>
      </c>
      <c r="BT57" s="111" t="s">
        <v>2798</v>
      </c>
      <c r="BU57" s="111" t="s">
        <v>2798</v>
      </c>
      <c r="BV57" s="111" t="s">
        <v>2798</v>
      </c>
      <c r="BW57" s="111" t="s">
        <v>2798</v>
      </c>
      <c r="BX57" s="111" t="s">
        <v>2798</v>
      </c>
      <c r="BY57" s="111" t="s">
        <v>2798</v>
      </c>
      <c r="BZ57" s="111" t="s">
        <v>2798</v>
      </c>
      <c r="CA57" s="111" t="s">
        <v>2798</v>
      </c>
      <c r="CB57" s="111" t="s">
        <v>2798</v>
      </c>
      <c r="CC57" s="111" t="s">
        <v>2798</v>
      </c>
      <c r="CD57" s="111" t="s">
        <v>2798</v>
      </c>
      <c r="CE57" s="111" t="s">
        <v>2798</v>
      </c>
      <c r="CF57" s="111" t="s">
        <v>2798</v>
      </c>
      <c r="CG57" s="111" t="s">
        <v>2798</v>
      </c>
      <c r="CH57" s="111" t="s">
        <v>2798</v>
      </c>
      <c r="CI57" s="111" t="s">
        <v>2798</v>
      </c>
      <c r="CJ57" s="111" t="s">
        <v>2798</v>
      </c>
      <c r="CK57" s="111" t="s">
        <v>2798</v>
      </c>
      <c r="CL57" s="111" t="s">
        <v>2798</v>
      </c>
      <c r="CM57" s="111" t="s">
        <v>2798</v>
      </c>
      <c r="CN57" s="111" t="s">
        <v>2798</v>
      </c>
      <c r="CO57" s="111" t="s">
        <v>2798</v>
      </c>
      <c r="CP57" s="111" t="s">
        <v>2798</v>
      </c>
      <c r="CQ57" s="111" t="s">
        <v>2798</v>
      </c>
    </row>
    <row r="58" spans="2:95" ht="14.25" customHeight="1">
      <c r="B58" s="106" t="s">
        <v>765</v>
      </c>
      <c r="C58" s="106" t="s">
        <v>2849</v>
      </c>
      <c r="D58" s="109">
        <v>13457.407999999999</v>
      </c>
      <c r="E58" s="106" t="s">
        <v>1998</v>
      </c>
      <c r="F58" s="110">
        <v>49.958999999998923</v>
      </c>
      <c r="G58" s="106" t="s">
        <v>2795</v>
      </c>
      <c r="H58" s="102">
        <v>0</v>
      </c>
      <c r="I58" s="102">
        <v>0</v>
      </c>
      <c r="J58" s="111" t="s">
        <v>2798</v>
      </c>
      <c r="K58" s="111" t="s">
        <v>2798</v>
      </c>
      <c r="L58" s="111" t="s">
        <v>2798</v>
      </c>
      <c r="M58" s="111" t="s">
        <v>2798</v>
      </c>
      <c r="N58" s="111" t="s">
        <v>2798</v>
      </c>
      <c r="O58" s="111" t="s">
        <v>2798</v>
      </c>
      <c r="P58" s="111" t="s">
        <v>2798</v>
      </c>
      <c r="Q58" s="111" t="s">
        <v>2798</v>
      </c>
      <c r="R58" s="111" t="s">
        <v>2798</v>
      </c>
      <c r="S58" s="111" t="s">
        <v>2798</v>
      </c>
      <c r="T58" s="111" t="s">
        <v>2798</v>
      </c>
      <c r="U58" s="111" t="s">
        <v>2798</v>
      </c>
      <c r="V58" s="111" t="s">
        <v>2798</v>
      </c>
      <c r="W58" s="111" t="s">
        <v>2798</v>
      </c>
      <c r="X58" s="111" t="s">
        <v>2798</v>
      </c>
      <c r="Y58" s="111" t="s">
        <v>2798</v>
      </c>
      <c r="Z58" s="111" t="s">
        <v>2798</v>
      </c>
      <c r="AA58" s="111" t="s">
        <v>2798</v>
      </c>
      <c r="AB58" s="111" t="s">
        <v>2798</v>
      </c>
      <c r="AC58" s="111" t="s">
        <v>2798</v>
      </c>
      <c r="AD58" s="111" t="s">
        <v>2798</v>
      </c>
      <c r="AE58" s="111" t="s">
        <v>2798</v>
      </c>
      <c r="AF58" s="111" t="s">
        <v>2798</v>
      </c>
      <c r="AG58" s="111" t="s">
        <v>2798</v>
      </c>
      <c r="AH58" s="111" t="s">
        <v>2798</v>
      </c>
      <c r="AI58" s="111" t="s">
        <v>2798</v>
      </c>
      <c r="AJ58" s="111" t="s">
        <v>2798</v>
      </c>
      <c r="AK58" s="111" t="s">
        <v>2798</v>
      </c>
      <c r="AL58" s="111" t="s">
        <v>2798</v>
      </c>
      <c r="AM58" s="111" t="s">
        <v>2798</v>
      </c>
      <c r="AN58" s="111" t="s">
        <v>2798</v>
      </c>
      <c r="AO58" s="111" t="s">
        <v>2798</v>
      </c>
      <c r="AP58" s="111" t="s">
        <v>2798</v>
      </c>
      <c r="AQ58" s="111" t="s">
        <v>2798</v>
      </c>
      <c r="AR58" s="111" t="s">
        <v>2798</v>
      </c>
      <c r="AS58" s="111" t="s">
        <v>2798</v>
      </c>
      <c r="AT58" s="111" t="s">
        <v>2798</v>
      </c>
      <c r="AU58" s="111" t="s">
        <v>2798</v>
      </c>
      <c r="AV58" s="111" t="s">
        <v>2798</v>
      </c>
      <c r="AW58" s="111" t="s">
        <v>2798</v>
      </c>
      <c r="AX58" s="111" t="s">
        <v>2798</v>
      </c>
      <c r="AY58" s="111" t="s">
        <v>2798</v>
      </c>
      <c r="AZ58" s="111" t="s">
        <v>2798</v>
      </c>
      <c r="BA58" s="111" t="s">
        <v>2798</v>
      </c>
      <c r="BB58" s="111" t="s">
        <v>2798</v>
      </c>
      <c r="BC58" s="111" t="s">
        <v>2798</v>
      </c>
      <c r="BD58" s="111" t="s">
        <v>2798</v>
      </c>
      <c r="BE58" s="111" t="s">
        <v>2798</v>
      </c>
      <c r="BF58" s="111" t="s">
        <v>2798</v>
      </c>
      <c r="BG58" s="111" t="s">
        <v>2798</v>
      </c>
      <c r="BH58" s="111" t="s">
        <v>2798</v>
      </c>
      <c r="BI58" s="111" t="s">
        <v>2758</v>
      </c>
      <c r="BJ58" s="111" t="s">
        <v>2759</v>
      </c>
      <c r="BK58" s="111" t="s">
        <v>2760</v>
      </c>
      <c r="BL58" s="111" t="s">
        <v>2761</v>
      </c>
      <c r="BM58" s="111" t="s">
        <v>2762</v>
      </c>
      <c r="BN58" s="111" t="s">
        <v>2763</v>
      </c>
      <c r="BO58" s="111" t="s">
        <v>2764</v>
      </c>
      <c r="BP58" s="111" t="s">
        <v>2765</v>
      </c>
      <c r="BQ58" s="111" t="s">
        <v>2766</v>
      </c>
      <c r="BR58" s="111" t="s">
        <v>2767</v>
      </c>
      <c r="BS58" s="111" t="s">
        <v>2768</v>
      </c>
      <c r="BT58" s="111" t="s">
        <v>2769</v>
      </c>
      <c r="BU58" s="111" t="s">
        <v>2770</v>
      </c>
      <c r="BV58" s="111" t="s">
        <v>2771</v>
      </c>
      <c r="BW58" s="111" t="s">
        <v>2772</v>
      </c>
      <c r="BX58" s="111" t="s">
        <v>2773</v>
      </c>
      <c r="BY58" s="111" t="s">
        <v>2774</v>
      </c>
      <c r="BZ58" s="111" t="s">
        <v>2798</v>
      </c>
      <c r="CA58" s="111" t="s">
        <v>2798</v>
      </c>
      <c r="CB58" s="111" t="s">
        <v>2798</v>
      </c>
      <c r="CC58" s="111" t="s">
        <v>2798</v>
      </c>
      <c r="CD58" s="111" t="s">
        <v>2798</v>
      </c>
      <c r="CE58" s="111" t="s">
        <v>2798</v>
      </c>
      <c r="CF58" s="111" t="s">
        <v>2798</v>
      </c>
      <c r="CG58" s="111" t="s">
        <v>2798</v>
      </c>
      <c r="CH58" s="111" t="s">
        <v>2798</v>
      </c>
      <c r="CI58" s="111" t="s">
        <v>2798</v>
      </c>
      <c r="CJ58" s="111" t="s">
        <v>2798</v>
      </c>
      <c r="CK58" s="111" t="s">
        <v>2798</v>
      </c>
      <c r="CL58" s="111" t="s">
        <v>2798</v>
      </c>
      <c r="CM58" s="111" t="s">
        <v>2798</v>
      </c>
      <c r="CN58" s="111" t="s">
        <v>2798</v>
      </c>
      <c r="CO58" s="111" t="s">
        <v>2798</v>
      </c>
      <c r="CP58" s="111" t="s">
        <v>2798</v>
      </c>
      <c r="CQ58" s="111" t="s">
        <v>2798</v>
      </c>
    </row>
    <row r="59" spans="2:95" ht="14.25" customHeight="1">
      <c r="B59" s="106" t="s">
        <v>766</v>
      </c>
      <c r="C59" s="106" t="s">
        <v>2850</v>
      </c>
      <c r="D59" s="109">
        <v>13507.117</v>
      </c>
      <c r="E59" s="106" t="s">
        <v>1998</v>
      </c>
      <c r="F59" s="110">
        <v>49.709000000000742</v>
      </c>
      <c r="G59" s="106" t="s">
        <v>2793</v>
      </c>
      <c r="H59" s="102">
        <v>0</v>
      </c>
      <c r="I59" s="102">
        <v>0</v>
      </c>
      <c r="J59" s="111" t="s">
        <v>2798</v>
      </c>
      <c r="K59" s="111" t="s">
        <v>2798</v>
      </c>
      <c r="L59" s="111" t="s">
        <v>2798</v>
      </c>
      <c r="M59" s="111" t="s">
        <v>2798</v>
      </c>
      <c r="N59" s="111" t="s">
        <v>2798</v>
      </c>
      <c r="O59" s="111" t="s">
        <v>2798</v>
      </c>
      <c r="P59" s="111" t="s">
        <v>2798</v>
      </c>
      <c r="Q59" s="111" t="s">
        <v>2798</v>
      </c>
      <c r="R59" s="111" t="s">
        <v>2798</v>
      </c>
      <c r="S59" s="111" t="s">
        <v>2798</v>
      </c>
      <c r="T59" s="111" t="s">
        <v>2798</v>
      </c>
      <c r="U59" s="111" t="s">
        <v>2798</v>
      </c>
      <c r="V59" s="111" t="s">
        <v>2798</v>
      </c>
      <c r="W59" s="111" t="s">
        <v>2798</v>
      </c>
      <c r="X59" s="111" t="s">
        <v>2798</v>
      </c>
      <c r="Y59" s="111" t="s">
        <v>2798</v>
      </c>
      <c r="Z59" s="111" t="s">
        <v>2798</v>
      </c>
      <c r="AA59" s="111" t="s">
        <v>2798</v>
      </c>
      <c r="AB59" s="111" t="s">
        <v>2798</v>
      </c>
      <c r="AC59" s="111" t="s">
        <v>2798</v>
      </c>
      <c r="AD59" s="111" t="s">
        <v>2798</v>
      </c>
      <c r="AE59" s="111" t="s">
        <v>2798</v>
      </c>
      <c r="AF59" s="111" t="s">
        <v>2798</v>
      </c>
      <c r="AG59" s="111" t="s">
        <v>2798</v>
      </c>
      <c r="AH59" s="111" t="s">
        <v>2798</v>
      </c>
      <c r="AI59" s="111" t="s">
        <v>2798</v>
      </c>
      <c r="AJ59" s="111" t="s">
        <v>2798</v>
      </c>
      <c r="AK59" s="111" t="s">
        <v>2798</v>
      </c>
      <c r="AL59" s="111" t="s">
        <v>2798</v>
      </c>
      <c r="AM59" s="111" t="s">
        <v>2798</v>
      </c>
      <c r="AN59" s="111" t="s">
        <v>2798</v>
      </c>
      <c r="AO59" s="111" t="s">
        <v>2798</v>
      </c>
      <c r="AP59" s="111" t="s">
        <v>2798</v>
      </c>
      <c r="AQ59" s="111" t="s">
        <v>2798</v>
      </c>
      <c r="AR59" s="111" t="s">
        <v>2798</v>
      </c>
      <c r="AS59" s="111" t="s">
        <v>2798</v>
      </c>
      <c r="AT59" s="111" t="s">
        <v>2798</v>
      </c>
      <c r="AU59" s="111" t="s">
        <v>2798</v>
      </c>
      <c r="AV59" s="111" t="s">
        <v>2798</v>
      </c>
      <c r="AW59" s="111" t="s">
        <v>2798</v>
      </c>
      <c r="AX59" s="111" t="s">
        <v>2798</v>
      </c>
      <c r="AY59" s="111" t="s">
        <v>2798</v>
      </c>
      <c r="AZ59" s="111" t="s">
        <v>2798</v>
      </c>
      <c r="BA59" s="111" t="s">
        <v>2798</v>
      </c>
      <c r="BB59" s="111" t="s">
        <v>2798</v>
      </c>
      <c r="BC59" s="111" t="s">
        <v>2798</v>
      </c>
      <c r="BD59" s="111" t="s">
        <v>2798</v>
      </c>
      <c r="BE59" s="111" t="s">
        <v>2798</v>
      </c>
      <c r="BF59" s="111" t="s">
        <v>2798</v>
      </c>
      <c r="BG59" s="111" t="s">
        <v>2798</v>
      </c>
      <c r="BH59" s="111" t="s">
        <v>2798</v>
      </c>
      <c r="BI59" s="111" t="s">
        <v>2798</v>
      </c>
      <c r="BJ59" s="111" t="s">
        <v>2798</v>
      </c>
      <c r="BK59" s="111" t="s">
        <v>2798</v>
      </c>
      <c r="BL59" s="111" t="s">
        <v>2798</v>
      </c>
      <c r="BM59" s="111" t="s">
        <v>2798</v>
      </c>
      <c r="BN59" s="111" t="s">
        <v>2798</v>
      </c>
      <c r="BO59" s="111" t="s">
        <v>2798</v>
      </c>
      <c r="BP59" s="111" t="s">
        <v>2798</v>
      </c>
      <c r="BQ59" s="111" t="s">
        <v>2798</v>
      </c>
      <c r="BR59" s="111" t="s">
        <v>2798</v>
      </c>
      <c r="BS59" s="111" t="s">
        <v>2798</v>
      </c>
      <c r="BT59" s="111" t="s">
        <v>2798</v>
      </c>
      <c r="BU59" s="111" t="s">
        <v>2798</v>
      </c>
      <c r="BV59" s="111" t="s">
        <v>2798</v>
      </c>
      <c r="BW59" s="111" t="s">
        <v>2798</v>
      </c>
      <c r="BX59" s="111" t="s">
        <v>2798</v>
      </c>
      <c r="BY59" s="111" t="s">
        <v>2798</v>
      </c>
      <c r="BZ59" s="111" t="s">
        <v>2775</v>
      </c>
      <c r="CA59" s="111" t="s">
        <v>2776</v>
      </c>
      <c r="CB59" s="111" t="s">
        <v>2777</v>
      </c>
      <c r="CC59" s="111" t="s">
        <v>2778</v>
      </c>
      <c r="CD59" s="111" t="s">
        <v>2779</v>
      </c>
      <c r="CE59" s="111" t="s">
        <v>2780</v>
      </c>
      <c r="CF59" s="111" t="s">
        <v>2781</v>
      </c>
      <c r="CG59" s="111" t="s">
        <v>2782</v>
      </c>
      <c r="CH59" s="111" t="s">
        <v>2783</v>
      </c>
      <c r="CI59" s="111" t="s">
        <v>2798</v>
      </c>
      <c r="CJ59" s="111" t="s">
        <v>2785</v>
      </c>
      <c r="CK59" s="111" t="s">
        <v>2786</v>
      </c>
      <c r="CL59" s="111" t="s">
        <v>2787</v>
      </c>
      <c r="CM59" s="111" t="s">
        <v>2788</v>
      </c>
      <c r="CN59" s="111" t="s">
        <v>2789</v>
      </c>
      <c r="CO59" s="111" t="s">
        <v>2790</v>
      </c>
      <c r="CP59" s="111" t="s">
        <v>2791</v>
      </c>
      <c r="CQ59" s="111" t="s">
        <v>2792</v>
      </c>
    </row>
    <row r="60" spans="2:95" ht="14.25" customHeight="1">
      <c r="B60" s="106" t="s">
        <v>767</v>
      </c>
      <c r="C60" s="106" t="s">
        <v>2851</v>
      </c>
      <c r="D60" s="109">
        <v>13546.782999999999</v>
      </c>
      <c r="E60" s="106" t="s">
        <v>2015</v>
      </c>
      <c r="F60" s="110">
        <v>39.665999999999258</v>
      </c>
      <c r="G60" s="106" t="s">
        <v>2795</v>
      </c>
      <c r="H60" s="102">
        <v>0</v>
      </c>
      <c r="I60" s="102">
        <v>0</v>
      </c>
      <c r="J60" s="111" t="s">
        <v>87</v>
      </c>
      <c r="K60" s="111" t="s">
        <v>2708</v>
      </c>
      <c r="L60" s="111" t="s">
        <v>2709</v>
      </c>
      <c r="M60" s="111" t="s">
        <v>2710</v>
      </c>
      <c r="N60" s="111" t="s">
        <v>2711</v>
      </c>
      <c r="O60" s="111" t="s">
        <v>2712</v>
      </c>
      <c r="P60" s="111" t="s">
        <v>2713</v>
      </c>
      <c r="Q60" s="111" t="s">
        <v>2714</v>
      </c>
      <c r="R60" s="111" t="s">
        <v>2715</v>
      </c>
      <c r="S60" s="111" t="s">
        <v>2716</v>
      </c>
      <c r="T60" s="111" t="s">
        <v>2717</v>
      </c>
      <c r="U60" s="111" t="s">
        <v>2718</v>
      </c>
      <c r="V60" s="111" t="s">
        <v>2719</v>
      </c>
      <c r="W60" s="111" t="s">
        <v>2720</v>
      </c>
      <c r="X60" s="111" t="s">
        <v>2798</v>
      </c>
      <c r="Y60" s="111" t="s">
        <v>2798</v>
      </c>
      <c r="Z60" s="111" t="s">
        <v>2798</v>
      </c>
      <c r="AA60" s="111" t="s">
        <v>2798</v>
      </c>
      <c r="AB60" s="111" t="s">
        <v>2798</v>
      </c>
      <c r="AC60" s="111" t="s">
        <v>2798</v>
      </c>
      <c r="AD60" s="111" t="s">
        <v>2798</v>
      </c>
      <c r="AE60" s="111" t="s">
        <v>2798</v>
      </c>
      <c r="AF60" s="111" t="s">
        <v>2798</v>
      </c>
      <c r="AG60" s="111" t="s">
        <v>2798</v>
      </c>
      <c r="AH60" s="111" t="s">
        <v>2798</v>
      </c>
      <c r="AI60" s="111" t="s">
        <v>2798</v>
      </c>
      <c r="AJ60" s="111" t="s">
        <v>2798</v>
      </c>
      <c r="AK60" s="111" t="s">
        <v>2798</v>
      </c>
      <c r="AL60" s="111" t="s">
        <v>2798</v>
      </c>
      <c r="AM60" s="111" t="s">
        <v>2798</v>
      </c>
      <c r="AN60" s="111" t="s">
        <v>2798</v>
      </c>
      <c r="AO60" s="111" t="s">
        <v>2798</v>
      </c>
      <c r="AP60" s="111" t="s">
        <v>2798</v>
      </c>
      <c r="AQ60" s="111" t="s">
        <v>2798</v>
      </c>
      <c r="AR60" s="111" t="s">
        <v>2798</v>
      </c>
      <c r="AS60" s="111" t="s">
        <v>2798</v>
      </c>
      <c r="AT60" s="111" t="s">
        <v>2798</v>
      </c>
      <c r="AU60" s="111" t="s">
        <v>2798</v>
      </c>
      <c r="AV60" s="111" t="s">
        <v>2798</v>
      </c>
      <c r="AW60" s="111" t="s">
        <v>2798</v>
      </c>
      <c r="AX60" s="111" t="s">
        <v>2798</v>
      </c>
      <c r="AY60" s="111" t="s">
        <v>2798</v>
      </c>
      <c r="AZ60" s="111" t="s">
        <v>2798</v>
      </c>
      <c r="BA60" s="111" t="s">
        <v>2798</v>
      </c>
      <c r="BB60" s="111" t="s">
        <v>2798</v>
      </c>
      <c r="BC60" s="111" t="s">
        <v>2798</v>
      </c>
      <c r="BD60" s="111" t="s">
        <v>2798</v>
      </c>
      <c r="BE60" s="111" t="s">
        <v>2798</v>
      </c>
      <c r="BF60" s="111" t="s">
        <v>2798</v>
      </c>
      <c r="BG60" s="111" t="s">
        <v>2798</v>
      </c>
      <c r="BH60" s="111" t="s">
        <v>2798</v>
      </c>
      <c r="BI60" s="111" t="s">
        <v>2798</v>
      </c>
      <c r="BJ60" s="111" t="s">
        <v>2798</v>
      </c>
      <c r="BK60" s="111" t="s">
        <v>2798</v>
      </c>
      <c r="BL60" s="111" t="s">
        <v>2798</v>
      </c>
      <c r="BM60" s="111" t="s">
        <v>2798</v>
      </c>
      <c r="BN60" s="111" t="s">
        <v>2798</v>
      </c>
      <c r="BO60" s="111" t="s">
        <v>2798</v>
      </c>
      <c r="BP60" s="111" t="s">
        <v>2798</v>
      </c>
      <c r="BQ60" s="111" t="s">
        <v>2798</v>
      </c>
      <c r="BR60" s="111" t="s">
        <v>2798</v>
      </c>
      <c r="BS60" s="111" t="s">
        <v>2798</v>
      </c>
      <c r="BT60" s="111" t="s">
        <v>2798</v>
      </c>
      <c r="BU60" s="111" t="s">
        <v>2798</v>
      </c>
      <c r="BV60" s="111" t="s">
        <v>2798</v>
      </c>
      <c r="BW60" s="111" t="s">
        <v>2798</v>
      </c>
      <c r="BX60" s="111" t="s">
        <v>2798</v>
      </c>
      <c r="BY60" s="111" t="s">
        <v>2798</v>
      </c>
      <c r="BZ60" s="111" t="s">
        <v>2798</v>
      </c>
      <c r="CA60" s="111" t="s">
        <v>2798</v>
      </c>
      <c r="CB60" s="111" t="s">
        <v>2798</v>
      </c>
      <c r="CC60" s="111" t="s">
        <v>2798</v>
      </c>
      <c r="CD60" s="111" t="s">
        <v>2798</v>
      </c>
      <c r="CE60" s="111" t="s">
        <v>2798</v>
      </c>
      <c r="CF60" s="111" t="s">
        <v>2798</v>
      </c>
      <c r="CG60" s="111" t="s">
        <v>2798</v>
      </c>
      <c r="CH60" s="111" t="s">
        <v>2798</v>
      </c>
      <c r="CI60" s="111" t="s">
        <v>2798</v>
      </c>
      <c r="CJ60" s="111" t="s">
        <v>2798</v>
      </c>
      <c r="CK60" s="111" t="s">
        <v>2798</v>
      </c>
      <c r="CL60" s="111" t="s">
        <v>2798</v>
      </c>
      <c r="CM60" s="111" t="s">
        <v>2798</v>
      </c>
      <c r="CN60" s="111" t="s">
        <v>2798</v>
      </c>
      <c r="CO60" s="111" t="s">
        <v>2798</v>
      </c>
      <c r="CP60" s="111" t="s">
        <v>2798</v>
      </c>
      <c r="CQ60" s="111" t="s">
        <v>2798</v>
      </c>
    </row>
    <row r="61" spans="2:95" ht="14.25" customHeight="1">
      <c r="B61" s="106" t="s">
        <v>768</v>
      </c>
      <c r="C61" s="106" t="s">
        <v>2852</v>
      </c>
      <c r="D61" s="109">
        <v>13586.453</v>
      </c>
      <c r="E61" s="106" t="s">
        <v>2015</v>
      </c>
      <c r="F61" s="110">
        <v>39.670000000000073</v>
      </c>
      <c r="G61" s="106" t="s">
        <v>2795</v>
      </c>
      <c r="H61" s="102">
        <v>0</v>
      </c>
      <c r="I61" s="102">
        <v>0</v>
      </c>
      <c r="J61" s="111" t="s">
        <v>2798</v>
      </c>
      <c r="K61" s="111" t="s">
        <v>2798</v>
      </c>
      <c r="L61" s="111" t="s">
        <v>2798</v>
      </c>
      <c r="M61" s="111" t="s">
        <v>2798</v>
      </c>
      <c r="N61" s="111" t="s">
        <v>2798</v>
      </c>
      <c r="O61" s="111" t="s">
        <v>2798</v>
      </c>
      <c r="P61" s="111" t="s">
        <v>2798</v>
      </c>
      <c r="Q61" s="111" t="s">
        <v>2798</v>
      </c>
      <c r="R61" s="111" t="s">
        <v>2798</v>
      </c>
      <c r="S61" s="111" t="s">
        <v>2798</v>
      </c>
      <c r="T61" s="111" t="s">
        <v>2798</v>
      </c>
      <c r="U61" s="111" t="s">
        <v>2798</v>
      </c>
      <c r="V61" s="111" t="s">
        <v>2798</v>
      </c>
      <c r="W61" s="111" t="s">
        <v>2798</v>
      </c>
      <c r="X61" s="111" t="s">
        <v>2721</v>
      </c>
      <c r="Y61" s="111" t="s">
        <v>2722</v>
      </c>
      <c r="Z61" s="111" t="s">
        <v>2723</v>
      </c>
      <c r="AA61" s="111" t="s">
        <v>2724</v>
      </c>
      <c r="AB61" s="111" t="s">
        <v>2725</v>
      </c>
      <c r="AC61" s="111" t="s">
        <v>2726</v>
      </c>
      <c r="AD61" s="111" t="s">
        <v>2727</v>
      </c>
      <c r="AE61" s="111" t="s">
        <v>2798</v>
      </c>
      <c r="AF61" s="111" t="s">
        <v>2798</v>
      </c>
      <c r="AG61" s="111" t="s">
        <v>2798</v>
      </c>
      <c r="AH61" s="111" t="s">
        <v>2798</v>
      </c>
      <c r="AI61" s="111" t="s">
        <v>2798</v>
      </c>
      <c r="AJ61" s="111" t="s">
        <v>2798</v>
      </c>
      <c r="AK61" s="111" t="s">
        <v>2798</v>
      </c>
      <c r="AL61" s="111" t="s">
        <v>2798</v>
      </c>
      <c r="AM61" s="111" t="s">
        <v>2798</v>
      </c>
      <c r="AN61" s="111" t="s">
        <v>2798</v>
      </c>
      <c r="AO61" s="111" t="s">
        <v>2798</v>
      </c>
      <c r="AP61" s="111" t="s">
        <v>2798</v>
      </c>
      <c r="AQ61" s="111" t="s">
        <v>2798</v>
      </c>
      <c r="AR61" s="111" t="s">
        <v>2798</v>
      </c>
      <c r="AS61" s="111" t="s">
        <v>2798</v>
      </c>
      <c r="AT61" s="111" t="s">
        <v>2798</v>
      </c>
      <c r="AU61" s="111" t="s">
        <v>2798</v>
      </c>
      <c r="AV61" s="111" t="s">
        <v>2798</v>
      </c>
      <c r="AW61" s="111" t="s">
        <v>2798</v>
      </c>
      <c r="AX61" s="111" t="s">
        <v>2798</v>
      </c>
      <c r="AY61" s="111" t="s">
        <v>2798</v>
      </c>
      <c r="AZ61" s="111" t="s">
        <v>2798</v>
      </c>
      <c r="BA61" s="111" t="s">
        <v>2798</v>
      </c>
      <c r="BB61" s="111" t="s">
        <v>2798</v>
      </c>
      <c r="BC61" s="111" t="s">
        <v>2798</v>
      </c>
      <c r="BD61" s="111" t="s">
        <v>2798</v>
      </c>
      <c r="BE61" s="111" t="s">
        <v>2798</v>
      </c>
      <c r="BF61" s="111" t="s">
        <v>2798</v>
      </c>
      <c r="BG61" s="111" t="s">
        <v>2798</v>
      </c>
      <c r="BH61" s="111" t="s">
        <v>2798</v>
      </c>
      <c r="BI61" s="111" t="s">
        <v>2798</v>
      </c>
      <c r="BJ61" s="111" t="s">
        <v>2798</v>
      </c>
      <c r="BK61" s="111" t="s">
        <v>2798</v>
      </c>
      <c r="BL61" s="111" t="s">
        <v>2798</v>
      </c>
      <c r="BM61" s="111" t="s">
        <v>2798</v>
      </c>
      <c r="BN61" s="111" t="s">
        <v>2798</v>
      </c>
      <c r="BO61" s="111" t="s">
        <v>2798</v>
      </c>
      <c r="BP61" s="111" t="s">
        <v>2798</v>
      </c>
      <c r="BQ61" s="111" t="s">
        <v>2798</v>
      </c>
      <c r="BR61" s="111" t="s">
        <v>2798</v>
      </c>
      <c r="BS61" s="111" t="s">
        <v>2798</v>
      </c>
      <c r="BT61" s="111" t="s">
        <v>2798</v>
      </c>
      <c r="BU61" s="111" t="s">
        <v>2798</v>
      </c>
      <c r="BV61" s="111" t="s">
        <v>2771</v>
      </c>
      <c r="BW61" s="111" t="s">
        <v>2772</v>
      </c>
      <c r="BX61" s="111" t="s">
        <v>2773</v>
      </c>
      <c r="BY61" s="111" t="s">
        <v>2774</v>
      </c>
      <c r="BZ61" s="111" t="s">
        <v>2775</v>
      </c>
      <c r="CA61" s="111" t="s">
        <v>2776</v>
      </c>
      <c r="CB61" s="111" t="s">
        <v>2777</v>
      </c>
      <c r="CC61" s="111" t="s">
        <v>2798</v>
      </c>
      <c r="CD61" s="111" t="s">
        <v>2798</v>
      </c>
      <c r="CE61" s="111" t="s">
        <v>2798</v>
      </c>
      <c r="CF61" s="111" t="s">
        <v>2798</v>
      </c>
      <c r="CG61" s="111" t="s">
        <v>2798</v>
      </c>
      <c r="CH61" s="111" t="s">
        <v>2798</v>
      </c>
      <c r="CI61" s="111" t="s">
        <v>2798</v>
      </c>
      <c r="CJ61" s="111" t="s">
        <v>2798</v>
      </c>
      <c r="CK61" s="111" t="s">
        <v>2798</v>
      </c>
      <c r="CL61" s="111" t="s">
        <v>2798</v>
      </c>
      <c r="CM61" s="111" t="s">
        <v>2798</v>
      </c>
      <c r="CN61" s="111" t="s">
        <v>2798</v>
      </c>
      <c r="CO61" s="111" t="s">
        <v>2798</v>
      </c>
      <c r="CP61" s="111" t="s">
        <v>2798</v>
      </c>
      <c r="CQ61" s="111" t="s">
        <v>2798</v>
      </c>
    </row>
    <row r="62" spans="2:95" ht="14.25" customHeight="1">
      <c r="B62" s="106" t="s">
        <v>769</v>
      </c>
      <c r="C62" s="106" t="s">
        <v>2853</v>
      </c>
      <c r="D62" s="109">
        <v>13626.121999999999</v>
      </c>
      <c r="E62" s="106" t="s">
        <v>2015</v>
      </c>
      <c r="F62" s="110">
        <v>39.668999999999869</v>
      </c>
      <c r="G62" s="106" t="s">
        <v>2793</v>
      </c>
      <c r="H62" s="102">
        <v>0</v>
      </c>
      <c r="I62" s="102">
        <v>0</v>
      </c>
      <c r="J62" s="111" t="s">
        <v>2798</v>
      </c>
      <c r="K62" s="111" t="s">
        <v>2798</v>
      </c>
      <c r="L62" s="111" t="s">
        <v>2798</v>
      </c>
      <c r="M62" s="111" t="s">
        <v>2798</v>
      </c>
      <c r="N62" s="111" t="s">
        <v>2798</v>
      </c>
      <c r="O62" s="111" t="s">
        <v>2798</v>
      </c>
      <c r="P62" s="111" t="s">
        <v>2798</v>
      </c>
      <c r="Q62" s="111" t="s">
        <v>2798</v>
      </c>
      <c r="R62" s="111" t="s">
        <v>2798</v>
      </c>
      <c r="S62" s="111" t="s">
        <v>2798</v>
      </c>
      <c r="T62" s="111" t="s">
        <v>2798</v>
      </c>
      <c r="U62" s="111" t="s">
        <v>2798</v>
      </c>
      <c r="V62" s="111" t="s">
        <v>2798</v>
      </c>
      <c r="W62" s="111" t="s">
        <v>2798</v>
      </c>
      <c r="X62" s="111" t="s">
        <v>2798</v>
      </c>
      <c r="Y62" s="111" t="s">
        <v>2798</v>
      </c>
      <c r="Z62" s="111" t="s">
        <v>2798</v>
      </c>
      <c r="AA62" s="111" t="s">
        <v>2798</v>
      </c>
      <c r="AB62" s="111" t="s">
        <v>2798</v>
      </c>
      <c r="AC62" s="111" t="s">
        <v>2798</v>
      </c>
      <c r="AD62" s="111" t="s">
        <v>2798</v>
      </c>
      <c r="AE62" s="111" t="s">
        <v>2798</v>
      </c>
      <c r="AF62" s="111" t="s">
        <v>2798</v>
      </c>
      <c r="AG62" s="111" t="s">
        <v>2798</v>
      </c>
      <c r="AH62" s="111" t="s">
        <v>2798</v>
      </c>
      <c r="AI62" s="111" t="s">
        <v>2798</v>
      </c>
      <c r="AJ62" s="111" t="s">
        <v>2798</v>
      </c>
      <c r="AK62" s="111" t="s">
        <v>2798</v>
      </c>
      <c r="AL62" s="111" t="s">
        <v>2798</v>
      </c>
      <c r="AM62" s="111" t="s">
        <v>2798</v>
      </c>
      <c r="AN62" s="111" t="s">
        <v>2798</v>
      </c>
      <c r="AO62" s="111" t="s">
        <v>2798</v>
      </c>
      <c r="AP62" s="111" t="s">
        <v>2798</v>
      </c>
      <c r="AQ62" s="111" t="s">
        <v>2798</v>
      </c>
      <c r="AR62" s="111" t="s">
        <v>2798</v>
      </c>
      <c r="AS62" s="111" t="s">
        <v>2798</v>
      </c>
      <c r="AT62" s="111" t="s">
        <v>2798</v>
      </c>
      <c r="AU62" s="111" t="s">
        <v>2798</v>
      </c>
      <c r="AV62" s="111" t="s">
        <v>2798</v>
      </c>
      <c r="AW62" s="111" t="s">
        <v>2798</v>
      </c>
      <c r="AX62" s="111" t="s">
        <v>2798</v>
      </c>
      <c r="AY62" s="111" t="s">
        <v>2798</v>
      </c>
      <c r="AZ62" s="111" t="s">
        <v>2798</v>
      </c>
      <c r="BA62" s="111" t="s">
        <v>2798</v>
      </c>
      <c r="BB62" s="111" t="s">
        <v>2798</v>
      </c>
      <c r="BC62" s="111" t="s">
        <v>2798</v>
      </c>
      <c r="BD62" s="111" t="s">
        <v>2798</v>
      </c>
      <c r="BE62" s="111" t="s">
        <v>2798</v>
      </c>
      <c r="BF62" s="111" t="s">
        <v>2798</v>
      </c>
      <c r="BG62" s="111" t="s">
        <v>2798</v>
      </c>
      <c r="BH62" s="111" t="s">
        <v>2798</v>
      </c>
      <c r="BI62" s="111" t="s">
        <v>2798</v>
      </c>
      <c r="BJ62" s="111" t="s">
        <v>2798</v>
      </c>
      <c r="BK62" s="111" t="s">
        <v>2798</v>
      </c>
      <c r="BL62" s="111" t="s">
        <v>2798</v>
      </c>
      <c r="BM62" s="111" t="s">
        <v>2798</v>
      </c>
      <c r="BN62" s="111" t="s">
        <v>2798</v>
      </c>
      <c r="BO62" s="111" t="s">
        <v>2798</v>
      </c>
      <c r="BP62" s="111" t="s">
        <v>2798</v>
      </c>
      <c r="BQ62" s="111" t="s">
        <v>2798</v>
      </c>
      <c r="BR62" s="111" t="s">
        <v>2798</v>
      </c>
      <c r="BS62" s="111" t="s">
        <v>2798</v>
      </c>
      <c r="BT62" s="111" t="s">
        <v>2798</v>
      </c>
      <c r="BU62" s="111" t="s">
        <v>2798</v>
      </c>
      <c r="BV62" s="111" t="s">
        <v>2798</v>
      </c>
      <c r="BW62" s="111" t="s">
        <v>2798</v>
      </c>
      <c r="BX62" s="111" t="s">
        <v>2798</v>
      </c>
      <c r="BY62" s="111" t="s">
        <v>2798</v>
      </c>
      <c r="BZ62" s="111" t="s">
        <v>2798</v>
      </c>
      <c r="CA62" s="111" t="s">
        <v>2798</v>
      </c>
      <c r="CB62" s="111" t="s">
        <v>2798</v>
      </c>
      <c r="CC62" s="111" t="s">
        <v>2778</v>
      </c>
      <c r="CD62" s="111" t="s">
        <v>2779</v>
      </c>
      <c r="CE62" s="111" t="s">
        <v>2780</v>
      </c>
      <c r="CF62" s="111" t="s">
        <v>2781</v>
      </c>
      <c r="CG62" s="111" t="s">
        <v>2782</v>
      </c>
      <c r="CH62" s="111" t="s">
        <v>2783</v>
      </c>
      <c r="CI62" s="111" t="s">
        <v>2798</v>
      </c>
      <c r="CJ62" s="111" t="s">
        <v>2785</v>
      </c>
      <c r="CK62" s="111" t="s">
        <v>2786</v>
      </c>
      <c r="CL62" s="111" t="s">
        <v>2787</v>
      </c>
      <c r="CM62" s="111" t="s">
        <v>2788</v>
      </c>
      <c r="CN62" s="111" t="s">
        <v>2789</v>
      </c>
      <c r="CO62" s="111" t="s">
        <v>2790</v>
      </c>
      <c r="CP62" s="111" t="s">
        <v>2791</v>
      </c>
      <c r="CQ62" s="111" t="s">
        <v>2792</v>
      </c>
    </row>
    <row r="63" spans="2:95" ht="14.25" customHeight="1">
      <c r="B63" s="106" t="s">
        <v>770</v>
      </c>
      <c r="C63" s="106" t="s">
        <v>2854</v>
      </c>
      <c r="D63" s="109">
        <v>13667.012000000001</v>
      </c>
      <c r="E63" s="106" t="s">
        <v>2028</v>
      </c>
      <c r="F63" s="110">
        <v>40.890000000001237</v>
      </c>
      <c r="G63" s="106" t="s">
        <v>2795</v>
      </c>
      <c r="H63" s="102">
        <v>0</v>
      </c>
      <c r="I63" s="102">
        <v>0</v>
      </c>
      <c r="J63" s="111" t="s">
        <v>87</v>
      </c>
      <c r="K63" s="111" t="s">
        <v>2708</v>
      </c>
      <c r="L63" s="111" t="s">
        <v>2709</v>
      </c>
      <c r="M63" s="111" t="s">
        <v>2710</v>
      </c>
      <c r="N63" s="111" t="s">
        <v>2711</v>
      </c>
      <c r="O63" s="111" t="s">
        <v>2712</v>
      </c>
      <c r="P63" s="111" t="s">
        <v>2713</v>
      </c>
      <c r="Q63" s="111" t="s">
        <v>2714</v>
      </c>
      <c r="R63" s="111" t="s">
        <v>2715</v>
      </c>
      <c r="S63" s="111" t="s">
        <v>2716</v>
      </c>
      <c r="T63" s="111" t="s">
        <v>2717</v>
      </c>
      <c r="U63" s="111" t="s">
        <v>2718</v>
      </c>
      <c r="V63" s="111" t="s">
        <v>2719</v>
      </c>
      <c r="W63" s="111" t="s">
        <v>2720</v>
      </c>
      <c r="X63" s="111" t="s">
        <v>2798</v>
      </c>
      <c r="Y63" s="111" t="s">
        <v>2798</v>
      </c>
      <c r="Z63" s="111" t="s">
        <v>2798</v>
      </c>
      <c r="AA63" s="111" t="s">
        <v>2798</v>
      </c>
      <c r="AB63" s="111" t="s">
        <v>2798</v>
      </c>
      <c r="AC63" s="111" t="s">
        <v>2798</v>
      </c>
      <c r="AD63" s="111" t="s">
        <v>2798</v>
      </c>
      <c r="AE63" s="111" t="s">
        <v>2798</v>
      </c>
      <c r="AF63" s="111" t="s">
        <v>2798</v>
      </c>
      <c r="AG63" s="111" t="s">
        <v>2798</v>
      </c>
      <c r="AH63" s="111" t="s">
        <v>2798</v>
      </c>
      <c r="AI63" s="111" t="s">
        <v>2798</v>
      </c>
      <c r="AJ63" s="111" t="s">
        <v>2798</v>
      </c>
      <c r="AK63" s="111" t="s">
        <v>2798</v>
      </c>
      <c r="AL63" s="111" t="s">
        <v>2798</v>
      </c>
      <c r="AM63" s="111" t="s">
        <v>2798</v>
      </c>
      <c r="AN63" s="111" t="s">
        <v>2798</v>
      </c>
      <c r="AO63" s="111" t="s">
        <v>2798</v>
      </c>
      <c r="AP63" s="111" t="s">
        <v>2798</v>
      </c>
      <c r="AQ63" s="111" t="s">
        <v>2798</v>
      </c>
      <c r="AR63" s="111" t="s">
        <v>2798</v>
      </c>
      <c r="AS63" s="111" t="s">
        <v>2798</v>
      </c>
      <c r="AT63" s="111" t="s">
        <v>2798</v>
      </c>
      <c r="AU63" s="111" t="s">
        <v>2798</v>
      </c>
      <c r="AV63" s="111" t="s">
        <v>2798</v>
      </c>
      <c r="AW63" s="111" t="s">
        <v>2798</v>
      </c>
      <c r="AX63" s="111" t="s">
        <v>2798</v>
      </c>
      <c r="AY63" s="111" t="s">
        <v>2798</v>
      </c>
      <c r="AZ63" s="111" t="s">
        <v>2798</v>
      </c>
      <c r="BA63" s="111" t="s">
        <v>2798</v>
      </c>
      <c r="BB63" s="111" t="s">
        <v>2798</v>
      </c>
      <c r="BC63" s="111" t="s">
        <v>2798</v>
      </c>
      <c r="BD63" s="111" t="s">
        <v>2798</v>
      </c>
      <c r="BE63" s="111" t="s">
        <v>2798</v>
      </c>
      <c r="BF63" s="111" t="s">
        <v>2798</v>
      </c>
      <c r="BG63" s="111" t="s">
        <v>2798</v>
      </c>
      <c r="BH63" s="111" t="s">
        <v>2798</v>
      </c>
      <c r="BI63" s="111" t="s">
        <v>2798</v>
      </c>
      <c r="BJ63" s="111" t="s">
        <v>2798</v>
      </c>
      <c r="BK63" s="111" t="s">
        <v>2798</v>
      </c>
      <c r="BL63" s="111" t="s">
        <v>2798</v>
      </c>
      <c r="BM63" s="111" t="s">
        <v>2798</v>
      </c>
      <c r="BN63" s="111" t="s">
        <v>2798</v>
      </c>
      <c r="BO63" s="111" t="s">
        <v>2798</v>
      </c>
      <c r="BP63" s="111" t="s">
        <v>2798</v>
      </c>
      <c r="BQ63" s="111" t="s">
        <v>2798</v>
      </c>
      <c r="BR63" s="111" t="s">
        <v>2798</v>
      </c>
      <c r="BS63" s="111" t="s">
        <v>2798</v>
      </c>
      <c r="BT63" s="111" t="s">
        <v>2798</v>
      </c>
      <c r="BU63" s="111" t="s">
        <v>2798</v>
      </c>
      <c r="BV63" s="111" t="s">
        <v>2798</v>
      </c>
      <c r="BW63" s="111" t="s">
        <v>2798</v>
      </c>
      <c r="BX63" s="111" t="s">
        <v>2798</v>
      </c>
      <c r="BY63" s="111" t="s">
        <v>2798</v>
      </c>
      <c r="BZ63" s="111" t="s">
        <v>2798</v>
      </c>
      <c r="CA63" s="111" t="s">
        <v>2798</v>
      </c>
      <c r="CB63" s="111" t="s">
        <v>2798</v>
      </c>
      <c r="CC63" s="111" t="s">
        <v>2798</v>
      </c>
      <c r="CD63" s="111" t="s">
        <v>2798</v>
      </c>
      <c r="CE63" s="111" t="s">
        <v>2798</v>
      </c>
      <c r="CF63" s="111" t="s">
        <v>2798</v>
      </c>
      <c r="CG63" s="111" t="s">
        <v>2798</v>
      </c>
      <c r="CH63" s="111" t="s">
        <v>2798</v>
      </c>
      <c r="CI63" s="111" t="s">
        <v>2798</v>
      </c>
      <c r="CJ63" s="111" t="s">
        <v>2798</v>
      </c>
      <c r="CK63" s="111" t="s">
        <v>2798</v>
      </c>
      <c r="CL63" s="111" t="s">
        <v>2798</v>
      </c>
      <c r="CM63" s="111" t="s">
        <v>2798</v>
      </c>
      <c r="CN63" s="111" t="s">
        <v>2798</v>
      </c>
      <c r="CO63" s="111" t="s">
        <v>2798</v>
      </c>
      <c r="CP63" s="111" t="s">
        <v>2798</v>
      </c>
      <c r="CQ63" s="111" t="s">
        <v>2798</v>
      </c>
    </row>
    <row r="64" spans="2:95" ht="14.25" customHeight="1">
      <c r="B64" s="106" t="s">
        <v>771</v>
      </c>
      <c r="C64" s="106" t="s">
        <v>2855</v>
      </c>
      <c r="D64" s="109">
        <v>13707.591</v>
      </c>
      <c r="E64" s="106" t="s">
        <v>2028</v>
      </c>
      <c r="F64" s="110">
        <v>40.578999999999724</v>
      </c>
      <c r="G64" s="106" t="s">
        <v>2795</v>
      </c>
      <c r="H64" s="102">
        <v>0</v>
      </c>
      <c r="I64" s="102">
        <v>0</v>
      </c>
      <c r="J64" s="111" t="s">
        <v>2798</v>
      </c>
      <c r="K64" s="111" t="s">
        <v>2798</v>
      </c>
      <c r="L64" s="111" t="s">
        <v>2798</v>
      </c>
      <c r="M64" s="111" t="s">
        <v>2798</v>
      </c>
      <c r="N64" s="111" t="s">
        <v>2798</v>
      </c>
      <c r="O64" s="111" t="s">
        <v>2798</v>
      </c>
      <c r="P64" s="111" t="s">
        <v>2798</v>
      </c>
      <c r="Q64" s="111" t="s">
        <v>2798</v>
      </c>
      <c r="R64" s="111" t="s">
        <v>2798</v>
      </c>
      <c r="S64" s="111" t="s">
        <v>2798</v>
      </c>
      <c r="T64" s="111" t="s">
        <v>2798</v>
      </c>
      <c r="U64" s="111" t="s">
        <v>2798</v>
      </c>
      <c r="V64" s="111" t="s">
        <v>2798</v>
      </c>
      <c r="W64" s="111" t="s">
        <v>2798</v>
      </c>
      <c r="X64" s="111" t="s">
        <v>2721</v>
      </c>
      <c r="Y64" s="111" t="s">
        <v>2722</v>
      </c>
      <c r="Z64" s="111" t="s">
        <v>2723</v>
      </c>
      <c r="AA64" s="111" t="s">
        <v>2724</v>
      </c>
      <c r="AB64" s="111" t="s">
        <v>2725</v>
      </c>
      <c r="AC64" s="111" t="s">
        <v>2726</v>
      </c>
      <c r="AD64" s="111" t="s">
        <v>2727</v>
      </c>
      <c r="AE64" s="111" t="s">
        <v>2728</v>
      </c>
      <c r="AF64" s="111" t="s">
        <v>2729</v>
      </c>
      <c r="AG64" s="111" t="s">
        <v>2730</v>
      </c>
      <c r="AH64" s="111" t="s">
        <v>2731</v>
      </c>
      <c r="AI64" s="111" t="s">
        <v>2732</v>
      </c>
      <c r="AJ64" s="111" t="s">
        <v>2733</v>
      </c>
      <c r="AK64" s="111" t="s">
        <v>2734</v>
      </c>
      <c r="AL64" s="111" t="s">
        <v>2798</v>
      </c>
      <c r="AM64" s="111" t="s">
        <v>2798</v>
      </c>
      <c r="AN64" s="111" t="s">
        <v>2798</v>
      </c>
      <c r="AO64" s="111" t="s">
        <v>2798</v>
      </c>
      <c r="AP64" s="111" t="s">
        <v>2798</v>
      </c>
      <c r="AQ64" s="111" t="s">
        <v>2798</v>
      </c>
      <c r="AR64" s="111" t="s">
        <v>2798</v>
      </c>
      <c r="AS64" s="111" t="s">
        <v>2798</v>
      </c>
      <c r="AT64" s="111" t="s">
        <v>2798</v>
      </c>
      <c r="AU64" s="111" t="s">
        <v>2798</v>
      </c>
      <c r="AV64" s="111" t="s">
        <v>2798</v>
      </c>
      <c r="AW64" s="111" t="s">
        <v>2798</v>
      </c>
      <c r="AX64" s="111" t="s">
        <v>2798</v>
      </c>
      <c r="AY64" s="111" t="s">
        <v>2798</v>
      </c>
      <c r="AZ64" s="111" t="s">
        <v>2798</v>
      </c>
      <c r="BA64" s="111" t="s">
        <v>2798</v>
      </c>
      <c r="BB64" s="111" t="s">
        <v>2798</v>
      </c>
      <c r="BC64" s="111" t="s">
        <v>2798</v>
      </c>
      <c r="BD64" s="111" t="s">
        <v>2798</v>
      </c>
      <c r="BE64" s="111" t="s">
        <v>2798</v>
      </c>
      <c r="BF64" s="111" t="s">
        <v>2798</v>
      </c>
      <c r="BG64" s="111" t="s">
        <v>2798</v>
      </c>
      <c r="BH64" s="111" t="s">
        <v>2798</v>
      </c>
      <c r="BI64" s="111" t="s">
        <v>2798</v>
      </c>
      <c r="BJ64" s="111" t="s">
        <v>2798</v>
      </c>
      <c r="BK64" s="111" t="s">
        <v>2798</v>
      </c>
      <c r="BL64" s="111" t="s">
        <v>2798</v>
      </c>
      <c r="BM64" s="111" t="s">
        <v>2798</v>
      </c>
      <c r="BN64" s="111" t="s">
        <v>2798</v>
      </c>
      <c r="BO64" s="111" t="s">
        <v>2798</v>
      </c>
      <c r="BP64" s="111" t="s">
        <v>2798</v>
      </c>
      <c r="BQ64" s="111" t="s">
        <v>2798</v>
      </c>
      <c r="BR64" s="111" t="s">
        <v>2798</v>
      </c>
      <c r="BS64" s="111" t="s">
        <v>2798</v>
      </c>
      <c r="BT64" s="111" t="s">
        <v>2798</v>
      </c>
      <c r="BU64" s="111" t="s">
        <v>2798</v>
      </c>
      <c r="BV64" s="111" t="s">
        <v>2798</v>
      </c>
      <c r="BW64" s="111" t="s">
        <v>2798</v>
      </c>
      <c r="BX64" s="111" t="s">
        <v>2798</v>
      </c>
      <c r="BY64" s="111" t="s">
        <v>2798</v>
      </c>
      <c r="BZ64" s="111" t="s">
        <v>2798</v>
      </c>
      <c r="CA64" s="111" t="s">
        <v>2798</v>
      </c>
      <c r="CB64" s="111" t="s">
        <v>2798</v>
      </c>
      <c r="CC64" s="111" t="s">
        <v>2798</v>
      </c>
      <c r="CD64" s="111" t="s">
        <v>2798</v>
      </c>
      <c r="CE64" s="111" t="s">
        <v>2798</v>
      </c>
      <c r="CF64" s="111" t="s">
        <v>2798</v>
      </c>
      <c r="CG64" s="111" t="s">
        <v>2798</v>
      </c>
      <c r="CH64" s="111" t="s">
        <v>2798</v>
      </c>
      <c r="CI64" s="111" t="s">
        <v>2798</v>
      </c>
      <c r="CJ64" s="111" t="s">
        <v>2798</v>
      </c>
      <c r="CK64" s="111" t="s">
        <v>2798</v>
      </c>
      <c r="CL64" s="111" t="s">
        <v>2798</v>
      </c>
      <c r="CM64" s="111" t="s">
        <v>2798</v>
      </c>
      <c r="CN64" s="111" t="s">
        <v>2798</v>
      </c>
      <c r="CO64" s="111" t="s">
        <v>2798</v>
      </c>
      <c r="CP64" s="111" t="s">
        <v>2798</v>
      </c>
      <c r="CQ64" s="111" t="s">
        <v>2798</v>
      </c>
    </row>
    <row r="65" spans="2:95" ht="14.25" customHeight="1">
      <c r="B65" s="106" t="s">
        <v>772</v>
      </c>
      <c r="C65" s="106" t="s">
        <v>2856</v>
      </c>
      <c r="D65" s="109">
        <v>13747.459000000001</v>
      </c>
      <c r="E65" s="106" t="s">
        <v>2028</v>
      </c>
      <c r="F65" s="110">
        <v>39.868000000000393</v>
      </c>
      <c r="G65" s="106" t="s">
        <v>2795</v>
      </c>
      <c r="H65" s="102">
        <v>0</v>
      </c>
      <c r="I65" s="102">
        <v>0</v>
      </c>
      <c r="J65" s="111" t="s">
        <v>2798</v>
      </c>
      <c r="K65" s="111" t="s">
        <v>2798</v>
      </c>
      <c r="L65" s="111" t="s">
        <v>2798</v>
      </c>
      <c r="M65" s="111" t="s">
        <v>2798</v>
      </c>
      <c r="N65" s="111" t="s">
        <v>2798</v>
      </c>
      <c r="O65" s="111" t="s">
        <v>2798</v>
      </c>
      <c r="P65" s="111" t="s">
        <v>2798</v>
      </c>
      <c r="Q65" s="111" t="s">
        <v>2798</v>
      </c>
      <c r="R65" s="111" t="s">
        <v>2798</v>
      </c>
      <c r="S65" s="111" t="s">
        <v>2798</v>
      </c>
      <c r="T65" s="111" t="s">
        <v>2798</v>
      </c>
      <c r="U65" s="111" t="s">
        <v>2798</v>
      </c>
      <c r="V65" s="111" t="s">
        <v>2798</v>
      </c>
      <c r="W65" s="111" t="s">
        <v>2798</v>
      </c>
      <c r="X65" s="111" t="s">
        <v>2798</v>
      </c>
      <c r="Y65" s="111" t="s">
        <v>2798</v>
      </c>
      <c r="Z65" s="111" t="s">
        <v>2798</v>
      </c>
      <c r="AA65" s="111" t="s">
        <v>2798</v>
      </c>
      <c r="AB65" s="111" t="s">
        <v>2798</v>
      </c>
      <c r="AC65" s="111" t="s">
        <v>2798</v>
      </c>
      <c r="AD65" s="111" t="s">
        <v>2798</v>
      </c>
      <c r="AE65" s="111" t="s">
        <v>2798</v>
      </c>
      <c r="AF65" s="111" t="s">
        <v>2798</v>
      </c>
      <c r="AG65" s="111" t="s">
        <v>2798</v>
      </c>
      <c r="AH65" s="111" t="s">
        <v>2798</v>
      </c>
      <c r="AI65" s="111" t="s">
        <v>2798</v>
      </c>
      <c r="AJ65" s="111" t="s">
        <v>2798</v>
      </c>
      <c r="AK65" s="111" t="s">
        <v>2798</v>
      </c>
      <c r="AL65" s="111" t="s">
        <v>2735</v>
      </c>
      <c r="AM65" s="111" t="s">
        <v>2736</v>
      </c>
      <c r="AN65" s="111" t="s">
        <v>2737</v>
      </c>
      <c r="AO65" s="111" t="s">
        <v>2738</v>
      </c>
      <c r="AP65" s="111" t="s">
        <v>2739</v>
      </c>
      <c r="AQ65" s="111" t="s">
        <v>2740</v>
      </c>
      <c r="AR65" s="111" t="s">
        <v>2741</v>
      </c>
      <c r="AS65" s="111" t="s">
        <v>2798</v>
      </c>
      <c r="AT65" s="111" t="s">
        <v>2798</v>
      </c>
      <c r="AU65" s="111" t="s">
        <v>2798</v>
      </c>
      <c r="AV65" s="111" t="s">
        <v>2798</v>
      </c>
      <c r="AW65" s="111" t="s">
        <v>2798</v>
      </c>
      <c r="AX65" s="111" t="s">
        <v>2798</v>
      </c>
      <c r="AY65" s="111" t="s">
        <v>2798</v>
      </c>
      <c r="AZ65" s="111" t="s">
        <v>2798</v>
      </c>
      <c r="BA65" s="111" t="s">
        <v>2798</v>
      </c>
      <c r="BB65" s="111" t="s">
        <v>2798</v>
      </c>
      <c r="BC65" s="111" t="s">
        <v>2798</v>
      </c>
      <c r="BD65" s="111" t="s">
        <v>2798</v>
      </c>
      <c r="BE65" s="111" t="s">
        <v>2798</v>
      </c>
      <c r="BF65" s="111" t="s">
        <v>2798</v>
      </c>
      <c r="BG65" s="111" t="s">
        <v>2798</v>
      </c>
      <c r="BH65" s="111" t="s">
        <v>2757</v>
      </c>
      <c r="BI65" s="111" t="s">
        <v>2758</v>
      </c>
      <c r="BJ65" s="111" t="s">
        <v>2759</v>
      </c>
      <c r="BK65" s="111" t="s">
        <v>2760</v>
      </c>
      <c r="BL65" s="111" t="s">
        <v>2761</v>
      </c>
      <c r="BM65" s="111" t="s">
        <v>2762</v>
      </c>
      <c r="BN65" s="111" t="s">
        <v>2763</v>
      </c>
      <c r="BO65" s="111" t="s">
        <v>2798</v>
      </c>
      <c r="BP65" s="111" t="s">
        <v>2798</v>
      </c>
      <c r="BQ65" s="111" t="s">
        <v>2798</v>
      </c>
      <c r="BR65" s="111" t="s">
        <v>2798</v>
      </c>
      <c r="BS65" s="111" t="s">
        <v>2798</v>
      </c>
      <c r="BT65" s="111" t="s">
        <v>2798</v>
      </c>
      <c r="BU65" s="111" t="s">
        <v>2798</v>
      </c>
      <c r="BV65" s="111" t="s">
        <v>2798</v>
      </c>
      <c r="BW65" s="111" t="s">
        <v>2798</v>
      </c>
      <c r="BX65" s="111" t="s">
        <v>2798</v>
      </c>
      <c r="BY65" s="111" t="s">
        <v>2798</v>
      </c>
      <c r="BZ65" s="111" t="s">
        <v>2798</v>
      </c>
      <c r="CA65" s="111" t="s">
        <v>2798</v>
      </c>
      <c r="CB65" s="111" t="s">
        <v>2798</v>
      </c>
      <c r="CC65" s="111" t="s">
        <v>2798</v>
      </c>
      <c r="CD65" s="111" t="s">
        <v>2798</v>
      </c>
      <c r="CE65" s="111" t="s">
        <v>2798</v>
      </c>
      <c r="CF65" s="111" t="s">
        <v>2798</v>
      </c>
      <c r="CG65" s="111" t="s">
        <v>2798</v>
      </c>
      <c r="CH65" s="111" t="s">
        <v>2798</v>
      </c>
      <c r="CI65" s="111" t="s">
        <v>2798</v>
      </c>
      <c r="CJ65" s="111" t="s">
        <v>2798</v>
      </c>
      <c r="CK65" s="111" t="s">
        <v>2798</v>
      </c>
      <c r="CL65" s="111" t="s">
        <v>2798</v>
      </c>
      <c r="CM65" s="111" t="s">
        <v>2798</v>
      </c>
      <c r="CN65" s="111" t="s">
        <v>2798</v>
      </c>
      <c r="CO65" s="111" t="s">
        <v>2798</v>
      </c>
      <c r="CP65" s="111" t="s">
        <v>2798</v>
      </c>
      <c r="CQ65" s="111" t="s">
        <v>2798</v>
      </c>
    </row>
    <row r="66" spans="2:95" ht="14.25" customHeight="1">
      <c r="B66" s="106" t="s">
        <v>773</v>
      </c>
      <c r="C66" s="106" t="s">
        <v>2857</v>
      </c>
      <c r="D66" s="109">
        <v>13788.038</v>
      </c>
      <c r="E66" s="106" t="s">
        <v>2028</v>
      </c>
      <c r="F66" s="110">
        <v>40.578999999999724</v>
      </c>
      <c r="G66" s="106" t="s">
        <v>2795</v>
      </c>
      <c r="H66" s="102">
        <v>0</v>
      </c>
      <c r="I66" s="102">
        <v>0</v>
      </c>
      <c r="J66" s="111" t="s">
        <v>2798</v>
      </c>
      <c r="K66" s="111" t="s">
        <v>2798</v>
      </c>
      <c r="L66" s="111" t="s">
        <v>2798</v>
      </c>
      <c r="M66" s="111" t="s">
        <v>2798</v>
      </c>
      <c r="N66" s="111" t="s">
        <v>2798</v>
      </c>
      <c r="O66" s="111" t="s">
        <v>2798</v>
      </c>
      <c r="P66" s="111" t="s">
        <v>2798</v>
      </c>
      <c r="Q66" s="111" t="s">
        <v>2798</v>
      </c>
      <c r="R66" s="111" t="s">
        <v>2798</v>
      </c>
      <c r="S66" s="111" t="s">
        <v>2798</v>
      </c>
      <c r="T66" s="111" t="s">
        <v>2798</v>
      </c>
      <c r="U66" s="111" t="s">
        <v>2798</v>
      </c>
      <c r="V66" s="111" t="s">
        <v>2798</v>
      </c>
      <c r="W66" s="111" t="s">
        <v>2798</v>
      </c>
      <c r="X66" s="111" t="s">
        <v>2798</v>
      </c>
      <c r="Y66" s="111" t="s">
        <v>2798</v>
      </c>
      <c r="Z66" s="111" t="s">
        <v>2798</v>
      </c>
      <c r="AA66" s="111" t="s">
        <v>2798</v>
      </c>
      <c r="AB66" s="111" t="s">
        <v>2798</v>
      </c>
      <c r="AC66" s="111" t="s">
        <v>2798</v>
      </c>
      <c r="AD66" s="111" t="s">
        <v>2798</v>
      </c>
      <c r="AE66" s="111" t="s">
        <v>2798</v>
      </c>
      <c r="AF66" s="111" t="s">
        <v>2798</v>
      </c>
      <c r="AG66" s="111" t="s">
        <v>2798</v>
      </c>
      <c r="AH66" s="111" t="s">
        <v>2798</v>
      </c>
      <c r="AI66" s="111" t="s">
        <v>2798</v>
      </c>
      <c r="AJ66" s="111" t="s">
        <v>2798</v>
      </c>
      <c r="AK66" s="111" t="s">
        <v>2798</v>
      </c>
      <c r="AL66" s="111" t="s">
        <v>2798</v>
      </c>
      <c r="AM66" s="111" t="s">
        <v>2798</v>
      </c>
      <c r="AN66" s="111" t="s">
        <v>2798</v>
      </c>
      <c r="AO66" s="111" t="s">
        <v>2798</v>
      </c>
      <c r="AP66" s="111" t="s">
        <v>2798</v>
      </c>
      <c r="AQ66" s="111" t="s">
        <v>2798</v>
      </c>
      <c r="AR66" s="111" t="s">
        <v>2798</v>
      </c>
      <c r="AS66" s="111" t="s">
        <v>2798</v>
      </c>
      <c r="AT66" s="111" t="s">
        <v>2798</v>
      </c>
      <c r="AU66" s="111" t="s">
        <v>2798</v>
      </c>
      <c r="AV66" s="111" t="s">
        <v>2798</v>
      </c>
      <c r="AW66" s="111" t="s">
        <v>2798</v>
      </c>
      <c r="AX66" s="111" t="s">
        <v>2798</v>
      </c>
      <c r="AY66" s="111" t="s">
        <v>2798</v>
      </c>
      <c r="AZ66" s="111" t="s">
        <v>2798</v>
      </c>
      <c r="BA66" s="111" t="s">
        <v>2798</v>
      </c>
      <c r="BB66" s="111" t="s">
        <v>2798</v>
      </c>
      <c r="BC66" s="111" t="s">
        <v>2798</v>
      </c>
      <c r="BD66" s="111" t="s">
        <v>2798</v>
      </c>
      <c r="BE66" s="111" t="s">
        <v>2798</v>
      </c>
      <c r="BF66" s="111" t="s">
        <v>2798</v>
      </c>
      <c r="BG66" s="111" t="s">
        <v>2798</v>
      </c>
      <c r="BH66" s="111" t="s">
        <v>2798</v>
      </c>
      <c r="BI66" s="111" t="s">
        <v>2798</v>
      </c>
      <c r="BJ66" s="111" t="s">
        <v>2798</v>
      </c>
      <c r="BK66" s="111" t="s">
        <v>2798</v>
      </c>
      <c r="BL66" s="111" t="s">
        <v>2798</v>
      </c>
      <c r="BM66" s="111" t="s">
        <v>2798</v>
      </c>
      <c r="BN66" s="111" t="s">
        <v>2798</v>
      </c>
      <c r="BO66" s="111" t="s">
        <v>2764</v>
      </c>
      <c r="BP66" s="111" t="s">
        <v>2765</v>
      </c>
      <c r="BQ66" s="111" t="s">
        <v>2766</v>
      </c>
      <c r="BR66" s="111" t="s">
        <v>2767</v>
      </c>
      <c r="BS66" s="111" t="s">
        <v>2768</v>
      </c>
      <c r="BT66" s="111" t="s">
        <v>2769</v>
      </c>
      <c r="BU66" s="111" t="s">
        <v>2770</v>
      </c>
      <c r="BV66" s="111" t="s">
        <v>2771</v>
      </c>
      <c r="BW66" s="111" t="s">
        <v>2772</v>
      </c>
      <c r="BX66" s="111" t="s">
        <v>2773</v>
      </c>
      <c r="BY66" s="111" t="s">
        <v>2774</v>
      </c>
      <c r="BZ66" s="111" t="s">
        <v>2775</v>
      </c>
      <c r="CA66" s="111" t="s">
        <v>2776</v>
      </c>
      <c r="CB66" s="111" t="s">
        <v>2777</v>
      </c>
      <c r="CC66" s="111" t="s">
        <v>2798</v>
      </c>
      <c r="CD66" s="111" t="s">
        <v>2798</v>
      </c>
      <c r="CE66" s="111" t="s">
        <v>2798</v>
      </c>
      <c r="CF66" s="111" t="s">
        <v>2798</v>
      </c>
      <c r="CG66" s="111" t="s">
        <v>2798</v>
      </c>
      <c r="CH66" s="111" t="s">
        <v>2798</v>
      </c>
      <c r="CI66" s="111" t="s">
        <v>2798</v>
      </c>
      <c r="CJ66" s="111" t="s">
        <v>2798</v>
      </c>
      <c r="CK66" s="111" t="s">
        <v>2798</v>
      </c>
      <c r="CL66" s="111" t="s">
        <v>2798</v>
      </c>
      <c r="CM66" s="111" t="s">
        <v>2798</v>
      </c>
      <c r="CN66" s="111" t="s">
        <v>2798</v>
      </c>
      <c r="CO66" s="111" t="s">
        <v>2798</v>
      </c>
      <c r="CP66" s="111" t="s">
        <v>2798</v>
      </c>
      <c r="CQ66" s="111" t="s">
        <v>2798</v>
      </c>
    </row>
    <row r="67" spans="2:95" ht="14.25" customHeight="1">
      <c r="B67" s="106" t="s">
        <v>774</v>
      </c>
      <c r="C67" s="106" t="s">
        <v>2858</v>
      </c>
      <c r="D67" s="109">
        <v>13828.928</v>
      </c>
      <c r="E67" s="106" t="s">
        <v>2028</v>
      </c>
      <c r="F67" s="110">
        <v>40.889999999999418</v>
      </c>
      <c r="G67" s="106" t="s">
        <v>2793</v>
      </c>
      <c r="H67" s="102">
        <v>0</v>
      </c>
      <c r="I67" s="102">
        <v>0</v>
      </c>
      <c r="J67" s="111" t="s">
        <v>2798</v>
      </c>
      <c r="K67" s="111" t="s">
        <v>2798</v>
      </c>
      <c r="L67" s="111" t="s">
        <v>2798</v>
      </c>
      <c r="M67" s="111" t="s">
        <v>2798</v>
      </c>
      <c r="N67" s="111" t="s">
        <v>2798</v>
      </c>
      <c r="O67" s="111" t="s">
        <v>2798</v>
      </c>
      <c r="P67" s="111" t="s">
        <v>2798</v>
      </c>
      <c r="Q67" s="111" t="s">
        <v>2798</v>
      </c>
      <c r="R67" s="111" t="s">
        <v>2798</v>
      </c>
      <c r="S67" s="111" t="s">
        <v>2798</v>
      </c>
      <c r="T67" s="111" t="s">
        <v>2798</v>
      </c>
      <c r="U67" s="111" t="s">
        <v>2798</v>
      </c>
      <c r="V67" s="111" t="s">
        <v>2798</v>
      </c>
      <c r="W67" s="111" t="s">
        <v>2798</v>
      </c>
      <c r="X67" s="111" t="s">
        <v>2798</v>
      </c>
      <c r="Y67" s="111" t="s">
        <v>2798</v>
      </c>
      <c r="Z67" s="111" t="s">
        <v>2798</v>
      </c>
      <c r="AA67" s="111" t="s">
        <v>2798</v>
      </c>
      <c r="AB67" s="111" t="s">
        <v>2798</v>
      </c>
      <c r="AC67" s="111" t="s">
        <v>2798</v>
      </c>
      <c r="AD67" s="111" t="s">
        <v>2798</v>
      </c>
      <c r="AE67" s="111" t="s">
        <v>2798</v>
      </c>
      <c r="AF67" s="111" t="s">
        <v>2798</v>
      </c>
      <c r="AG67" s="111" t="s">
        <v>2798</v>
      </c>
      <c r="AH67" s="111" t="s">
        <v>2798</v>
      </c>
      <c r="AI67" s="111" t="s">
        <v>2798</v>
      </c>
      <c r="AJ67" s="111" t="s">
        <v>2798</v>
      </c>
      <c r="AK67" s="111" t="s">
        <v>2798</v>
      </c>
      <c r="AL67" s="111" t="s">
        <v>2798</v>
      </c>
      <c r="AM67" s="111" t="s">
        <v>2798</v>
      </c>
      <c r="AN67" s="111" t="s">
        <v>2798</v>
      </c>
      <c r="AO67" s="111" t="s">
        <v>2798</v>
      </c>
      <c r="AP67" s="111" t="s">
        <v>2798</v>
      </c>
      <c r="AQ67" s="111" t="s">
        <v>2798</v>
      </c>
      <c r="AR67" s="111" t="s">
        <v>2798</v>
      </c>
      <c r="AS67" s="111" t="s">
        <v>2798</v>
      </c>
      <c r="AT67" s="111" t="s">
        <v>2798</v>
      </c>
      <c r="AU67" s="111" t="s">
        <v>2798</v>
      </c>
      <c r="AV67" s="111" t="s">
        <v>2798</v>
      </c>
      <c r="AW67" s="111" t="s">
        <v>2798</v>
      </c>
      <c r="AX67" s="111" t="s">
        <v>2798</v>
      </c>
      <c r="AY67" s="111" t="s">
        <v>2798</v>
      </c>
      <c r="AZ67" s="111" t="s">
        <v>2798</v>
      </c>
      <c r="BA67" s="111" t="s">
        <v>2798</v>
      </c>
      <c r="BB67" s="111" t="s">
        <v>2798</v>
      </c>
      <c r="BC67" s="111" t="s">
        <v>2798</v>
      </c>
      <c r="BD67" s="111" t="s">
        <v>2798</v>
      </c>
      <c r="BE67" s="111" t="s">
        <v>2798</v>
      </c>
      <c r="BF67" s="111" t="s">
        <v>2798</v>
      </c>
      <c r="BG67" s="111" t="s">
        <v>2798</v>
      </c>
      <c r="BH67" s="111" t="s">
        <v>2798</v>
      </c>
      <c r="BI67" s="111" t="s">
        <v>2798</v>
      </c>
      <c r="BJ67" s="111" t="s">
        <v>2798</v>
      </c>
      <c r="BK67" s="111" t="s">
        <v>2798</v>
      </c>
      <c r="BL67" s="111" t="s">
        <v>2798</v>
      </c>
      <c r="BM67" s="111" t="s">
        <v>2798</v>
      </c>
      <c r="BN67" s="111" t="s">
        <v>2798</v>
      </c>
      <c r="BO67" s="111" t="s">
        <v>2798</v>
      </c>
      <c r="BP67" s="111" t="s">
        <v>2798</v>
      </c>
      <c r="BQ67" s="111" t="s">
        <v>2798</v>
      </c>
      <c r="BR67" s="111" t="s">
        <v>2798</v>
      </c>
      <c r="BS67" s="111" t="s">
        <v>2798</v>
      </c>
      <c r="BT67" s="111" t="s">
        <v>2798</v>
      </c>
      <c r="BU67" s="111" t="s">
        <v>2798</v>
      </c>
      <c r="BV67" s="111" t="s">
        <v>2798</v>
      </c>
      <c r="BW67" s="111" t="s">
        <v>2798</v>
      </c>
      <c r="BX67" s="111" t="s">
        <v>2798</v>
      </c>
      <c r="BY67" s="111" t="s">
        <v>2798</v>
      </c>
      <c r="BZ67" s="111" t="s">
        <v>2798</v>
      </c>
      <c r="CA67" s="111" t="s">
        <v>2798</v>
      </c>
      <c r="CB67" s="111" t="s">
        <v>2798</v>
      </c>
      <c r="CC67" s="111" t="s">
        <v>2778</v>
      </c>
      <c r="CD67" s="111" t="s">
        <v>2779</v>
      </c>
      <c r="CE67" s="111" t="s">
        <v>2780</v>
      </c>
      <c r="CF67" s="111" t="s">
        <v>2781</v>
      </c>
      <c r="CG67" s="111" t="s">
        <v>2782</v>
      </c>
      <c r="CH67" s="111" t="s">
        <v>2783</v>
      </c>
      <c r="CI67" s="111" t="s">
        <v>2798</v>
      </c>
      <c r="CJ67" s="111" t="s">
        <v>2785</v>
      </c>
      <c r="CK67" s="111" t="s">
        <v>2786</v>
      </c>
      <c r="CL67" s="111" t="s">
        <v>2787</v>
      </c>
      <c r="CM67" s="111" t="s">
        <v>2788</v>
      </c>
      <c r="CN67" s="111" t="s">
        <v>2789</v>
      </c>
      <c r="CO67" s="111" t="s">
        <v>2790</v>
      </c>
      <c r="CP67" s="111" t="s">
        <v>2791</v>
      </c>
      <c r="CQ67" s="111" t="s">
        <v>2792</v>
      </c>
    </row>
    <row r="68" spans="2:95" ht="14.25" customHeight="1">
      <c r="B68" s="106" t="s">
        <v>775</v>
      </c>
      <c r="C68" s="106" t="s">
        <v>2859</v>
      </c>
      <c r="D68" s="109">
        <v>13903.928</v>
      </c>
      <c r="E68" s="106" t="s">
        <v>2049</v>
      </c>
      <c r="F68" s="110">
        <v>75</v>
      </c>
      <c r="G68" s="106" t="s">
        <v>2795</v>
      </c>
      <c r="H68" s="102">
        <v>0</v>
      </c>
      <c r="I68" s="102">
        <v>0</v>
      </c>
      <c r="J68" s="111" t="s">
        <v>2798</v>
      </c>
      <c r="K68" s="111" t="s">
        <v>2798</v>
      </c>
      <c r="L68" s="111" t="s">
        <v>2798</v>
      </c>
      <c r="M68" s="111" t="s">
        <v>2798</v>
      </c>
      <c r="N68" s="111" t="s">
        <v>2798</v>
      </c>
      <c r="O68" s="111" t="s">
        <v>2798</v>
      </c>
      <c r="P68" s="111" t="s">
        <v>2798</v>
      </c>
      <c r="Q68" s="111" t="s">
        <v>2798</v>
      </c>
      <c r="R68" s="111" t="s">
        <v>2798</v>
      </c>
      <c r="S68" s="111" t="s">
        <v>2798</v>
      </c>
      <c r="T68" s="111" t="s">
        <v>2798</v>
      </c>
      <c r="U68" s="111" t="s">
        <v>2798</v>
      </c>
      <c r="V68" s="111" t="s">
        <v>2798</v>
      </c>
      <c r="W68" s="111" t="s">
        <v>2798</v>
      </c>
      <c r="X68" s="111" t="s">
        <v>2798</v>
      </c>
      <c r="Y68" s="111" t="s">
        <v>2798</v>
      </c>
      <c r="Z68" s="111" t="s">
        <v>2798</v>
      </c>
      <c r="AA68" s="111" t="s">
        <v>2798</v>
      </c>
      <c r="AB68" s="111" t="s">
        <v>2798</v>
      </c>
      <c r="AC68" s="111" t="s">
        <v>2798</v>
      </c>
      <c r="AD68" s="111" t="s">
        <v>2798</v>
      </c>
      <c r="AE68" s="111" t="s">
        <v>2798</v>
      </c>
      <c r="AF68" s="111" t="s">
        <v>2798</v>
      </c>
      <c r="AG68" s="111" t="s">
        <v>2798</v>
      </c>
      <c r="AH68" s="111" t="s">
        <v>2798</v>
      </c>
      <c r="AI68" s="111" t="s">
        <v>2798</v>
      </c>
      <c r="AJ68" s="111" t="s">
        <v>2798</v>
      </c>
      <c r="AK68" s="111" t="s">
        <v>2798</v>
      </c>
      <c r="AL68" s="111" t="s">
        <v>2798</v>
      </c>
      <c r="AM68" s="111" t="s">
        <v>2798</v>
      </c>
      <c r="AN68" s="111" t="s">
        <v>2798</v>
      </c>
      <c r="AO68" s="111" t="s">
        <v>2798</v>
      </c>
      <c r="AP68" s="111" t="s">
        <v>2798</v>
      </c>
      <c r="AQ68" s="111" t="s">
        <v>2798</v>
      </c>
      <c r="AR68" s="111" t="s">
        <v>2798</v>
      </c>
      <c r="AS68" s="111" t="s">
        <v>2798</v>
      </c>
      <c r="AT68" s="111" t="s">
        <v>2798</v>
      </c>
      <c r="AU68" s="111" t="s">
        <v>2798</v>
      </c>
      <c r="AV68" s="111" t="s">
        <v>2798</v>
      </c>
      <c r="AW68" s="111" t="s">
        <v>2798</v>
      </c>
      <c r="AX68" s="111" t="s">
        <v>2798</v>
      </c>
      <c r="AY68" s="111" t="s">
        <v>2798</v>
      </c>
      <c r="AZ68" s="111" t="s">
        <v>2798</v>
      </c>
      <c r="BA68" s="111" t="s">
        <v>2798</v>
      </c>
      <c r="BB68" s="111" t="s">
        <v>2798</v>
      </c>
      <c r="BC68" s="111" t="s">
        <v>2798</v>
      </c>
      <c r="BD68" s="111" t="s">
        <v>2798</v>
      </c>
      <c r="BE68" s="111" t="s">
        <v>2798</v>
      </c>
      <c r="BF68" s="111" t="s">
        <v>2798</v>
      </c>
      <c r="BG68" s="111" t="s">
        <v>2798</v>
      </c>
      <c r="BH68" s="111" t="s">
        <v>2798</v>
      </c>
      <c r="BI68" s="111" t="s">
        <v>2798</v>
      </c>
      <c r="BJ68" s="111" t="s">
        <v>2798</v>
      </c>
      <c r="BK68" s="111" t="s">
        <v>2798</v>
      </c>
      <c r="BL68" s="111" t="s">
        <v>2798</v>
      </c>
      <c r="BM68" s="111" t="s">
        <v>2798</v>
      </c>
      <c r="BN68" s="111" t="s">
        <v>2798</v>
      </c>
      <c r="BO68" s="111" t="s">
        <v>2798</v>
      </c>
      <c r="BP68" s="111" t="s">
        <v>2798</v>
      </c>
      <c r="BQ68" s="111" t="s">
        <v>2798</v>
      </c>
      <c r="BR68" s="111" t="s">
        <v>2798</v>
      </c>
      <c r="BS68" s="111" t="s">
        <v>2798</v>
      </c>
      <c r="BT68" s="111" t="s">
        <v>2798</v>
      </c>
      <c r="BU68" s="111" t="s">
        <v>2798</v>
      </c>
      <c r="BV68" s="111" t="s">
        <v>2798</v>
      </c>
      <c r="BW68" s="111" t="s">
        <v>2798</v>
      </c>
      <c r="BX68" s="111" t="s">
        <v>2798</v>
      </c>
      <c r="BY68" s="111" t="s">
        <v>2798</v>
      </c>
      <c r="BZ68" s="111" t="s">
        <v>2798</v>
      </c>
      <c r="CA68" s="111" t="s">
        <v>2798</v>
      </c>
      <c r="CB68" s="111" t="s">
        <v>2798</v>
      </c>
      <c r="CC68" s="111" t="s">
        <v>2798</v>
      </c>
      <c r="CD68" s="111" t="s">
        <v>2798</v>
      </c>
      <c r="CE68" s="111" t="s">
        <v>2798</v>
      </c>
      <c r="CF68" s="111" t="s">
        <v>2798</v>
      </c>
      <c r="CG68" s="111" t="s">
        <v>2798</v>
      </c>
      <c r="CH68" s="111" t="s">
        <v>2798</v>
      </c>
      <c r="CI68" s="111" t="s">
        <v>2798</v>
      </c>
      <c r="CJ68" s="111" t="s">
        <v>2798</v>
      </c>
      <c r="CK68" s="111" t="s">
        <v>2798</v>
      </c>
      <c r="CL68" s="111" t="s">
        <v>2798</v>
      </c>
      <c r="CM68" s="111" t="s">
        <v>2798</v>
      </c>
      <c r="CN68" s="111" t="s">
        <v>2798</v>
      </c>
      <c r="CO68" s="111" t="s">
        <v>2798</v>
      </c>
      <c r="CP68" s="111" t="s">
        <v>2798</v>
      </c>
      <c r="CQ68" s="111" t="s">
        <v>2798</v>
      </c>
    </row>
    <row r="69" spans="2:95" ht="14.25" customHeight="1">
      <c r="B69" s="106" t="s">
        <v>776</v>
      </c>
      <c r="C69" s="106" t="s">
        <v>2860</v>
      </c>
      <c r="D69" s="109">
        <v>14053.928</v>
      </c>
      <c r="E69" s="106" t="s">
        <v>2049</v>
      </c>
      <c r="F69" s="110">
        <v>150</v>
      </c>
      <c r="G69" s="106" t="s">
        <v>2795</v>
      </c>
      <c r="H69" s="102">
        <v>0</v>
      </c>
      <c r="I69" s="102">
        <v>0</v>
      </c>
      <c r="J69" s="111" t="s">
        <v>2798</v>
      </c>
      <c r="K69" s="111" t="s">
        <v>2798</v>
      </c>
      <c r="L69" s="111" t="s">
        <v>2798</v>
      </c>
      <c r="M69" s="111" t="s">
        <v>2798</v>
      </c>
      <c r="N69" s="111" t="s">
        <v>2798</v>
      </c>
      <c r="O69" s="111" t="s">
        <v>2798</v>
      </c>
      <c r="P69" s="111" t="s">
        <v>2798</v>
      </c>
      <c r="Q69" s="111" t="s">
        <v>2798</v>
      </c>
      <c r="R69" s="111" t="s">
        <v>2798</v>
      </c>
      <c r="S69" s="111" t="s">
        <v>2798</v>
      </c>
      <c r="T69" s="111" t="s">
        <v>2798</v>
      </c>
      <c r="U69" s="111" t="s">
        <v>2798</v>
      </c>
      <c r="V69" s="111" t="s">
        <v>2798</v>
      </c>
      <c r="W69" s="111" t="s">
        <v>2798</v>
      </c>
      <c r="X69" s="111" t="s">
        <v>2798</v>
      </c>
      <c r="Y69" s="111" t="s">
        <v>2798</v>
      </c>
      <c r="Z69" s="111" t="s">
        <v>2798</v>
      </c>
      <c r="AA69" s="111" t="s">
        <v>2798</v>
      </c>
      <c r="AB69" s="111" t="s">
        <v>2798</v>
      </c>
      <c r="AC69" s="111" t="s">
        <v>2798</v>
      </c>
      <c r="AD69" s="111" t="s">
        <v>2798</v>
      </c>
      <c r="AE69" s="111" t="s">
        <v>2798</v>
      </c>
      <c r="AF69" s="111" t="s">
        <v>2798</v>
      </c>
      <c r="AG69" s="111" t="s">
        <v>2798</v>
      </c>
      <c r="AH69" s="111" t="s">
        <v>2798</v>
      </c>
      <c r="AI69" s="111" t="s">
        <v>2798</v>
      </c>
      <c r="AJ69" s="111" t="s">
        <v>2798</v>
      </c>
      <c r="AK69" s="111" t="s">
        <v>2798</v>
      </c>
      <c r="AL69" s="111" t="s">
        <v>2798</v>
      </c>
      <c r="AM69" s="111" t="s">
        <v>2798</v>
      </c>
      <c r="AN69" s="111" t="s">
        <v>2798</v>
      </c>
      <c r="AO69" s="111" t="s">
        <v>2798</v>
      </c>
      <c r="AP69" s="111" t="s">
        <v>2798</v>
      </c>
      <c r="AQ69" s="111" t="s">
        <v>2798</v>
      </c>
      <c r="AR69" s="111" t="s">
        <v>2798</v>
      </c>
      <c r="AS69" s="111" t="s">
        <v>2798</v>
      </c>
      <c r="AT69" s="111" t="s">
        <v>2798</v>
      </c>
      <c r="AU69" s="111" t="s">
        <v>2798</v>
      </c>
      <c r="AV69" s="111" t="s">
        <v>2798</v>
      </c>
      <c r="AW69" s="111" t="s">
        <v>2798</v>
      </c>
      <c r="AX69" s="111" t="s">
        <v>2798</v>
      </c>
      <c r="AY69" s="111" t="s">
        <v>2798</v>
      </c>
      <c r="AZ69" s="111" t="s">
        <v>2798</v>
      </c>
      <c r="BA69" s="111" t="s">
        <v>2798</v>
      </c>
      <c r="BB69" s="111" t="s">
        <v>2798</v>
      </c>
      <c r="BC69" s="111" t="s">
        <v>2798</v>
      </c>
      <c r="BD69" s="111" t="s">
        <v>2798</v>
      </c>
      <c r="BE69" s="111" t="s">
        <v>2798</v>
      </c>
      <c r="BF69" s="111" t="s">
        <v>2798</v>
      </c>
      <c r="BG69" s="111" t="s">
        <v>2798</v>
      </c>
      <c r="BH69" s="111" t="s">
        <v>2798</v>
      </c>
      <c r="BI69" s="111" t="s">
        <v>2798</v>
      </c>
      <c r="BJ69" s="111" t="s">
        <v>2798</v>
      </c>
      <c r="BK69" s="111" t="s">
        <v>2798</v>
      </c>
      <c r="BL69" s="111" t="s">
        <v>2798</v>
      </c>
      <c r="BM69" s="111" t="s">
        <v>2798</v>
      </c>
      <c r="BN69" s="111" t="s">
        <v>2798</v>
      </c>
      <c r="BO69" s="111" t="s">
        <v>2798</v>
      </c>
      <c r="BP69" s="111" t="s">
        <v>2798</v>
      </c>
      <c r="BQ69" s="111" t="s">
        <v>2798</v>
      </c>
      <c r="BR69" s="111" t="s">
        <v>2798</v>
      </c>
      <c r="BS69" s="111" t="s">
        <v>2798</v>
      </c>
      <c r="BT69" s="111" t="s">
        <v>2798</v>
      </c>
      <c r="BU69" s="111" t="s">
        <v>2798</v>
      </c>
      <c r="BV69" s="111" t="s">
        <v>2798</v>
      </c>
      <c r="BW69" s="111" t="s">
        <v>2798</v>
      </c>
      <c r="BX69" s="111" t="s">
        <v>2798</v>
      </c>
      <c r="BY69" s="111" t="s">
        <v>2798</v>
      </c>
      <c r="BZ69" s="111" t="s">
        <v>2798</v>
      </c>
      <c r="CA69" s="111" t="s">
        <v>2798</v>
      </c>
      <c r="CB69" s="111" t="s">
        <v>2798</v>
      </c>
      <c r="CC69" s="111" t="s">
        <v>2798</v>
      </c>
      <c r="CD69" s="111" t="s">
        <v>2798</v>
      </c>
      <c r="CE69" s="111" t="s">
        <v>2798</v>
      </c>
      <c r="CF69" s="111" t="s">
        <v>2798</v>
      </c>
      <c r="CG69" s="111" t="s">
        <v>2798</v>
      </c>
      <c r="CH69" s="111" t="s">
        <v>2798</v>
      </c>
      <c r="CI69" s="111" t="s">
        <v>2798</v>
      </c>
      <c r="CJ69" s="111" t="s">
        <v>2798</v>
      </c>
      <c r="CK69" s="111" t="s">
        <v>2798</v>
      </c>
      <c r="CL69" s="111" t="s">
        <v>2798</v>
      </c>
      <c r="CM69" s="111" t="s">
        <v>2798</v>
      </c>
      <c r="CN69" s="111" t="s">
        <v>2798</v>
      </c>
      <c r="CO69" s="111" t="s">
        <v>2798</v>
      </c>
      <c r="CP69" s="111" t="s">
        <v>2798</v>
      </c>
      <c r="CQ69" s="111" t="s">
        <v>2798</v>
      </c>
    </row>
    <row r="70" spans="2:95" ht="14.25" customHeight="1">
      <c r="B70" s="106" t="s">
        <v>777</v>
      </c>
      <c r="C70" s="106" t="s">
        <v>2861</v>
      </c>
      <c r="D70" s="109">
        <v>14128.928</v>
      </c>
      <c r="E70" s="106" t="s">
        <v>2049</v>
      </c>
      <c r="F70" s="110">
        <v>75</v>
      </c>
      <c r="G70" s="106" t="s">
        <v>2793</v>
      </c>
      <c r="H70" s="102">
        <v>0</v>
      </c>
      <c r="I70" s="102">
        <v>0</v>
      </c>
      <c r="J70" s="111" t="s">
        <v>2798</v>
      </c>
      <c r="K70" s="111" t="s">
        <v>2798</v>
      </c>
      <c r="L70" s="111" t="s">
        <v>2798</v>
      </c>
      <c r="M70" s="111" t="s">
        <v>2798</v>
      </c>
      <c r="N70" s="111" t="s">
        <v>2798</v>
      </c>
      <c r="O70" s="111" t="s">
        <v>2798</v>
      </c>
      <c r="P70" s="111" t="s">
        <v>2798</v>
      </c>
      <c r="Q70" s="111" t="s">
        <v>2798</v>
      </c>
      <c r="R70" s="111" t="s">
        <v>2798</v>
      </c>
      <c r="S70" s="111" t="s">
        <v>2798</v>
      </c>
      <c r="T70" s="111" t="s">
        <v>2798</v>
      </c>
      <c r="U70" s="111" t="s">
        <v>2798</v>
      </c>
      <c r="V70" s="111" t="s">
        <v>2798</v>
      </c>
      <c r="W70" s="111" t="s">
        <v>2798</v>
      </c>
      <c r="X70" s="111" t="s">
        <v>2798</v>
      </c>
      <c r="Y70" s="111" t="s">
        <v>2798</v>
      </c>
      <c r="Z70" s="111" t="s">
        <v>2798</v>
      </c>
      <c r="AA70" s="111" t="s">
        <v>2798</v>
      </c>
      <c r="AB70" s="111" t="s">
        <v>2798</v>
      </c>
      <c r="AC70" s="111" t="s">
        <v>2798</v>
      </c>
      <c r="AD70" s="111" t="s">
        <v>2798</v>
      </c>
      <c r="AE70" s="111" t="s">
        <v>2798</v>
      </c>
      <c r="AF70" s="111" t="s">
        <v>2798</v>
      </c>
      <c r="AG70" s="111" t="s">
        <v>2798</v>
      </c>
      <c r="AH70" s="111" t="s">
        <v>2798</v>
      </c>
      <c r="AI70" s="111" t="s">
        <v>2798</v>
      </c>
      <c r="AJ70" s="111" t="s">
        <v>2798</v>
      </c>
      <c r="AK70" s="111" t="s">
        <v>2798</v>
      </c>
      <c r="AL70" s="111" t="s">
        <v>2798</v>
      </c>
      <c r="AM70" s="111" t="s">
        <v>2798</v>
      </c>
      <c r="AN70" s="111" t="s">
        <v>2798</v>
      </c>
      <c r="AO70" s="111" t="s">
        <v>2798</v>
      </c>
      <c r="AP70" s="111" t="s">
        <v>2798</v>
      </c>
      <c r="AQ70" s="111" t="s">
        <v>2798</v>
      </c>
      <c r="AR70" s="111" t="s">
        <v>2798</v>
      </c>
      <c r="AS70" s="111" t="s">
        <v>2798</v>
      </c>
      <c r="AT70" s="111" t="s">
        <v>2798</v>
      </c>
      <c r="AU70" s="111" t="s">
        <v>2798</v>
      </c>
      <c r="AV70" s="111" t="s">
        <v>2798</v>
      </c>
      <c r="AW70" s="111" t="s">
        <v>2798</v>
      </c>
      <c r="AX70" s="111" t="s">
        <v>2798</v>
      </c>
      <c r="AY70" s="111" t="s">
        <v>2798</v>
      </c>
      <c r="AZ70" s="111" t="s">
        <v>2798</v>
      </c>
      <c r="BA70" s="111" t="s">
        <v>2798</v>
      </c>
      <c r="BB70" s="111" t="s">
        <v>2798</v>
      </c>
      <c r="BC70" s="111" t="s">
        <v>2798</v>
      </c>
      <c r="BD70" s="111" t="s">
        <v>2798</v>
      </c>
      <c r="BE70" s="111" t="s">
        <v>2798</v>
      </c>
      <c r="BF70" s="111" t="s">
        <v>2798</v>
      </c>
      <c r="BG70" s="111" t="s">
        <v>2798</v>
      </c>
      <c r="BH70" s="111" t="s">
        <v>2798</v>
      </c>
      <c r="BI70" s="111" t="s">
        <v>2798</v>
      </c>
      <c r="BJ70" s="111" t="s">
        <v>2798</v>
      </c>
      <c r="BK70" s="111" t="s">
        <v>2798</v>
      </c>
      <c r="BL70" s="111" t="s">
        <v>2798</v>
      </c>
      <c r="BM70" s="111" t="s">
        <v>2798</v>
      </c>
      <c r="BN70" s="111" t="s">
        <v>2798</v>
      </c>
      <c r="BO70" s="111" t="s">
        <v>2798</v>
      </c>
      <c r="BP70" s="111" t="s">
        <v>2798</v>
      </c>
      <c r="BQ70" s="111" t="s">
        <v>2798</v>
      </c>
      <c r="BR70" s="111" t="s">
        <v>2798</v>
      </c>
      <c r="BS70" s="111" t="s">
        <v>2798</v>
      </c>
      <c r="BT70" s="111" t="s">
        <v>2798</v>
      </c>
      <c r="BU70" s="111" t="s">
        <v>2798</v>
      </c>
      <c r="BV70" s="111" t="s">
        <v>2798</v>
      </c>
      <c r="BW70" s="111" t="s">
        <v>2798</v>
      </c>
      <c r="BX70" s="111" t="s">
        <v>2798</v>
      </c>
      <c r="BY70" s="111" t="s">
        <v>2798</v>
      </c>
      <c r="BZ70" s="111" t="s">
        <v>2798</v>
      </c>
      <c r="CA70" s="111" t="s">
        <v>2798</v>
      </c>
      <c r="CB70" s="111" t="s">
        <v>2798</v>
      </c>
      <c r="CC70" s="111" t="s">
        <v>2798</v>
      </c>
      <c r="CD70" s="111" t="s">
        <v>2798</v>
      </c>
      <c r="CE70" s="111" t="s">
        <v>2798</v>
      </c>
      <c r="CF70" s="111" t="s">
        <v>2798</v>
      </c>
      <c r="CG70" s="111" t="s">
        <v>2798</v>
      </c>
      <c r="CH70" s="111" t="s">
        <v>2798</v>
      </c>
      <c r="CI70" s="111" t="s">
        <v>2798</v>
      </c>
      <c r="CJ70" s="111" t="s">
        <v>2798</v>
      </c>
      <c r="CK70" s="111" t="s">
        <v>2798</v>
      </c>
      <c r="CL70" s="111" t="s">
        <v>2798</v>
      </c>
      <c r="CM70" s="111" t="s">
        <v>2798</v>
      </c>
      <c r="CN70" s="111" t="s">
        <v>2798</v>
      </c>
      <c r="CO70" s="111" t="s">
        <v>2798</v>
      </c>
      <c r="CP70" s="111" t="s">
        <v>2798</v>
      </c>
      <c r="CQ70" s="111" t="s">
        <v>2798</v>
      </c>
    </row>
    <row r="71" spans="2:95" ht="14.25" customHeight="1">
      <c r="B71" s="106" t="s">
        <v>778</v>
      </c>
      <c r="C71" s="106" t="s">
        <v>2862</v>
      </c>
      <c r="D71" s="109">
        <v>14163.878000000001</v>
      </c>
      <c r="E71" s="106" t="s">
        <v>2094</v>
      </c>
      <c r="F71" s="110">
        <v>34.950000000000728</v>
      </c>
      <c r="G71" s="106" t="s">
        <v>2795</v>
      </c>
      <c r="H71" s="102">
        <v>0</v>
      </c>
      <c r="I71" s="102">
        <v>0</v>
      </c>
      <c r="J71" s="111" t="s">
        <v>87</v>
      </c>
      <c r="K71" s="111" t="s">
        <v>2708</v>
      </c>
      <c r="L71" s="111" t="s">
        <v>2709</v>
      </c>
      <c r="M71" s="111" t="s">
        <v>2710</v>
      </c>
      <c r="N71" s="111" t="s">
        <v>2711</v>
      </c>
      <c r="O71" s="111" t="s">
        <v>2712</v>
      </c>
      <c r="P71" s="111" t="s">
        <v>2713</v>
      </c>
      <c r="Q71" s="111" t="s">
        <v>2714</v>
      </c>
      <c r="R71" s="111" t="s">
        <v>2715</v>
      </c>
      <c r="S71" s="111" t="s">
        <v>2716</v>
      </c>
      <c r="T71" s="111" t="s">
        <v>2717</v>
      </c>
      <c r="U71" s="111" t="s">
        <v>2718</v>
      </c>
      <c r="V71" s="111" t="s">
        <v>2798</v>
      </c>
      <c r="W71" s="111" t="s">
        <v>2798</v>
      </c>
      <c r="X71" s="111" t="s">
        <v>2798</v>
      </c>
      <c r="Y71" s="111" t="s">
        <v>2798</v>
      </c>
      <c r="Z71" s="111" t="s">
        <v>2798</v>
      </c>
      <c r="AA71" s="111" t="s">
        <v>2798</v>
      </c>
      <c r="AB71" s="111" t="s">
        <v>2798</v>
      </c>
      <c r="AC71" s="111" t="s">
        <v>2798</v>
      </c>
      <c r="AD71" s="111" t="s">
        <v>2798</v>
      </c>
      <c r="AE71" s="111" t="s">
        <v>2798</v>
      </c>
      <c r="AF71" s="111" t="s">
        <v>2798</v>
      </c>
      <c r="AG71" s="111" t="s">
        <v>2798</v>
      </c>
      <c r="AH71" s="111" t="s">
        <v>2798</v>
      </c>
      <c r="AI71" s="111" t="s">
        <v>2798</v>
      </c>
      <c r="AJ71" s="111" t="s">
        <v>2798</v>
      </c>
      <c r="AK71" s="111" t="s">
        <v>2798</v>
      </c>
      <c r="AL71" s="111" t="s">
        <v>2798</v>
      </c>
      <c r="AM71" s="111" t="s">
        <v>2798</v>
      </c>
      <c r="AN71" s="111" t="s">
        <v>2798</v>
      </c>
      <c r="AO71" s="111" t="s">
        <v>2798</v>
      </c>
      <c r="AP71" s="111" t="s">
        <v>2798</v>
      </c>
      <c r="AQ71" s="111" t="s">
        <v>2798</v>
      </c>
      <c r="AR71" s="111" t="s">
        <v>2798</v>
      </c>
      <c r="AS71" s="111" t="s">
        <v>2798</v>
      </c>
      <c r="AT71" s="111" t="s">
        <v>2798</v>
      </c>
      <c r="AU71" s="111" t="s">
        <v>2798</v>
      </c>
      <c r="AV71" s="111" t="s">
        <v>2798</v>
      </c>
      <c r="AW71" s="111" t="s">
        <v>2798</v>
      </c>
      <c r="AX71" s="111" t="s">
        <v>2798</v>
      </c>
      <c r="AY71" s="111" t="s">
        <v>2798</v>
      </c>
      <c r="AZ71" s="111" t="s">
        <v>2798</v>
      </c>
      <c r="BA71" s="111" t="s">
        <v>2798</v>
      </c>
      <c r="BB71" s="111" t="s">
        <v>2798</v>
      </c>
      <c r="BC71" s="111" t="s">
        <v>2798</v>
      </c>
      <c r="BD71" s="111" t="s">
        <v>2798</v>
      </c>
      <c r="BE71" s="111" t="s">
        <v>2798</v>
      </c>
      <c r="BF71" s="111" t="s">
        <v>2798</v>
      </c>
      <c r="BG71" s="111" t="s">
        <v>2798</v>
      </c>
      <c r="BH71" s="111" t="s">
        <v>2798</v>
      </c>
      <c r="BI71" s="111" t="s">
        <v>2798</v>
      </c>
      <c r="BJ71" s="111" t="s">
        <v>2798</v>
      </c>
      <c r="BK71" s="111" t="s">
        <v>2798</v>
      </c>
      <c r="BL71" s="111" t="s">
        <v>2798</v>
      </c>
      <c r="BM71" s="111" t="s">
        <v>2798</v>
      </c>
      <c r="BN71" s="111" t="s">
        <v>2798</v>
      </c>
      <c r="BO71" s="111" t="s">
        <v>2798</v>
      </c>
      <c r="BP71" s="111" t="s">
        <v>2798</v>
      </c>
      <c r="BQ71" s="111" t="s">
        <v>2798</v>
      </c>
      <c r="BR71" s="111" t="s">
        <v>2798</v>
      </c>
      <c r="BS71" s="111" t="s">
        <v>2798</v>
      </c>
      <c r="BT71" s="111" t="s">
        <v>2798</v>
      </c>
      <c r="BU71" s="111" t="s">
        <v>2798</v>
      </c>
      <c r="BV71" s="111" t="s">
        <v>2798</v>
      </c>
      <c r="BW71" s="111" t="s">
        <v>2798</v>
      </c>
      <c r="BX71" s="111" t="s">
        <v>2798</v>
      </c>
      <c r="BY71" s="111" t="s">
        <v>2798</v>
      </c>
      <c r="BZ71" s="111" t="s">
        <v>2798</v>
      </c>
      <c r="CA71" s="111" t="s">
        <v>2798</v>
      </c>
      <c r="CB71" s="111" t="s">
        <v>2798</v>
      </c>
      <c r="CC71" s="111" t="s">
        <v>2798</v>
      </c>
      <c r="CD71" s="111" t="s">
        <v>2798</v>
      </c>
      <c r="CE71" s="111" t="s">
        <v>2798</v>
      </c>
      <c r="CF71" s="111" t="s">
        <v>2798</v>
      </c>
      <c r="CG71" s="111" t="s">
        <v>2798</v>
      </c>
      <c r="CH71" s="111" t="s">
        <v>2798</v>
      </c>
      <c r="CI71" s="111" t="s">
        <v>2798</v>
      </c>
      <c r="CJ71" s="111" t="s">
        <v>2798</v>
      </c>
      <c r="CK71" s="111" t="s">
        <v>2798</v>
      </c>
      <c r="CL71" s="111" t="s">
        <v>2798</v>
      </c>
      <c r="CM71" s="111" t="s">
        <v>2798</v>
      </c>
      <c r="CN71" s="111" t="s">
        <v>2798</v>
      </c>
      <c r="CO71" s="111" t="s">
        <v>2798</v>
      </c>
      <c r="CP71" s="111" t="s">
        <v>2798</v>
      </c>
      <c r="CQ71" s="111" t="s">
        <v>2798</v>
      </c>
    </row>
    <row r="72" spans="2:95" ht="14.25" customHeight="1">
      <c r="B72" s="106" t="s">
        <v>779</v>
      </c>
      <c r="C72" s="106" t="s">
        <v>2863</v>
      </c>
      <c r="D72" s="109">
        <v>14198.828</v>
      </c>
      <c r="E72" s="106" t="s">
        <v>2094</v>
      </c>
      <c r="F72" s="110">
        <v>34.949999999998909</v>
      </c>
      <c r="G72" s="106" t="s">
        <v>2793</v>
      </c>
      <c r="H72" s="102">
        <v>0</v>
      </c>
      <c r="I72" s="102">
        <v>0</v>
      </c>
      <c r="J72" s="111" t="s">
        <v>2798</v>
      </c>
      <c r="K72" s="111" t="s">
        <v>2798</v>
      </c>
      <c r="L72" s="111" t="s">
        <v>2798</v>
      </c>
      <c r="M72" s="111" t="s">
        <v>2798</v>
      </c>
      <c r="N72" s="111" t="s">
        <v>2798</v>
      </c>
      <c r="O72" s="111" t="s">
        <v>2798</v>
      </c>
      <c r="P72" s="111" t="s">
        <v>2798</v>
      </c>
      <c r="Q72" s="111" t="s">
        <v>2798</v>
      </c>
      <c r="R72" s="111" t="s">
        <v>2798</v>
      </c>
      <c r="S72" s="111" t="s">
        <v>2798</v>
      </c>
      <c r="T72" s="111" t="s">
        <v>2798</v>
      </c>
      <c r="U72" s="111" t="s">
        <v>2798</v>
      </c>
      <c r="V72" s="111" t="s">
        <v>2798</v>
      </c>
      <c r="W72" s="111" t="s">
        <v>2798</v>
      </c>
      <c r="X72" s="111" t="s">
        <v>2798</v>
      </c>
      <c r="Y72" s="111" t="s">
        <v>2798</v>
      </c>
      <c r="Z72" s="111" t="s">
        <v>2798</v>
      </c>
      <c r="AA72" s="111" t="s">
        <v>2798</v>
      </c>
      <c r="AB72" s="111" t="s">
        <v>2798</v>
      </c>
      <c r="AC72" s="111" t="s">
        <v>2798</v>
      </c>
      <c r="AD72" s="111" t="s">
        <v>2798</v>
      </c>
      <c r="AE72" s="111" t="s">
        <v>2798</v>
      </c>
      <c r="AF72" s="111" t="s">
        <v>2798</v>
      </c>
      <c r="AG72" s="111" t="s">
        <v>2798</v>
      </c>
      <c r="AH72" s="111" t="s">
        <v>2798</v>
      </c>
      <c r="AI72" s="111" t="s">
        <v>2798</v>
      </c>
      <c r="AJ72" s="111" t="s">
        <v>2798</v>
      </c>
      <c r="AK72" s="111" t="s">
        <v>2798</v>
      </c>
      <c r="AL72" s="111" t="s">
        <v>2798</v>
      </c>
      <c r="AM72" s="111" t="s">
        <v>2798</v>
      </c>
      <c r="AN72" s="111" t="s">
        <v>2798</v>
      </c>
      <c r="AO72" s="111" t="s">
        <v>2798</v>
      </c>
      <c r="AP72" s="111" t="s">
        <v>2798</v>
      </c>
      <c r="AQ72" s="111" t="s">
        <v>2798</v>
      </c>
      <c r="AR72" s="111" t="s">
        <v>2798</v>
      </c>
      <c r="AS72" s="111" t="s">
        <v>2798</v>
      </c>
      <c r="AT72" s="111" t="s">
        <v>2798</v>
      </c>
      <c r="AU72" s="111" t="s">
        <v>2798</v>
      </c>
      <c r="AV72" s="111" t="s">
        <v>2798</v>
      </c>
      <c r="AW72" s="111" t="s">
        <v>2798</v>
      </c>
      <c r="AX72" s="111" t="s">
        <v>2798</v>
      </c>
      <c r="AY72" s="111" t="s">
        <v>2798</v>
      </c>
      <c r="AZ72" s="111" t="s">
        <v>2798</v>
      </c>
      <c r="BA72" s="111" t="s">
        <v>2798</v>
      </c>
      <c r="BB72" s="111" t="s">
        <v>2798</v>
      </c>
      <c r="BC72" s="111" t="s">
        <v>2798</v>
      </c>
      <c r="BD72" s="111" t="s">
        <v>2798</v>
      </c>
      <c r="BE72" s="111" t="s">
        <v>2798</v>
      </c>
      <c r="BF72" s="111" t="s">
        <v>2798</v>
      </c>
      <c r="BG72" s="111" t="s">
        <v>2798</v>
      </c>
      <c r="BH72" s="111" t="s">
        <v>2798</v>
      </c>
      <c r="BI72" s="111" t="s">
        <v>2798</v>
      </c>
      <c r="BJ72" s="111" t="s">
        <v>2798</v>
      </c>
      <c r="BK72" s="111" t="s">
        <v>2798</v>
      </c>
      <c r="BL72" s="111" t="s">
        <v>2798</v>
      </c>
      <c r="BM72" s="111" t="s">
        <v>2798</v>
      </c>
      <c r="BN72" s="111" t="s">
        <v>2798</v>
      </c>
      <c r="BO72" s="111" t="s">
        <v>2798</v>
      </c>
      <c r="BP72" s="111" t="s">
        <v>2798</v>
      </c>
      <c r="BQ72" s="111" t="s">
        <v>2798</v>
      </c>
      <c r="BR72" s="111" t="s">
        <v>2798</v>
      </c>
      <c r="BS72" s="111" t="s">
        <v>2798</v>
      </c>
      <c r="BT72" s="111" t="s">
        <v>2798</v>
      </c>
      <c r="BU72" s="111" t="s">
        <v>2798</v>
      </c>
      <c r="BV72" s="111" t="s">
        <v>2798</v>
      </c>
      <c r="BW72" s="111" t="s">
        <v>2798</v>
      </c>
      <c r="BX72" s="111" t="s">
        <v>2798</v>
      </c>
      <c r="BY72" s="111" t="s">
        <v>2798</v>
      </c>
      <c r="BZ72" s="111" t="s">
        <v>2798</v>
      </c>
      <c r="CA72" s="111" t="s">
        <v>2798</v>
      </c>
      <c r="CB72" s="111" t="s">
        <v>2798</v>
      </c>
      <c r="CC72" s="111" t="s">
        <v>2798</v>
      </c>
      <c r="CD72" s="111" t="s">
        <v>2798</v>
      </c>
      <c r="CE72" s="111" t="s">
        <v>2780</v>
      </c>
      <c r="CF72" s="111" t="s">
        <v>2781</v>
      </c>
      <c r="CG72" s="111" t="s">
        <v>2782</v>
      </c>
      <c r="CH72" s="111" t="s">
        <v>2783</v>
      </c>
      <c r="CI72" s="111" t="s">
        <v>2798</v>
      </c>
      <c r="CJ72" s="111" t="s">
        <v>2785</v>
      </c>
      <c r="CK72" s="111" t="s">
        <v>2786</v>
      </c>
      <c r="CL72" s="111" t="s">
        <v>2787</v>
      </c>
      <c r="CM72" s="111" t="s">
        <v>2788</v>
      </c>
      <c r="CN72" s="111" t="s">
        <v>2789</v>
      </c>
      <c r="CO72" s="111" t="s">
        <v>2790</v>
      </c>
      <c r="CP72" s="111" t="s">
        <v>2791</v>
      </c>
      <c r="CQ72" s="111" t="s">
        <v>2792</v>
      </c>
    </row>
    <row r="73" spans="2:95" ht="14.25" customHeight="1">
      <c r="B73" s="106" t="s">
        <v>780</v>
      </c>
      <c r="C73" s="106" t="s">
        <v>2864</v>
      </c>
      <c r="D73" s="109">
        <v>14235.35</v>
      </c>
      <c r="E73" s="106" t="s">
        <v>2103</v>
      </c>
      <c r="F73" s="110">
        <v>36.522000000000844</v>
      </c>
      <c r="G73" s="106" t="s">
        <v>2795</v>
      </c>
      <c r="H73" s="102">
        <v>0</v>
      </c>
      <c r="I73" s="102">
        <v>0</v>
      </c>
      <c r="J73" s="111" t="s">
        <v>87</v>
      </c>
      <c r="K73" s="111" t="s">
        <v>2708</v>
      </c>
      <c r="L73" s="111" t="s">
        <v>2709</v>
      </c>
      <c r="M73" s="111" t="s">
        <v>2710</v>
      </c>
      <c r="N73" s="111" t="s">
        <v>2711</v>
      </c>
      <c r="O73" s="111" t="s">
        <v>2712</v>
      </c>
      <c r="P73" s="111" t="s">
        <v>2713</v>
      </c>
      <c r="Q73" s="111" t="s">
        <v>2714</v>
      </c>
      <c r="R73" s="111" t="s">
        <v>2715</v>
      </c>
      <c r="S73" s="111" t="s">
        <v>2716</v>
      </c>
      <c r="T73" s="111" t="s">
        <v>2717</v>
      </c>
      <c r="U73" s="111" t="s">
        <v>2718</v>
      </c>
      <c r="V73" s="111" t="s">
        <v>2719</v>
      </c>
      <c r="W73" s="111" t="s">
        <v>2798</v>
      </c>
      <c r="X73" s="111" t="s">
        <v>2798</v>
      </c>
      <c r="Y73" s="111" t="s">
        <v>2798</v>
      </c>
      <c r="Z73" s="111" t="s">
        <v>2798</v>
      </c>
      <c r="AA73" s="111" t="s">
        <v>2798</v>
      </c>
      <c r="AB73" s="111" t="s">
        <v>2798</v>
      </c>
      <c r="AC73" s="111" t="s">
        <v>2798</v>
      </c>
      <c r="AD73" s="111" t="s">
        <v>2798</v>
      </c>
      <c r="AE73" s="111" t="s">
        <v>2798</v>
      </c>
      <c r="AF73" s="111" t="s">
        <v>2798</v>
      </c>
      <c r="AG73" s="111" t="s">
        <v>2798</v>
      </c>
      <c r="AH73" s="111" t="s">
        <v>2798</v>
      </c>
      <c r="AI73" s="111" t="s">
        <v>2798</v>
      </c>
      <c r="AJ73" s="111" t="s">
        <v>2798</v>
      </c>
      <c r="AK73" s="111" t="s">
        <v>2798</v>
      </c>
      <c r="AL73" s="111" t="s">
        <v>2798</v>
      </c>
      <c r="AM73" s="111" t="s">
        <v>2798</v>
      </c>
      <c r="AN73" s="111" t="s">
        <v>2798</v>
      </c>
      <c r="AO73" s="111" t="s">
        <v>2798</v>
      </c>
      <c r="AP73" s="111" t="s">
        <v>2798</v>
      </c>
      <c r="AQ73" s="111" t="s">
        <v>2798</v>
      </c>
      <c r="AR73" s="111" t="s">
        <v>2798</v>
      </c>
      <c r="AS73" s="111" t="s">
        <v>2798</v>
      </c>
      <c r="AT73" s="111" t="s">
        <v>2798</v>
      </c>
      <c r="AU73" s="111" t="s">
        <v>2798</v>
      </c>
      <c r="AV73" s="111" t="s">
        <v>2798</v>
      </c>
      <c r="AW73" s="111" t="s">
        <v>2798</v>
      </c>
      <c r="AX73" s="111" t="s">
        <v>2798</v>
      </c>
      <c r="AY73" s="111" t="s">
        <v>2798</v>
      </c>
      <c r="AZ73" s="111" t="s">
        <v>2798</v>
      </c>
      <c r="BA73" s="111" t="s">
        <v>2798</v>
      </c>
      <c r="BB73" s="111" t="s">
        <v>2798</v>
      </c>
      <c r="BC73" s="111" t="s">
        <v>2798</v>
      </c>
      <c r="BD73" s="111" t="s">
        <v>2798</v>
      </c>
      <c r="BE73" s="111" t="s">
        <v>2798</v>
      </c>
      <c r="BF73" s="111" t="s">
        <v>2798</v>
      </c>
      <c r="BG73" s="111" t="s">
        <v>2798</v>
      </c>
      <c r="BH73" s="111" t="s">
        <v>2798</v>
      </c>
      <c r="BI73" s="111" t="s">
        <v>2798</v>
      </c>
      <c r="BJ73" s="111" t="s">
        <v>2798</v>
      </c>
      <c r="BK73" s="111" t="s">
        <v>2798</v>
      </c>
      <c r="BL73" s="111" t="s">
        <v>2798</v>
      </c>
      <c r="BM73" s="111" t="s">
        <v>2798</v>
      </c>
      <c r="BN73" s="111" t="s">
        <v>2798</v>
      </c>
      <c r="BO73" s="111" t="s">
        <v>2798</v>
      </c>
      <c r="BP73" s="111" t="s">
        <v>2798</v>
      </c>
      <c r="BQ73" s="111" t="s">
        <v>2798</v>
      </c>
      <c r="BR73" s="111" t="s">
        <v>2798</v>
      </c>
      <c r="BS73" s="111" t="s">
        <v>2798</v>
      </c>
      <c r="BT73" s="111" t="s">
        <v>2798</v>
      </c>
      <c r="BU73" s="111" t="s">
        <v>2798</v>
      </c>
      <c r="BV73" s="111" t="s">
        <v>2798</v>
      </c>
      <c r="BW73" s="111" t="s">
        <v>2798</v>
      </c>
      <c r="BX73" s="111" t="s">
        <v>2798</v>
      </c>
      <c r="BY73" s="111" t="s">
        <v>2798</v>
      </c>
      <c r="BZ73" s="111" t="s">
        <v>2798</v>
      </c>
      <c r="CA73" s="111" t="s">
        <v>2798</v>
      </c>
      <c r="CB73" s="111" t="s">
        <v>2798</v>
      </c>
      <c r="CC73" s="111" t="s">
        <v>2798</v>
      </c>
      <c r="CD73" s="111" t="s">
        <v>2798</v>
      </c>
      <c r="CE73" s="111" t="s">
        <v>2798</v>
      </c>
      <c r="CF73" s="111" t="s">
        <v>2798</v>
      </c>
      <c r="CG73" s="111" t="s">
        <v>2798</v>
      </c>
      <c r="CH73" s="111" t="s">
        <v>2798</v>
      </c>
      <c r="CI73" s="111" t="s">
        <v>2798</v>
      </c>
      <c r="CJ73" s="111" t="s">
        <v>2798</v>
      </c>
      <c r="CK73" s="111" t="s">
        <v>2798</v>
      </c>
      <c r="CL73" s="111" t="s">
        <v>2798</v>
      </c>
      <c r="CM73" s="111" t="s">
        <v>2798</v>
      </c>
      <c r="CN73" s="111" t="s">
        <v>2798</v>
      </c>
      <c r="CO73" s="111" t="s">
        <v>2798</v>
      </c>
      <c r="CP73" s="111" t="s">
        <v>2798</v>
      </c>
      <c r="CQ73" s="111" t="s">
        <v>2798</v>
      </c>
    </row>
    <row r="74" spans="2:95" ht="14.25" customHeight="1">
      <c r="B74" s="106" t="s">
        <v>781</v>
      </c>
      <c r="C74" s="106" t="s">
        <v>2865</v>
      </c>
      <c r="D74" s="109">
        <v>14273.31</v>
      </c>
      <c r="E74" s="106" t="s">
        <v>2103</v>
      </c>
      <c r="F74" s="110">
        <v>37.959999999999127</v>
      </c>
      <c r="G74" s="106" t="s">
        <v>2795</v>
      </c>
      <c r="H74" s="102">
        <v>0</v>
      </c>
      <c r="I74" s="102">
        <v>0</v>
      </c>
      <c r="J74" s="111" t="s">
        <v>2798</v>
      </c>
      <c r="K74" s="111" t="s">
        <v>2798</v>
      </c>
      <c r="L74" s="111" t="s">
        <v>2798</v>
      </c>
      <c r="M74" s="111" t="s">
        <v>2798</v>
      </c>
      <c r="N74" s="111" t="s">
        <v>2798</v>
      </c>
      <c r="O74" s="111" t="s">
        <v>2798</v>
      </c>
      <c r="P74" s="111" t="s">
        <v>2798</v>
      </c>
      <c r="Q74" s="111" t="s">
        <v>2798</v>
      </c>
      <c r="R74" s="111" t="s">
        <v>2798</v>
      </c>
      <c r="S74" s="111" t="s">
        <v>2798</v>
      </c>
      <c r="T74" s="111" t="s">
        <v>2798</v>
      </c>
      <c r="U74" s="111" t="s">
        <v>2798</v>
      </c>
      <c r="V74" s="111" t="s">
        <v>2798</v>
      </c>
      <c r="W74" s="111" t="s">
        <v>2720</v>
      </c>
      <c r="X74" s="111" t="s">
        <v>2721</v>
      </c>
      <c r="Y74" s="111" t="s">
        <v>2722</v>
      </c>
      <c r="Z74" s="111" t="s">
        <v>2723</v>
      </c>
      <c r="AA74" s="111" t="s">
        <v>2724</v>
      </c>
      <c r="AB74" s="111" t="s">
        <v>2725</v>
      </c>
      <c r="AC74" s="111" t="s">
        <v>2726</v>
      </c>
      <c r="AD74" s="111" t="s">
        <v>2798</v>
      </c>
      <c r="AE74" s="111" t="s">
        <v>2798</v>
      </c>
      <c r="AF74" s="111" t="s">
        <v>2798</v>
      </c>
      <c r="AG74" s="111" t="s">
        <v>2798</v>
      </c>
      <c r="AH74" s="111" t="s">
        <v>2798</v>
      </c>
      <c r="AI74" s="111" t="s">
        <v>2798</v>
      </c>
      <c r="AJ74" s="111" t="s">
        <v>2798</v>
      </c>
      <c r="AK74" s="111" t="s">
        <v>2798</v>
      </c>
      <c r="AL74" s="111" t="s">
        <v>2798</v>
      </c>
      <c r="AM74" s="111" t="s">
        <v>2798</v>
      </c>
      <c r="AN74" s="111" t="s">
        <v>2798</v>
      </c>
      <c r="AO74" s="111" t="s">
        <v>2798</v>
      </c>
      <c r="AP74" s="111" t="s">
        <v>2798</v>
      </c>
      <c r="AQ74" s="111" t="s">
        <v>2798</v>
      </c>
      <c r="AR74" s="111" t="s">
        <v>2798</v>
      </c>
      <c r="AS74" s="111" t="s">
        <v>2798</v>
      </c>
      <c r="AT74" s="111" t="s">
        <v>2798</v>
      </c>
      <c r="AU74" s="111" t="s">
        <v>2798</v>
      </c>
      <c r="AV74" s="111" t="s">
        <v>2798</v>
      </c>
      <c r="AW74" s="111" t="s">
        <v>2798</v>
      </c>
      <c r="AX74" s="111" t="s">
        <v>2798</v>
      </c>
      <c r="AY74" s="111" t="s">
        <v>2798</v>
      </c>
      <c r="AZ74" s="111" t="s">
        <v>2798</v>
      </c>
      <c r="BA74" s="111" t="s">
        <v>2798</v>
      </c>
      <c r="BB74" s="111" t="s">
        <v>2798</v>
      </c>
      <c r="BC74" s="111" t="s">
        <v>2798</v>
      </c>
      <c r="BD74" s="111" t="s">
        <v>2798</v>
      </c>
      <c r="BE74" s="111" t="s">
        <v>2798</v>
      </c>
      <c r="BF74" s="111" t="s">
        <v>2798</v>
      </c>
      <c r="BG74" s="111" t="s">
        <v>2798</v>
      </c>
      <c r="BH74" s="111" t="s">
        <v>2798</v>
      </c>
      <c r="BI74" s="111" t="s">
        <v>2798</v>
      </c>
      <c r="BJ74" s="111" t="s">
        <v>2798</v>
      </c>
      <c r="BK74" s="111" t="s">
        <v>2798</v>
      </c>
      <c r="BL74" s="111" t="s">
        <v>2798</v>
      </c>
      <c r="BM74" s="111" t="s">
        <v>2798</v>
      </c>
      <c r="BN74" s="111" t="s">
        <v>2798</v>
      </c>
      <c r="BO74" s="111" t="s">
        <v>2798</v>
      </c>
      <c r="BP74" s="111" t="s">
        <v>2798</v>
      </c>
      <c r="BQ74" s="111" t="s">
        <v>2798</v>
      </c>
      <c r="BR74" s="111" t="s">
        <v>2798</v>
      </c>
      <c r="BS74" s="111" t="s">
        <v>2798</v>
      </c>
      <c r="BT74" s="111" t="s">
        <v>2798</v>
      </c>
      <c r="BU74" s="111" t="s">
        <v>2798</v>
      </c>
      <c r="BV74" s="111" t="s">
        <v>2798</v>
      </c>
      <c r="BW74" s="111" t="s">
        <v>2798</v>
      </c>
      <c r="BX74" s="111" t="s">
        <v>2773</v>
      </c>
      <c r="BY74" s="111" t="s">
        <v>2774</v>
      </c>
      <c r="BZ74" s="111" t="s">
        <v>2775</v>
      </c>
      <c r="CA74" s="111" t="s">
        <v>2776</v>
      </c>
      <c r="CB74" s="111" t="s">
        <v>2777</v>
      </c>
      <c r="CC74" s="111" t="s">
        <v>2778</v>
      </c>
      <c r="CD74" s="111" t="s">
        <v>2798</v>
      </c>
      <c r="CE74" s="111" t="s">
        <v>2798</v>
      </c>
      <c r="CF74" s="111" t="s">
        <v>2798</v>
      </c>
      <c r="CG74" s="111" t="s">
        <v>2798</v>
      </c>
      <c r="CH74" s="111" t="s">
        <v>2798</v>
      </c>
      <c r="CI74" s="111" t="s">
        <v>2798</v>
      </c>
      <c r="CJ74" s="111" t="s">
        <v>2798</v>
      </c>
      <c r="CK74" s="111" t="s">
        <v>2798</v>
      </c>
      <c r="CL74" s="111" t="s">
        <v>2798</v>
      </c>
      <c r="CM74" s="111" t="s">
        <v>2798</v>
      </c>
      <c r="CN74" s="111" t="s">
        <v>2798</v>
      </c>
      <c r="CO74" s="111" t="s">
        <v>2798</v>
      </c>
      <c r="CP74" s="111" t="s">
        <v>2798</v>
      </c>
      <c r="CQ74" s="111" t="s">
        <v>2798</v>
      </c>
    </row>
    <row r="75" spans="2:95" ht="14.25" customHeight="1">
      <c r="B75" s="106" t="s">
        <v>782</v>
      </c>
      <c r="C75" s="106" t="s">
        <v>2866</v>
      </c>
      <c r="D75" s="109">
        <v>14311.27</v>
      </c>
      <c r="E75" s="106" t="s">
        <v>2103</v>
      </c>
      <c r="F75" s="110">
        <v>37.960000000000946</v>
      </c>
      <c r="G75" s="106" t="s">
        <v>2793</v>
      </c>
      <c r="H75" s="102">
        <v>0</v>
      </c>
      <c r="I75" s="102">
        <v>0</v>
      </c>
      <c r="J75" s="111" t="s">
        <v>2798</v>
      </c>
      <c r="K75" s="111" t="s">
        <v>2798</v>
      </c>
      <c r="L75" s="111" t="s">
        <v>2798</v>
      </c>
      <c r="M75" s="111" t="s">
        <v>2798</v>
      </c>
      <c r="N75" s="111" t="s">
        <v>2798</v>
      </c>
      <c r="O75" s="111" t="s">
        <v>2798</v>
      </c>
      <c r="P75" s="111" t="s">
        <v>2798</v>
      </c>
      <c r="Q75" s="111" t="s">
        <v>2798</v>
      </c>
      <c r="R75" s="111" t="s">
        <v>2798</v>
      </c>
      <c r="S75" s="111" t="s">
        <v>2798</v>
      </c>
      <c r="T75" s="111" t="s">
        <v>2798</v>
      </c>
      <c r="U75" s="111" t="s">
        <v>2798</v>
      </c>
      <c r="V75" s="111" t="s">
        <v>2798</v>
      </c>
      <c r="W75" s="111" t="s">
        <v>2798</v>
      </c>
      <c r="X75" s="111" t="s">
        <v>2798</v>
      </c>
      <c r="Y75" s="111" t="s">
        <v>2798</v>
      </c>
      <c r="Z75" s="111" t="s">
        <v>2798</v>
      </c>
      <c r="AA75" s="111" t="s">
        <v>2798</v>
      </c>
      <c r="AB75" s="111" t="s">
        <v>2798</v>
      </c>
      <c r="AC75" s="111" t="s">
        <v>2798</v>
      </c>
      <c r="AD75" s="111" t="s">
        <v>2798</v>
      </c>
      <c r="AE75" s="111" t="s">
        <v>2798</v>
      </c>
      <c r="AF75" s="111" t="s">
        <v>2798</v>
      </c>
      <c r="AG75" s="111" t="s">
        <v>2798</v>
      </c>
      <c r="AH75" s="111" t="s">
        <v>2798</v>
      </c>
      <c r="AI75" s="111" t="s">
        <v>2798</v>
      </c>
      <c r="AJ75" s="111" t="s">
        <v>2798</v>
      </c>
      <c r="AK75" s="111" t="s">
        <v>2798</v>
      </c>
      <c r="AL75" s="111" t="s">
        <v>2798</v>
      </c>
      <c r="AM75" s="111" t="s">
        <v>2798</v>
      </c>
      <c r="AN75" s="111" t="s">
        <v>2798</v>
      </c>
      <c r="AO75" s="111" t="s">
        <v>2798</v>
      </c>
      <c r="AP75" s="111" t="s">
        <v>2798</v>
      </c>
      <c r="AQ75" s="111" t="s">
        <v>2798</v>
      </c>
      <c r="AR75" s="111" t="s">
        <v>2798</v>
      </c>
      <c r="AS75" s="111" t="s">
        <v>2798</v>
      </c>
      <c r="AT75" s="111" t="s">
        <v>2798</v>
      </c>
      <c r="AU75" s="111" t="s">
        <v>2798</v>
      </c>
      <c r="AV75" s="111" t="s">
        <v>2798</v>
      </c>
      <c r="AW75" s="111" t="s">
        <v>2798</v>
      </c>
      <c r="AX75" s="111" t="s">
        <v>2798</v>
      </c>
      <c r="AY75" s="111" t="s">
        <v>2798</v>
      </c>
      <c r="AZ75" s="111" t="s">
        <v>2798</v>
      </c>
      <c r="BA75" s="111" t="s">
        <v>2798</v>
      </c>
      <c r="BB75" s="111" t="s">
        <v>2798</v>
      </c>
      <c r="BC75" s="111" t="s">
        <v>2798</v>
      </c>
      <c r="BD75" s="111" t="s">
        <v>2798</v>
      </c>
      <c r="BE75" s="111" t="s">
        <v>2798</v>
      </c>
      <c r="BF75" s="111" t="s">
        <v>2798</v>
      </c>
      <c r="BG75" s="111" t="s">
        <v>2798</v>
      </c>
      <c r="BH75" s="111" t="s">
        <v>2798</v>
      </c>
      <c r="BI75" s="111" t="s">
        <v>2798</v>
      </c>
      <c r="BJ75" s="111" t="s">
        <v>2798</v>
      </c>
      <c r="BK75" s="111" t="s">
        <v>2798</v>
      </c>
      <c r="BL75" s="111" t="s">
        <v>2798</v>
      </c>
      <c r="BM75" s="111" t="s">
        <v>2798</v>
      </c>
      <c r="BN75" s="111" t="s">
        <v>2798</v>
      </c>
      <c r="BO75" s="111" t="s">
        <v>2798</v>
      </c>
      <c r="BP75" s="111" t="s">
        <v>2798</v>
      </c>
      <c r="BQ75" s="111" t="s">
        <v>2798</v>
      </c>
      <c r="BR75" s="111" t="s">
        <v>2798</v>
      </c>
      <c r="BS75" s="111" t="s">
        <v>2798</v>
      </c>
      <c r="BT75" s="111" t="s">
        <v>2798</v>
      </c>
      <c r="BU75" s="111" t="s">
        <v>2798</v>
      </c>
      <c r="BV75" s="111" t="s">
        <v>2798</v>
      </c>
      <c r="BW75" s="111" t="s">
        <v>2798</v>
      </c>
      <c r="BX75" s="111" t="s">
        <v>2798</v>
      </c>
      <c r="BY75" s="111" t="s">
        <v>2798</v>
      </c>
      <c r="BZ75" s="111" t="s">
        <v>2798</v>
      </c>
      <c r="CA75" s="111" t="s">
        <v>2798</v>
      </c>
      <c r="CB75" s="111" t="s">
        <v>2798</v>
      </c>
      <c r="CC75" s="111" t="s">
        <v>2798</v>
      </c>
      <c r="CD75" s="111" t="s">
        <v>2779</v>
      </c>
      <c r="CE75" s="111" t="s">
        <v>2780</v>
      </c>
      <c r="CF75" s="111" t="s">
        <v>2781</v>
      </c>
      <c r="CG75" s="111" t="s">
        <v>2782</v>
      </c>
      <c r="CH75" s="111" t="s">
        <v>2783</v>
      </c>
      <c r="CI75" s="111" t="s">
        <v>2798</v>
      </c>
      <c r="CJ75" s="111" t="s">
        <v>2785</v>
      </c>
      <c r="CK75" s="111" t="s">
        <v>2786</v>
      </c>
      <c r="CL75" s="111" t="s">
        <v>2787</v>
      </c>
      <c r="CM75" s="111" t="s">
        <v>2788</v>
      </c>
      <c r="CN75" s="111" t="s">
        <v>2789</v>
      </c>
      <c r="CO75" s="111" t="s">
        <v>2790</v>
      </c>
      <c r="CP75" s="111" t="s">
        <v>2791</v>
      </c>
      <c r="CQ75" s="111" t="s">
        <v>2792</v>
      </c>
    </row>
    <row r="76" spans="2:95" ht="14.25" customHeight="1">
      <c r="B76" s="106" t="s">
        <v>783</v>
      </c>
      <c r="C76" s="106" t="s">
        <v>2867</v>
      </c>
      <c r="D76" s="109">
        <v>14349.23</v>
      </c>
      <c r="E76" s="106" t="s">
        <v>2112</v>
      </c>
      <c r="F76" s="110">
        <v>37.959999999999127</v>
      </c>
      <c r="G76" s="106" t="s">
        <v>2795</v>
      </c>
      <c r="H76" s="102">
        <v>0</v>
      </c>
      <c r="I76" s="102">
        <v>0</v>
      </c>
      <c r="J76" s="111" t="s">
        <v>87</v>
      </c>
      <c r="K76" s="111" t="s">
        <v>2708</v>
      </c>
      <c r="L76" s="111" t="s">
        <v>2709</v>
      </c>
      <c r="M76" s="111" t="s">
        <v>2710</v>
      </c>
      <c r="N76" s="111" t="s">
        <v>2711</v>
      </c>
      <c r="O76" s="111" t="s">
        <v>2712</v>
      </c>
      <c r="P76" s="111" t="s">
        <v>2713</v>
      </c>
      <c r="Q76" s="111" t="s">
        <v>2714</v>
      </c>
      <c r="R76" s="111" t="s">
        <v>2715</v>
      </c>
      <c r="S76" s="111" t="s">
        <v>2716</v>
      </c>
      <c r="T76" s="111" t="s">
        <v>2717</v>
      </c>
      <c r="U76" s="111" t="s">
        <v>2718</v>
      </c>
      <c r="V76" s="111" t="s">
        <v>2719</v>
      </c>
      <c r="W76" s="111" t="s">
        <v>2798</v>
      </c>
      <c r="X76" s="111" t="s">
        <v>2798</v>
      </c>
      <c r="Y76" s="111" t="s">
        <v>2798</v>
      </c>
      <c r="Z76" s="111" t="s">
        <v>2798</v>
      </c>
      <c r="AA76" s="111" t="s">
        <v>2798</v>
      </c>
      <c r="AB76" s="111" t="s">
        <v>2798</v>
      </c>
      <c r="AC76" s="111" t="s">
        <v>2798</v>
      </c>
      <c r="AD76" s="111" t="s">
        <v>2798</v>
      </c>
      <c r="AE76" s="111" t="s">
        <v>2798</v>
      </c>
      <c r="AF76" s="111" t="s">
        <v>2798</v>
      </c>
      <c r="AG76" s="111" t="s">
        <v>2798</v>
      </c>
      <c r="AH76" s="111" t="s">
        <v>2798</v>
      </c>
      <c r="AI76" s="111" t="s">
        <v>2798</v>
      </c>
      <c r="AJ76" s="111" t="s">
        <v>2798</v>
      </c>
      <c r="AK76" s="111" t="s">
        <v>2798</v>
      </c>
      <c r="AL76" s="111" t="s">
        <v>2798</v>
      </c>
      <c r="AM76" s="111" t="s">
        <v>2798</v>
      </c>
      <c r="AN76" s="111" t="s">
        <v>2798</v>
      </c>
      <c r="AO76" s="111" t="s">
        <v>2798</v>
      </c>
      <c r="AP76" s="111" t="s">
        <v>2798</v>
      </c>
      <c r="AQ76" s="111" t="s">
        <v>2798</v>
      </c>
      <c r="AR76" s="111" t="s">
        <v>2798</v>
      </c>
      <c r="AS76" s="111" t="s">
        <v>2798</v>
      </c>
      <c r="AT76" s="111" t="s">
        <v>2798</v>
      </c>
      <c r="AU76" s="111" t="s">
        <v>2798</v>
      </c>
      <c r="AV76" s="111" t="s">
        <v>2798</v>
      </c>
      <c r="AW76" s="111" t="s">
        <v>2798</v>
      </c>
      <c r="AX76" s="111" t="s">
        <v>2798</v>
      </c>
      <c r="AY76" s="111" t="s">
        <v>2798</v>
      </c>
      <c r="AZ76" s="111" t="s">
        <v>2798</v>
      </c>
      <c r="BA76" s="111" t="s">
        <v>2798</v>
      </c>
      <c r="BB76" s="111" t="s">
        <v>2798</v>
      </c>
      <c r="BC76" s="111" t="s">
        <v>2798</v>
      </c>
      <c r="BD76" s="111" t="s">
        <v>2798</v>
      </c>
      <c r="BE76" s="111" t="s">
        <v>2798</v>
      </c>
      <c r="BF76" s="111" t="s">
        <v>2798</v>
      </c>
      <c r="BG76" s="111" t="s">
        <v>2798</v>
      </c>
      <c r="BH76" s="111" t="s">
        <v>2798</v>
      </c>
      <c r="BI76" s="111" t="s">
        <v>2798</v>
      </c>
      <c r="BJ76" s="111" t="s">
        <v>2798</v>
      </c>
      <c r="BK76" s="111" t="s">
        <v>2798</v>
      </c>
      <c r="BL76" s="111" t="s">
        <v>2798</v>
      </c>
      <c r="BM76" s="111" t="s">
        <v>2798</v>
      </c>
      <c r="BN76" s="111" t="s">
        <v>2798</v>
      </c>
      <c r="BO76" s="111" t="s">
        <v>2798</v>
      </c>
      <c r="BP76" s="111" t="s">
        <v>2798</v>
      </c>
      <c r="BQ76" s="111" t="s">
        <v>2798</v>
      </c>
      <c r="BR76" s="111" t="s">
        <v>2798</v>
      </c>
      <c r="BS76" s="111" t="s">
        <v>2798</v>
      </c>
      <c r="BT76" s="111" t="s">
        <v>2798</v>
      </c>
      <c r="BU76" s="111" t="s">
        <v>2798</v>
      </c>
      <c r="BV76" s="111" t="s">
        <v>2798</v>
      </c>
      <c r="BW76" s="111" t="s">
        <v>2798</v>
      </c>
      <c r="BX76" s="111" t="s">
        <v>2798</v>
      </c>
      <c r="BY76" s="111" t="s">
        <v>2798</v>
      </c>
      <c r="BZ76" s="111" t="s">
        <v>2798</v>
      </c>
      <c r="CA76" s="111" t="s">
        <v>2798</v>
      </c>
      <c r="CB76" s="111" t="s">
        <v>2798</v>
      </c>
      <c r="CC76" s="111" t="s">
        <v>2798</v>
      </c>
      <c r="CD76" s="111" t="s">
        <v>2798</v>
      </c>
      <c r="CE76" s="111" t="s">
        <v>2798</v>
      </c>
      <c r="CF76" s="111" t="s">
        <v>2798</v>
      </c>
      <c r="CG76" s="111" t="s">
        <v>2798</v>
      </c>
      <c r="CH76" s="111" t="s">
        <v>2798</v>
      </c>
      <c r="CI76" s="111" t="s">
        <v>2798</v>
      </c>
      <c r="CJ76" s="111" t="s">
        <v>2798</v>
      </c>
      <c r="CK76" s="111" t="s">
        <v>2798</v>
      </c>
      <c r="CL76" s="111" t="s">
        <v>2798</v>
      </c>
      <c r="CM76" s="111" t="s">
        <v>2798</v>
      </c>
      <c r="CN76" s="111" t="s">
        <v>2798</v>
      </c>
      <c r="CO76" s="111" t="s">
        <v>2798</v>
      </c>
      <c r="CP76" s="111" t="s">
        <v>2798</v>
      </c>
      <c r="CQ76" s="111" t="s">
        <v>2798</v>
      </c>
    </row>
    <row r="77" spans="2:95" ht="14.25" customHeight="1">
      <c r="B77" s="106" t="s">
        <v>784</v>
      </c>
      <c r="C77" s="106" t="s">
        <v>2868</v>
      </c>
      <c r="D77" s="109">
        <v>14387.19</v>
      </c>
      <c r="E77" s="106" t="s">
        <v>2112</v>
      </c>
      <c r="F77" s="110">
        <v>37.960000000000946</v>
      </c>
      <c r="G77" s="106" t="s">
        <v>2795</v>
      </c>
      <c r="H77" s="102">
        <v>0</v>
      </c>
      <c r="I77" s="102">
        <v>0</v>
      </c>
      <c r="J77" s="111" t="s">
        <v>2798</v>
      </c>
      <c r="K77" s="111" t="s">
        <v>2798</v>
      </c>
      <c r="L77" s="111" t="s">
        <v>2798</v>
      </c>
      <c r="M77" s="111" t="s">
        <v>2798</v>
      </c>
      <c r="N77" s="111" t="s">
        <v>2798</v>
      </c>
      <c r="O77" s="111" t="s">
        <v>2798</v>
      </c>
      <c r="P77" s="111" t="s">
        <v>2798</v>
      </c>
      <c r="Q77" s="111" t="s">
        <v>2798</v>
      </c>
      <c r="R77" s="111" t="s">
        <v>2798</v>
      </c>
      <c r="S77" s="111" t="s">
        <v>2798</v>
      </c>
      <c r="T77" s="111" t="s">
        <v>2798</v>
      </c>
      <c r="U77" s="111" t="s">
        <v>2798</v>
      </c>
      <c r="V77" s="111" t="s">
        <v>2798</v>
      </c>
      <c r="W77" s="111" t="s">
        <v>2720</v>
      </c>
      <c r="X77" s="111" t="s">
        <v>2721</v>
      </c>
      <c r="Y77" s="111" t="s">
        <v>2722</v>
      </c>
      <c r="Z77" s="111" t="s">
        <v>2723</v>
      </c>
      <c r="AA77" s="111" t="s">
        <v>2724</v>
      </c>
      <c r="AB77" s="111" t="s">
        <v>2725</v>
      </c>
      <c r="AC77" s="111" t="s">
        <v>2726</v>
      </c>
      <c r="AD77" s="111" t="s">
        <v>2798</v>
      </c>
      <c r="AE77" s="111" t="s">
        <v>2798</v>
      </c>
      <c r="AF77" s="111" t="s">
        <v>2798</v>
      </c>
      <c r="AG77" s="111" t="s">
        <v>2798</v>
      </c>
      <c r="AH77" s="111" t="s">
        <v>2798</v>
      </c>
      <c r="AI77" s="111" t="s">
        <v>2798</v>
      </c>
      <c r="AJ77" s="111" t="s">
        <v>2798</v>
      </c>
      <c r="AK77" s="111" t="s">
        <v>2798</v>
      </c>
      <c r="AL77" s="111" t="s">
        <v>2798</v>
      </c>
      <c r="AM77" s="111" t="s">
        <v>2798</v>
      </c>
      <c r="AN77" s="111" t="s">
        <v>2798</v>
      </c>
      <c r="AO77" s="111" t="s">
        <v>2798</v>
      </c>
      <c r="AP77" s="111" t="s">
        <v>2798</v>
      </c>
      <c r="AQ77" s="111" t="s">
        <v>2798</v>
      </c>
      <c r="AR77" s="111" t="s">
        <v>2798</v>
      </c>
      <c r="AS77" s="111" t="s">
        <v>2798</v>
      </c>
      <c r="AT77" s="111" t="s">
        <v>2798</v>
      </c>
      <c r="AU77" s="111" t="s">
        <v>2798</v>
      </c>
      <c r="AV77" s="111" t="s">
        <v>2798</v>
      </c>
      <c r="AW77" s="111" t="s">
        <v>2798</v>
      </c>
      <c r="AX77" s="111" t="s">
        <v>2798</v>
      </c>
      <c r="AY77" s="111" t="s">
        <v>2798</v>
      </c>
      <c r="AZ77" s="111" t="s">
        <v>2798</v>
      </c>
      <c r="BA77" s="111" t="s">
        <v>2798</v>
      </c>
      <c r="BB77" s="111" t="s">
        <v>2798</v>
      </c>
      <c r="BC77" s="111" t="s">
        <v>2798</v>
      </c>
      <c r="BD77" s="111" t="s">
        <v>2798</v>
      </c>
      <c r="BE77" s="111" t="s">
        <v>2798</v>
      </c>
      <c r="BF77" s="111" t="s">
        <v>2798</v>
      </c>
      <c r="BG77" s="111" t="s">
        <v>2798</v>
      </c>
      <c r="BH77" s="111" t="s">
        <v>2798</v>
      </c>
      <c r="BI77" s="111" t="s">
        <v>2798</v>
      </c>
      <c r="BJ77" s="111" t="s">
        <v>2798</v>
      </c>
      <c r="BK77" s="111" t="s">
        <v>2798</v>
      </c>
      <c r="BL77" s="111" t="s">
        <v>2798</v>
      </c>
      <c r="BM77" s="111" t="s">
        <v>2798</v>
      </c>
      <c r="BN77" s="111" t="s">
        <v>2798</v>
      </c>
      <c r="BO77" s="111" t="s">
        <v>2798</v>
      </c>
      <c r="BP77" s="111" t="s">
        <v>2798</v>
      </c>
      <c r="BQ77" s="111" t="s">
        <v>2798</v>
      </c>
      <c r="BR77" s="111" t="s">
        <v>2798</v>
      </c>
      <c r="BS77" s="111" t="s">
        <v>2798</v>
      </c>
      <c r="BT77" s="111" t="s">
        <v>2798</v>
      </c>
      <c r="BU77" s="111" t="s">
        <v>2798</v>
      </c>
      <c r="BV77" s="111" t="s">
        <v>2798</v>
      </c>
      <c r="BW77" s="111" t="s">
        <v>2798</v>
      </c>
      <c r="BX77" s="111" t="s">
        <v>2773</v>
      </c>
      <c r="BY77" s="111" t="s">
        <v>2774</v>
      </c>
      <c r="BZ77" s="111" t="s">
        <v>2775</v>
      </c>
      <c r="CA77" s="111" t="s">
        <v>2776</v>
      </c>
      <c r="CB77" s="111" t="s">
        <v>2777</v>
      </c>
      <c r="CC77" s="111" t="s">
        <v>2778</v>
      </c>
      <c r="CD77" s="111" t="s">
        <v>2798</v>
      </c>
      <c r="CE77" s="111" t="s">
        <v>2798</v>
      </c>
      <c r="CF77" s="111" t="s">
        <v>2798</v>
      </c>
      <c r="CG77" s="111" t="s">
        <v>2798</v>
      </c>
      <c r="CH77" s="111" t="s">
        <v>2798</v>
      </c>
      <c r="CI77" s="111" t="s">
        <v>2798</v>
      </c>
      <c r="CJ77" s="111" t="s">
        <v>2798</v>
      </c>
      <c r="CK77" s="111" t="s">
        <v>2798</v>
      </c>
      <c r="CL77" s="111" t="s">
        <v>2798</v>
      </c>
      <c r="CM77" s="111" t="s">
        <v>2798</v>
      </c>
      <c r="CN77" s="111" t="s">
        <v>2798</v>
      </c>
      <c r="CO77" s="111" t="s">
        <v>2798</v>
      </c>
      <c r="CP77" s="111" t="s">
        <v>2798</v>
      </c>
      <c r="CQ77" s="111" t="s">
        <v>2798</v>
      </c>
    </row>
    <row r="78" spans="2:95" ht="14.25" customHeight="1">
      <c r="B78" s="106" t="s">
        <v>785</v>
      </c>
      <c r="C78" s="106" t="s">
        <v>2869</v>
      </c>
      <c r="D78" s="109">
        <v>14425.15</v>
      </c>
      <c r="E78" s="106" t="s">
        <v>2112</v>
      </c>
      <c r="F78" s="110">
        <v>37.959999999999127</v>
      </c>
      <c r="G78" s="106" t="s">
        <v>2793</v>
      </c>
      <c r="H78" s="102">
        <v>0</v>
      </c>
      <c r="I78" s="102">
        <v>0</v>
      </c>
      <c r="J78" s="111" t="s">
        <v>2798</v>
      </c>
      <c r="K78" s="111" t="s">
        <v>2798</v>
      </c>
      <c r="L78" s="111" t="s">
        <v>2798</v>
      </c>
      <c r="M78" s="111" t="s">
        <v>2798</v>
      </c>
      <c r="N78" s="111" t="s">
        <v>2798</v>
      </c>
      <c r="O78" s="111" t="s">
        <v>2798</v>
      </c>
      <c r="P78" s="111" t="s">
        <v>2798</v>
      </c>
      <c r="Q78" s="111" t="s">
        <v>2798</v>
      </c>
      <c r="R78" s="111" t="s">
        <v>2798</v>
      </c>
      <c r="S78" s="111" t="s">
        <v>2798</v>
      </c>
      <c r="T78" s="111" t="s">
        <v>2798</v>
      </c>
      <c r="U78" s="111" t="s">
        <v>2798</v>
      </c>
      <c r="V78" s="111" t="s">
        <v>2798</v>
      </c>
      <c r="W78" s="111" t="s">
        <v>2798</v>
      </c>
      <c r="X78" s="111" t="s">
        <v>2798</v>
      </c>
      <c r="Y78" s="111" t="s">
        <v>2798</v>
      </c>
      <c r="Z78" s="111" t="s">
        <v>2798</v>
      </c>
      <c r="AA78" s="111" t="s">
        <v>2798</v>
      </c>
      <c r="AB78" s="111" t="s">
        <v>2798</v>
      </c>
      <c r="AC78" s="111" t="s">
        <v>2798</v>
      </c>
      <c r="AD78" s="111" t="s">
        <v>2798</v>
      </c>
      <c r="AE78" s="111" t="s">
        <v>2798</v>
      </c>
      <c r="AF78" s="111" t="s">
        <v>2798</v>
      </c>
      <c r="AG78" s="111" t="s">
        <v>2798</v>
      </c>
      <c r="AH78" s="111" t="s">
        <v>2798</v>
      </c>
      <c r="AI78" s="111" t="s">
        <v>2798</v>
      </c>
      <c r="AJ78" s="111" t="s">
        <v>2798</v>
      </c>
      <c r="AK78" s="111" t="s">
        <v>2798</v>
      </c>
      <c r="AL78" s="111" t="s">
        <v>2798</v>
      </c>
      <c r="AM78" s="111" t="s">
        <v>2798</v>
      </c>
      <c r="AN78" s="111" t="s">
        <v>2798</v>
      </c>
      <c r="AO78" s="111" t="s">
        <v>2798</v>
      </c>
      <c r="AP78" s="111" t="s">
        <v>2798</v>
      </c>
      <c r="AQ78" s="111" t="s">
        <v>2798</v>
      </c>
      <c r="AR78" s="111" t="s">
        <v>2798</v>
      </c>
      <c r="AS78" s="111" t="s">
        <v>2798</v>
      </c>
      <c r="AT78" s="111" t="s">
        <v>2798</v>
      </c>
      <c r="AU78" s="111" t="s">
        <v>2798</v>
      </c>
      <c r="AV78" s="111" t="s">
        <v>2798</v>
      </c>
      <c r="AW78" s="111" t="s">
        <v>2798</v>
      </c>
      <c r="AX78" s="111" t="s">
        <v>2798</v>
      </c>
      <c r="AY78" s="111" t="s">
        <v>2798</v>
      </c>
      <c r="AZ78" s="111" t="s">
        <v>2798</v>
      </c>
      <c r="BA78" s="111" t="s">
        <v>2798</v>
      </c>
      <c r="BB78" s="111" t="s">
        <v>2798</v>
      </c>
      <c r="BC78" s="111" t="s">
        <v>2798</v>
      </c>
      <c r="BD78" s="111" t="s">
        <v>2798</v>
      </c>
      <c r="BE78" s="111" t="s">
        <v>2798</v>
      </c>
      <c r="BF78" s="111" t="s">
        <v>2798</v>
      </c>
      <c r="BG78" s="111" t="s">
        <v>2798</v>
      </c>
      <c r="BH78" s="111" t="s">
        <v>2798</v>
      </c>
      <c r="BI78" s="111" t="s">
        <v>2798</v>
      </c>
      <c r="BJ78" s="111" t="s">
        <v>2798</v>
      </c>
      <c r="BK78" s="111" t="s">
        <v>2798</v>
      </c>
      <c r="BL78" s="111" t="s">
        <v>2798</v>
      </c>
      <c r="BM78" s="111" t="s">
        <v>2798</v>
      </c>
      <c r="BN78" s="111" t="s">
        <v>2798</v>
      </c>
      <c r="BO78" s="111" t="s">
        <v>2798</v>
      </c>
      <c r="BP78" s="111" t="s">
        <v>2798</v>
      </c>
      <c r="BQ78" s="111" t="s">
        <v>2798</v>
      </c>
      <c r="BR78" s="111" t="s">
        <v>2798</v>
      </c>
      <c r="BS78" s="111" t="s">
        <v>2798</v>
      </c>
      <c r="BT78" s="111" t="s">
        <v>2798</v>
      </c>
      <c r="BU78" s="111" t="s">
        <v>2798</v>
      </c>
      <c r="BV78" s="111" t="s">
        <v>2798</v>
      </c>
      <c r="BW78" s="111" t="s">
        <v>2798</v>
      </c>
      <c r="BX78" s="111" t="s">
        <v>2798</v>
      </c>
      <c r="BY78" s="111" t="s">
        <v>2798</v>
      </c>
      <c r="BZ78" s="111" t="s">
        <v>2798</v>
      </c>
      <c r="CA78" s="111" t="s">
        <v>2798</v>
      </c>
      <c r="CB78" s="111" t="s">
        <v>2798</v>
      </c>
      <c r="CC78" s="111" t="s">
        <v>2798</v>
      </c>
      <c r="CD78" s="111" t="s">
        <v>2779</v>
      </c>
      <c r="CE78" s="111" t="s">
        <v>2780</v>
      </c>
      <c r="CF78" s="111" t="s">
        <v>2781</v>
      </c>
      <c r="CG78" s="111" t="s">
        <v>2782</v>
      </c>
      <c r="CH78" s="111" t="s">
        <v>2783</v>
      </c>
      <c r="CI78" s="111" t="s">
        <v>2798</v>
      </c>
      <c r="CJ78" s="111" t="s">
        <v>2785</v>
      </c>
      <c r="CK78" s="111" t="s">
        <v>2786</v>
      </c>
      <c r="CL78" s="111" t="s">
        <v>2787</v>
      </c>
      <c r="CM78" s="111" t="s">
        <v>2788</v>
      </c>
      <c r="CN78" s="111" t="s">
        <v>2789</v>
      </c>
      <c r="CO78" s="111" t="s">
        <v>2790</v>
      </c>
      <c r="CP78" s="111" t="s">
        <v>2791</v>
      </c>
      <c r="CQ78" s="111" t="s">
        <v>2792</v>
      </c>
    </row>
    <row r="79" spans="2:95" ht="14.25" customHeight="1">
      <c r="B79" s="106" t="s">
        <v>786</v>
      </c>
      <c r="C79" s="106" t="s">
        <v>2870</v>
      </c>
      <c r="D79" s="109">
        <v>14475.15</v>
      </c>
      <c r="E79" s="106" t="s">
        <v>2137</v>
      </c>
      <c r="F79" s="110">
        <v>50</v>
      </c>
      <c r="G79" s="106" t="s">
        <v>2795</v>
      </c>
      <c r="H79" s="102">
        <v>0</v>
      </c>
      <c r="I79" s="102">
        <v>0</v>
      </c>
      <c r="J79" s="111" t="s">
        <v>87</v>
      </c>
      <c r="K79" s="111" t="s">
        <v>2708</v>
      </c>
      <c r="L79" s="111" t="s">
        <v>2709</v>
      </c>
      <c r="M79" s="111" t="s">
        <v>2710</v>
      </c>
      <c r="N79" s="111" t="s">
        <v>2711</v>
      </c>
      <c r="O79" s="111" t="s">
        <v>2712</v>
      </c>
      <c r="P79" s="111" t="s">
        <v>2713</v>
      </c>
      <c r="Q79" s="111" t="s">
        <v>2714</v>
      </c>
      <c r="R79" s="111" t="s">
        <v>2715</v>
      </c>
      <c r="S79" s="111" t="s">
        <v>2716</v>
      </c>
      <c r="T79" s="111" t="s">
        <v>2717</v>
      </c>
      <c r="U79" s="111" t="s">
        <v>2718</v>
      </c>
      <c r="V79" s="111" t="s">
        <v>2719</v>
      </c>
      <c r="W79" s="111" t="s">
        <v>2720</v>
      </c>
      <c r="X79" s="111" t="s">
        <v>2721</v>
      </c>
      <c r="Y79" s="111" t="s">
        <v>2722</v>
      </c>
      <c r="Z79" s="111" t="s">
        <v>2723</v>
      </c>
      <c r="AA79" s="111" t="s">
        <v>2798</v>
      </c>
      <c r="AB79" s="111" t="s">
        <v>2798</v>
      </c>
      <c r="AC79" s="111" t="s">
        <v>2798</v>
      </c>
      <c r="AD79" s="111" t="s">
        <v>2798</v>
      </c>
      <c r="AE79" s="111" t="s">
        <v>2798</v>
      </c>
      <c r="AF79" s="111" t="s">
        <v>2798</v>
      </c>
      <c r="AG79" s="111" t="s">
        <v>2798</v>
      </c>
      <c r="AH79" s="111" t="s">
        <v>2798</v>
      </c>
      <c r="AI79" s="111" t="s">
        <v>2798</v>
      </c>
      <c r="AJ79" s="111" t="s">
        <v>2798</v>
      </c>
      <c r="AK79" s="111" t="s">
        <v>2798</v>
      </c>
      <c r="AL79" s="111" t="s">
        <v>2798</v>
      </c>
      <c r="AM79" s="111" t="s">
        <v>2798</v>
      </c>
      <c r="AN79" s="111" t="s">
        <v>2798</v>
      </c>
      <c r="AO79" s="111" t="s">
        <v>2798</v>
      </c>
      <c r="AP79" s="111" t="s">
        <v>2798</v>
      </c>
      <c r="AQ79" s="111" t="s">
        <v>2798</v>
      </c>
      <c r="AR79" s="111" t="s">
        <v>2798</v>
      </c>
      <c r="AS79" s="111" t="s">
        <v>2798</v>
      </c>
      <c r="AT79" s="111" t="s">
        <v>2798</v>
      </c>
      <c r="AU79" s="111" t="s">
        <v>2798</v>
      </c>
      <c r="AV79" s="111" t="s">
        <v>2798</v>
      </c>
      <c r="AW79" s="111" t="s">
        <v>2798</v>
      </c>
      <c r="AX79" s="111" t="s">
        <v>2798</v>
      </c>
      <c r="AY79" s="111" t="s">
        <v>2798</v>
      </c>
      <c r="AZ79" s="111" t="s">
        <v>2798</v>
      </c>
      <c r="BA79" s="111" t="s">
        <v>2798</v>
      </c>
      <c r="BB79" s="111" t="s">
        <v>2798</v>
      </c>
      <c r="BC79" s="111" t="s">
        <v>2798</v>
      </c>
      <c r="BD79" s="111" t="s">
        <v>2798</v>
      </c>
      <c r="BE79" s="111" t="s">
        <v>2798</v>
      </c>
      <c r="BF79" s="111" t="s">
        <v>2798</v>
      </c>
      <c r="BG79" s="111" t="s">
        <v>2798</v>
      </c>
      <c r="BH79" s="111" t="s">
        <v>2798</v>
      </c>
      <c r="BI79" s="111" t="s">
        <v>2798</v>
      </c>
      <c r="BJ79" s="111" t="s">
        <v>2798</v>
      </c>
      <c r="BK79" s="111" t="s">
        <v>2798</v>
      </c>
      <c r="BL79" s="111" t="s">
        <v>2798</v>
      </c>
      <c r="BM79" s="111" t="s">
        <v>2798</v>
      </c>
      <c r="BN79" s="111" t="s">
        <v>2798</v>
      </c>
      <c r="BO79" s="111" t="s">
        <v>2798</v>
      </c>
      <c r="BP79" s="111" t="s">
        <v>2798</v>
      </c>
      <c r="BQ79" s="111" t="s">
        <v>2798</v>
      </c>
      <c r="BR79" s="111" t="s">
        <v>2798</v>
      </c>
      <c r="BS79" s="111" t="s">
        <v>2798</v>
      </c>
      <c r="BT79" s="111" t="s">
        <v>2798</v>
      </c>
      <c r="BU79" s="111" t="s">
        <v>2798</v>
      </c>
      <c r="BV79" s="111" t="s">
        <v>2798</v>
      </c>
      <c r="BW79" s="111" t="s">
        <v>2798</v>
      </c>
      <c r="BX79" s="111" t="s">
        <v>2798</v>
      </c>
      <c r="BY79" s="111" t="s">
        <v>2798</v>
      </c>
      <c r="BZ79" s="111" t="s">
        <v>2798</v>
      </c>
      <c r="CA79" s="111" t="s">
        <v>2798</v>
      </c>
      <c r="CB79" s="111" t="s">
        <v>2798</v>
      </c>
      <c r="CC79" s="111" t="s">
        <v>2798</v>
      </c>
      <c r="CD79" s="111" t="s">
        <v>2798</v>
      </c>
      <c r="CE79" s="111" t="s">
        <v>2798</v>
      </c>
      <c r="CF79" s="111" t="s">
        <v>2798</v>
      </c>
      <c r="CG79" s="111" t="s">
        <v>2798</v>
      </c>
      <c r="CH79" s="111" t="s">
        <v>2798</v>
      </c>
      <c r="CI79" s="111" t="s">
        <v>2798</v>
      </c>
      <c r="CJ79" s="111" t="s">
        <v>2798</v>
      </c>
      <c r="CK79" s="111" t="s">
        <v>2798</v>
      </c>
      <c r="CL79" s="111" t="s">
        <v>2798</v>
      </c>
      <c r="CM79" s="111" t="s">
        <v>2798</v>
      </c>
      <c r="CN79" s="111" t="s">
        <v>2798</v>
      </c>
      <c r="CO79" s="111" t="s">
        <v>2798</v>
      </c>
      <c r="CP79" s="111" t="s">
        <v>2798</v>
      </c>
      <c r="CQ79" s="111" t="s">
        <v>2798</v>
      </c>
    </row>
    <row r="80" spans="2:95" ht="14.25" customHeight="1">
      <c r="B80" s="106" t="s">
        <v>787</v>
      </c>
      <c r="C80" s="106" t="s">
        <v>2871</v>
      </c>
      <c r="D80" s="109">
        <v>14525.15</v>
      </c>
      <c r="E80" s="106" t="s">
        <v>2137</v>
      </c>
      <c r="F80" s="110">
        <v>50</v>
      </c>
      <c r="G80" s="106" t="s">
        <v>2795</v>
      </c>
      <c r="H80" s="102">
        <v>0</v>
      </c>
      <c r="I80" s="102">
        <v>0</v>
      </c>
      <c r="J80" s="111" t="s">
        <v>2798</v>
      </c>
      <c r="K80" s="111" t="s">
        <v>2798</v>
      </c>
      <c r="L80" s="111" t="s">
        <v>2798</v>
      </c>
      <c r="M80" s="111" t="s">
        <v>2798</v>
      </c>
      <c r="N80" s="111" t="s">
        <v>2798</v>
      </c>
      <c r="O80" s="111" t="s">
        <v>2798</v>
      </c>
      <c r="P80" s="111" t="s">
        <v>2798</v>
      </c>
      <c r="Q80" s="111" t="s">
        <v>2798</v>
      </c>
      <c r="R80" s="111" t="s">
        <v>2798</v>
      </c>
      <c r="S80" s="111" t="s">
        <v>2798</v>
      </c>
      <c r="T80" s="111" t="s">
        <v>2798</v>
      </c>
      <c r="U80" s="111" t="s">
        <v>2798</v>
      </c>
      <c r="V80" s="111" t="s">
        <v>2798</v>
      </c>
      <c r="W80" s="111" t="s">
        <v>2798</v>
      </c>
      <c r="X80" s="111" t="s">
        <v>2798</v>
      </c>
      <c r="Y80" s="111" t="s">
        <v>2798</v>
      </c>
      <c r="Z80" s="111" t="s">
        <v>2798</v>
      </c>
      <c r="AA80" s="111" t="s">
        <v>2724</v>
      </c>
      <c r="AB80" s="111" t="s">
        <v>2725</v>
      </c>
      <c r="AC80" s="111" t="s">
        <v>2726</v>
      </c>
      <c r="AD80" s="111" t="s">
        <v>2727</v>
      </c>
      <c r="AE80" s="111" t="s">
        <v>2728</v>
      </c>
      <c r="AF80" s="111" t="s">
        <v>2729</v>
      </c>
      <c r="AG80" s="111" t="s">
        <v>2730</v>
      </c>
      <c r="AH80" s="111" t="s">
        <v>2731</v>
      </c>
      <c r="AI80" s="111" t="s">
        <v>2732</v>
      </c>
      <c r="AJ80" s="111" t="s">
        <v>2798</v>
      </c>
      <c r="AK80" s="111" t="s">
        <v>2798</v>
      </c>
      <c r="AL80" s="111" t="s">
        <v>2798</v>
      </c>
      <c r="AM80" s="111" t="s">
        <v>2798</v>
      </c>
      <c r="AN80" s="111" t="s">
        <v>2798</v>
      </c>
      <c r="AO80" s="111" t="s">
        <v>2798</v>
      </c>
      <c r="AP80" s="111" t="s">
        <v>2798</v>
      </c>
      <c r="AQ80" s="111" t="s">
        <v>2798</v>
      </c>
      <c r="AR80" s="111" t="s">
        <v>2798</v>
      </c>
      <c r="AS80" s="111" t="s">
        <v>2798</v>
      </c>
      <c r="AT80" s="111" t="s">
        <v>2798</v>
      </c>
      <c r="AU80" s="111" t="s">
        <v>2798</v>
      </c>
      <c r="AV80" s="111" t="s">
        <v>2798</v>
      </c>
      <c r="AW80" s="111" t="s">
        <v>2798</v>
      </c>
      <c r="AX80" s="111" t="s">
        <v>2798</v>
      </c>
      <c r="AY80" s="111" t="s">
        <v>2798</v>
      </c>
      <c r="AZ80" s="111" t="s">
        <v>2798</v>
      </c>
      <c r="BA80" s="111" t="s">
        <v>2798</v>
      </c>
      <c r="BB80" s="111" t="s">
        <v>2798</v>
      </c>
      <c r="BC80" s="111" t="s">
        <v>2798</v>
      </c>
      <c r="BD80" s="111" t="s">
        <v>2798</v>
      </c>
      <c r="BE80" s="111" t="s">
        <v>2798</v>
      </c>
      <c r="BF80" s="111" t="s">
        <v>2798</v>
      </c>
      <c r="BG80" s="111" t="s">
        <v>2798</v>
      </c>
      <c r="BH80" s="111" t="s">
        <v>2798</v>
      </c>
      <c r="BI80" s="111" t="s">
        <v>2798</v>
      </c>
      <c r="BJ80" s="111" t="s">
        <v>2798</v>
      </c>
      <c r="BK80" s="111" t="s">
        <v>2798</v>
      </c>
      <c r="BL80" s="111" t="s">
        <v>2798</v>
      </c>
      <c r="BM80" s="111" t="s">
        <v>2798</v>
      </c>
      <c r="BN80" s="111" t="s">
        <v>2798</v>
      </c>
      <c r="BO80" s="111" t="s">
        <v>2798</v>
      </c>
      <c r="BP80" s="111" t="s">
        <v>2798</v>
      </c>
      <c r="BQ80" s="111" t="s">
        <v>2798</v>
      </c>
      <c r="BR80" s="111" t="s">
        <v>2767</v>
      </c>
      <c r="BS80" s="111" t="s">
        <v>2768</v>
      </c>
      <c r="BT80" s="111" t="s">
        <v>2769</v>
      </c>
      <c r="BU80" s="111" t="s">
        <v>2770</v>
      </c>
      <c r="BV80" s="111" t="s">
        <v>2771</v>
      </c>
      <c r="BW80" s="111" t="s">
        <v>2772</v>
      </c>
      <c r="BX80" s="111" t="s">
        <v>2773</v>
      </c>
      <c r="BY80" s="111" t="s">
        <v>2774</v>
      </c>
      <c r="BZ80" s="111" t="s">
        <v>2798</v>
      </c>
      <c r="CA80" s="111" t="s">
        <v>2798</v>
      </c>
      <c r="CB80" s="111" t="s">
        <v>2798</v>
      </c>
      <c r="CC80" s="111" t="s">
        <v>2798</v>
      </c>
      <c r="CD80" s="111" t="s">
        <v>2798</v>
      </c>
      <c r="CE80" s="111" t="s">
        <v>2798</v>
      </c>
      <c r="CF80" s="111" t="s">
        <v>2798</v>
      </c>
      <c r="CG80" s="111" t="s">
        <v>2798</v>
      </c>
      <c r="CH80" s="111" t="s">
        <v>2798</v>
      </c>
      <c r="CI80" s="111" t="s">
        <v>2798</v>
      </c>
      <c r="CJ80" s="111" t="s">
        <v>2798</v>
      </c>
      <c r="CK80" s="111" t="s">
        <v>2798</v>
      </c>
      <c r="CL80" s="111" t="s">
        <v>2798</v>
      </c>
      <c r="CM80" s="111" t="s">
        <v>2798</v>
      </c>
      <c r="CN80" s="111" t="s">
        <v>2798</v>
      </c>
      <c r="CO80" s="111" t="s">
        <v>2798</v>
      </c>
      <c r="CP80" s="111" t="s">
        <v>2798</v>
      </c>
      <c r="CQ80" s="111" t="s">
        <v>2798</v>
      </c>
    </row>
    <row r="81" spans="2:95" ht="14.25" customHeight="1">
      <c r="B81" s="106" t="s">
        <v>788</v>
      </c>
      <c r="C81" s="106" t="s">
        <v>2872</v>
      </c>
      <c r="D81" s="109">
        <v>14575.15</v>
      </c>
      <c r="E81" s="106" t="s">
        <v>2137</v>
      </c>
      <c r="F81" s="110">
        <v>50</v>
      </c>
      <c r="G81" s="106" t="s">
        <v>2793</v>
      </c>
      <c r="H81" s="102">
        <v>0</v>
      </c>
      <c r="I81" s="102">
        <v>0</v>
      </c>
      <c r="J81" s="111" t="s">
        <v>2798</v>
      </c>
      <c r="K81" s="111" t="s">
        <v>2798</v>
      </c>
      <c r="L81" s="111" t="s">
        <v>2798</v>
      </c>
      <c r="M81" s="111" t="s">
        <v>2798</v>
      </c>
      <c r="N81" s="111" t="s">
        <v>2798</v>
      </c>
      <c r="O81" s="111" t="s">
        <v>2798</v>
      </c>
      <c r="P81" s="111" t="s">
        <v>2798</v>
      </c>
      <c r="Q81" s="111" t="s">
        <v>2798</v>
      </c>
      <c r="R81" s="111" t="s">
        <v>2798</v>
      </c>
      <c r="S81" s="111" t="s">
        <v>2798</v>
      </c>
      <c r="T81" s="111" t="s">
        <v>2798</v>
      </c>
      <c r="U81" s="111" t="s">
        <v>2798</v>
      </c>
      <c r="V81" s="111" t="s">
        <v>2798</v>
      </c>
      <c r="W81" s="111" t="s">
        <v>2798</v>
      </c>
      <c r="X81" s="111" t="s">
        <v>2798</v>
      </c>
      <c r="Y81" s="111" t="s">
        <v>2798</v>
      </c>
      <c r="Z81" s="111" t="s">
        <v>2798</v>
      </c>
      <c r="AA81" s="111" t="s">
        <v>2798</v>
      </c>
      <c r="AB81" s="111" t="s">
        <v>2798</v>
      </c>
      <c r="AC81" s="111" t="s">
        <v>2798</v>
      </c>
      <c r="AD81" s="111" t="s">
        <v>2798</v>
      </c>
      <c r="AE81" s="111" t="s">
        <v>2798</v>
      </c>
      <c r="AF81" s="111" t="s">
        <v>2798</v>
      </c>
      <c r="AG81" s="111" t="s">
        <v>2798</v>
      </c>
      <c r="AH81" s="111" t="s">
        <v>2798</v>
      </c>
      <c r="AI81" s="111" t="s">
        <v>2798</v>
      </c>
      <c r="AJ81" s="111" t="s">
        <v>2798</v>
      </c>
      <c r="AK81" s="111" t="s">
        <v>2798</v>
      </c>
      <c r="AL81" s="111" t="s">
        <v>2798</v>
      </c>
      <c r="AM81" s="111" t="s">
        <v>2798</v>
      </c>
      <c r="AN81" s="111" t="s">
        <v>2798</v>
      </c>
      <c r="AO81" s="111" t="s">
        <v>2798</v>
      </c>
      <c r="AP81" s="111" t="s">
        <v>2798</v>
      </c>
      <c r="AQ81" s="111" t="s">
        <v>2798</v>
      </c>
      <c r="AR81" s="111" t="s">
        <v>2798</v>
      </c>
      <c r="AS81" s="111" t="s">
        <v>2798</v>
      </c>
      <c r="AT81" s="111" t="s">
        <v>2798</v>
      </c>
      <c r="AU81" s="111" t="s">
        <v>2798</v>
      </c>
      <c r="AV81" s="111" t="s">
        <v>2798</v>
      </c>
      <c r="AW81" s="111" t="s">
        <v>2798</v>
      </c>
      <c r="AX81" s="111" t="s">
        <v>2798</v>
      </c>
      <c r="AY81" s="111" t="s">
        <v>2798</v>
      </c>
      <c r="AZ81" s="111" t="s">
        <v>2798</v>
      </c>
      <c r="BA81" s="111" t="s">
        <v>2798</v>
      </c>
      <c r="BB81" s="111" t="s">
        <v>2798</v>
      </c>
      <c r="BC81" s="111" t="s">
        <v>2798</v>
      </c>
      <c r="BD81" s="111" t="s">
        <v>2798</v>
      </c>
      <c r="BE81" s="111" t="s">
        <v>2798</v>
      </c>
      <c r="BF81" s="111" t="s">
        <v>2798</v>
      </c>
      <c r="BG81" s="111" t="s">
        <v>2798</v>
      </c>
      <c r="BH81" s="111" t="s">
        <v>2798</v>
      </c>
      <c r="BI81" s="111" t="s">
        <v>2798</v>
      </c>
      <c r="BJ81" s="111" t="s">
        <v>2798</v>
      </c>
      <c r="BK81" s="111" t="s">
        <v>2798</v>
      </c>
      <c r="BL81" s="111" t="s">
        <v>2798</v>
      </c>
      <c r="BM81" s="111" t="s">
        <v>2798</v>
      </c>
      <c r="BN81" s="111" t="s">
        <v>2798</v>
      </c>
      <c r="BO81" s="111" t="s">
        <v>2798</v>
      </c>
      <c r="BP81" s="111" t="s">
        <v>2798</v>
      </c>
      <c r="BQ81" s="111" t="s">
        <v>2798</v>
      </c>
      <c r="BR81" s="111" t="s">
        <v>2798</v>
      </c>
      <c r="BS81" s="111" t="s">
        <v>2798</v>
      </c>
      <c r="BT81" s="111" t="s">
        <v>2798</v>
      </c>
      <c r="BU81" s="111" t="s">
        <v>2798</v>
      </c>
      <c r="BV81" s="111" t="s">
        <v>2798</v>
      </c>
      <c r="BW81" s="111" t="s">
        <v>2798</v>
      </c>
      <c r="BX81" s="111" t="s">
        <v>2798</v>
      </c>
      <c r="BY81" s="111" t="s">
        <v>2798</v>
      </c>
      <c r="BZ81" s="111" t="s">
        <v>2775</v>
      </c>
      <c r="CA81" s="111" t="s">
        <v>2776</v>
      </c>
      <c r="CB81" s="111" t="s">
        <v>2777</v>
      </c>
      <c r="CC81" s="111" t="s">
        <v>2778</v>
      </c>
      <c r="CD81" s="111" t="s">
        <v>2779</v>
      </c>
      <c r="CE81" s="111" t="s">
        <v>2780</v>
      </c>
      <c r="CF81" s="111" t="s">
        <v>2781</v>
      </c>
      <c r="CG81" s="111" t="s">
        <v>2782</v>
      </c>
      <c r="CH81" s="111" t="s">
        <v>2783</v>
      </c>
      <c r="CI81" s="111" t="s">
        <v>2798</v>
      </c>
      <c r="CJ81" s="111" t="s">
        <v>2785</v>
      </c>
      <c r="CK81" s="111" t="s">
        <v>2786</v>
      </c>
      <c r="CL81" s="111" t="s">
        <v>2787</v>
      </c>
      <c r="CM81" s="111" t="s">
        <v>2788</v>
      </c>
      <c r="CN81" s="111" t="s">
        <v>2789</v>
      </c>
      <c r="CO81" s="111" t="s">
        <v>2790</v>
      </c>
      <c r="CP81" s="111" t="s">
        <v>2791</v>
      </c>
      <c r="CQ81" s="111" t="s">
        <v>2792</v>
      </c>
    </row>
    <row r="82" spans="2:95" ht="14.25" customHeight="1">
      <c r="B82" s="106" t="s">
        <v>789</v>
      </c>
      <c r="C82" s="106" t="s">
        <v>2873</v>
      </c>
      <c r="D82" s="109">
        <v>14616.12</v>
      </c>
      <c r="E82" s="106" t="s">
        <v>2146</v>
      </c>
      <c r="F82" s="110">
        <v>40.970000000001164</v>
      </c>
      <c r="G82" s="106" t="s">
        <v>2795</v>
      </c>
      <c r="H82" s="102">
        <v>0</v>
      </c>
      <c r="I82" s="102">
        <v>0</v>
      </c>
      <c r="J82" s="111" t="s">
        <v>87</v>
      </c>
      <c r="K82" s="111" t="s">
        <v>2708</v>
      </c>
      <c r="L82" s="111" t="s">
        <v>2709</v>
      </c>
      <c r="M82" s="111" t="s">
        <v>2710</v>
      </c>
      <c r="N82" s="111" t="s">
        <v>2711</v>
      </c>
      <c r="O82" s="111" t="s">
        <v>2712</v>
      </c>
      <c r="P82" s="111" t="s">
        <v>2713</v>
      </c>
      <c r="Q82" s="111" t="s">
        <v>2714</v>
      </c>
      <c r="R82" s="111" t="s">
        <v>2715</v>
      </c>
      <c r="S82" s="111" t="s">
        <v>2716</v>
      </c>
      <c r="T82" s="111" t="s">
        <v>2717</v>
      </c>
      <c r="U82" s="111" t="s">
        <v>2718</v>
      </c>
      <c r="V82" s="111" t="s">
        <v>2719</v>
      </c>
      <c r="W82" s="111" t="s">
        <v>2720</v>
      </c>
      <c r="X82" s="111" t="s">
        <v>2798</v>
      </c>
      <c r="Y82" s="111" t="s">
        <v>2798</v>
      </c>
      <c r="Z82" s="111" t="s">
        <v>2798</v>
      </c>
      <c r="AA82" s="111" t="s">
        <v>2798</v>
      </c>
      <c r="AB82" s="111" t="s">
        <v>2798</v>
      </c>
      <c r="AC82" s="111" t="s">
        <v>2798</v>
      </c>
      <c r="AD82" s="111" t="s">
        <v>2798</v>
      </c>
      <c r="AE82" s="111" t="s">
        <v>2798</v>
      </c>
      <c r="AF82" s="111" t="s">
        <v>2798</v>
      </c>
      <c r="AG82" s="111" t="s">
        <v>2798</v>
      </c>
      <c r="AH82" s="111" t="s">
        <v>2798</v>
      </c>
      <c r="AI82" s="111" t="s">
        <v>2798</v>
      </c>
      <c r="AJ82" s="111" t="s">
        <v>2798</v>
      </c>
      <c r="AK82" s="111" t="s">
        <v>2798</v>
      </c>
      <c r="AL82" s="111" t="s">
        <v>2798</v>
      </c>
      <c r="AM82" s="111" t="s">
        <v>2798</v>
      </c>
      <c r="AN82" s="111" t="s">
        <v>2798</v>
      </c>
      <c r="AO82" s="111" t="s">
        <v>2798</v>
      </c>
      <c r="AP82" s="111" t="s">
        <v>2798</v>
      </c>
      <c r="AQ82" s="111" t="s">
        <v>2798</v>
      </c>
      <c r="AR82" s="111" t="s">
        <v>2798</v>
      </c>
      <c r="AS82" s="111" t="s">
        <v>2798</v>
      </c>
      <c r="AT82" s="111" t="s">
        <v>2798</v>
      </c>
      <c r="AU82" s="111" t="s">
        <v>2798</v>
      </c>
      <c r="AV82" s="111" t="s">
        <v>2798</v>
      </c>
      <c r="AW82" s="111" t="s">
        <v>2798</v>
      </c>
      <c r="AX82" s="111" t="s">
        <v>2798</v>
      </c>
      <c r="AY82" s="111" t="s">
        <v>2798</v>
      </c>
      <c r="AZ82" s="111" t="s">
        <v>2798</v>
      </c>
      <c r="BA82" s="111" t="s">
        <v>2798</v>
      </c>
      <c r="BB82" s="111" t="s">
        <v>2798</v>
      </c>
      <c r="BC82" s="111" t="s">
        <v>2798</v>
      </c>
      <c r="BD82" s="111" t="s">
        <v>2798</v>
      </c>
      <c r="BE82" s="111" t="s">
        <v>2798</v>
      </c>
      <c r="BF82" s="111" t="s">
        <v>2798</v>
      </c>
      <c r="BG82" s="111" t="s">
        <v>2798</v>
      </c>
      <c r="BH82" s="111" t="s">
        <v>2798</v>
      </c>
      <c r="BI82" s="111" t="s">
        <v>2798</v>
      </c>
      <c r="BJ82" s="111" t="s">
        <v>2798</v>
      </c>
      <c r="BK82" s="111" t="s">
        <v>2798</v>
      </c>
      <c r="BL82" s="111" t="s">
        <v>2798</v>
      </c>
      <c r="BM82" s="111" t="s">
        <v>2798</v>
      </c>
      <c r="BN82" s="111" t="s">
        <v>2798</v>
      </c>
      <c r="BO82" s="111" t="s">
        <v>2798</v>
      </c>
      <c r="BP82" s="111" t="s">
        <v>2798</v>
      </c>
      <c r="BQ82" s="111" t="s">
        <v>2798</v>
      </c>
      <c r="BR82" s="111" t="s">
        <v>2798</v>
      </c>
      <c r="BS82" s="111" t="s">
        <v>2798</v>
      </c>
      <c r="BT82" s="111" t="s">
        <v>2798</v>
      </c>
      <c r="BU82" s="111" t="s">
        <v>2798</v>
      </c>
      <c r="BV82" s="111" t="s">
        <v>2798</v>
      </c>
      <c r="BW82" s="111" t="s">
        <v>2798</v>
      </c>
      <c r="BX82" s="111" t="s">
        <v>2798</v>
      </c>
      <c r="BY82" s="111" t="s">
        <v>2798</v>
      </c>
      <c r="BZ82" s="111" t="s">
        <v>2798</v>
      </c>
      <c r="CA82" s="111" t="s">
        <v>2798</v>
      </c>
      <c r="CB82" s="111" t="s">
        <v>2798</v>
      </c>
      <c r="CC82" s="111" t="s">
        <v>2798</v>
      </c>
      <c r="CD82" s="111" t="s">
        <v>2798</v>
      </c>
      <c r="CE82" s="111" t="s">
        <v>2798</v>
      </c>
      <c r="CF82" s="111" t="s">
        <v>2798</v>
      </c>
      <c r="CG82" s="111" t="s">
        <v>2798</v>
      </c>
      <c r="CH82" s="111" t="s">
        <v>2798</v>
      </c>
      <c r="CI82" s="111" t="s">
        <v>2798</v>
      </c>
      <c r="CJ82" s="111" t="s">
        <v>2798</v>
      </c>
      <c r="CK82" s="111" t="s">
        <v>2798</v>
      </c>
      <c r="CL82" s="111" t="s">
        <v>2798</v>
      </c>
      <c r="CM82" s="111" t="s">
        <v>2798</v>
      </c>
      <c r="CN82" s="111" t="s">
        <v>2798</v>
      </c>
      <c r="CO82" s="111" t="s">
        <v>2798</v>
      </c>
      <c r="CP82" s="111" t="s">
        <v>2798</v>
      </c>
      <c r="CQ82" s="111" t="s">
        <v>2798</v>
      </c>
    </row>
    <row r="83" spans="2:95" ht="14.25" customHeight="1">
      <c r="B83" s="106" t="s">
        <v>790</v>
      </c>
      <c r="C83" s="106" t="s">
        <v>2874</v>
      </c>
      <c r="D83" s="109">
        <v>14657.09</v>
      </c>
      <c r="E83" s="106" t="s">
        <v>2146</v>
      </c>
      <c r="F83" s="110">
        <v>40.969999999999345</v>
      </c>
      <c r="G83" s="106" t="s">
        <v>2795</v>
      </c>
      <c r="H83" s="102">
        <v>0</v>
      </c>
      <c r="I83" s="102">
        <v>0</v>
      </c>
      <c r="J83" s="111" t="s">
        <v>2798</v>
      </c>
      <c r="K83" s="111" t="s">
        <v>2798</v>
      </c>
      <c r="L83" s="111" t="s">
        <v>2798</v>
      </c>
      <c r="M83" s="111" t="s">
        <v>2798</v>
      </c>
      <c r="N83" s="111" t="s">
        <v>2798</v>
      </c>
      <c r="O83" s="111" t="s">
        <v>2798</v>
      </c>
      <c r="P83" s="111" t="s">
        <v>2798</v>
      </c>
      <c r="Q83" s="111" t="s">
        <v>2798</v>
      </c>
      <c r="R83" s="111" t="s">
        <v>2798</v>
      </c>
      <c r="S83" s="111" t="s">
        <v>2798</v>
      </c>
      <c r="T83" s="111" t="s">
        <v>2798</v>
      </c>
      <c r="U83" s="111" t="s">
        <v>2798</v>
      </c>
      <c r="V83" s="111" t="s">
        <v>2798</v>
      </c>
      <c r="W83" s="111" t="s">
        <v>2798</v>
      </c>
      <c r="X83" s="111" t="s">
        <v>2721</v>
      </c>
      <c r="Y83" s="111" t="s">
        <v>2722</v>
      </c>
      <c r="Z83" s="111" t="s">
        <v>2723</v>
      </c>
      <c r="AA83" s="111" t="s">
        <v>2724</v>
      </c>
      <c r="AB83" s="111" t="s">
        <v>2725</v>
      </c>
      <c r="AC83" s="111" t="s">
        <v>2726</v>
      </c>
      <c r="AD83" s="111" t="s">
        <v>2727</v>
      </c>
      <c r="AE83" s="111" t="s">
        <v>2728</v>
      </c>
      <c r="AF83" s="111" t="s">
        <v>2729</v>
      </c>
      <c r="AG83" s="111" t="s">
        <v>2730</v>
      </c>
      <c r="AH83" s="111" t="s">
        <v>2731</v>
      </c>
      <c r="AI83" s="111" t="s">
        <v>2732</v>
      </c>
      <c r="AJ83" s="111" t="s">
        <v>2733</v>
      </c>
      <c r="AK83" s="111" t="s">
        <v>2734</v>
      </c>
      <c r="AL83" s="111" t="s">
        <v>2798</v>
      </c>
      <c r="AM83" s="111" t="s">
        <v>2798</v>
      </c>
      <c r="AN83" s="111" t="s">
        <v>2798</v>
      </c>
      <c r="AO83" s="111" t="s">
        <v>2798</v>
      </c>
      <c r="AP83" s="111" t="s">
        <v>2798</v>
      </c>
      <c r="AQ83" s="111" t="s">
        <v>2798</v>
      </c>
      <c r="AR83" s="111" t="s">
        <v>2798</v>
      </c>
      <c r="AS83" s="111" t="s">
        <v>2798</v>
      </c>
      <c r="AT83" s="111" t="s">
        <v>2798</v>
      </c>
      <c r="AU83" s="111" t="s">
        <v>2798</v>
      </c>
      <c r="AV83" s="111" t="s">
        <v>2798</v>
      </c>
      <c r="AW83" s="111" t="s">
        <v>2798</v>
      </c>
      <c r="AX83" s="111" t="s">
        <v>2798</v>
      </c>
      <c r="AY83" s="111" t="s">
        <v>2798</v>
      </c>
      <c r="AZ83" s="111" t="s">
        <v>2798</v>
      </c>
      <c r="BA83" s="111" t="s">
        <v>2798</v>
      </c>
      <c r="BB83" s="111" t="s">
        <v>2798</v>
      </c>
      <c r="BC83" s="111" t="s">
        <v>2798</v>
      </c>
      <c r="BD83" s="111" t="s">
        <v>2798</v>
      </c>
      <c r="BE83" s="111" t="s">
        <v>2798</v>
      </c>
      <c r="BF83" s="111" t="s">
        <v>2798</v>
      </c>
      <c r="BG83" s="111" t="s">
        <v>2798</v>
      </c>
      <c r="BH83" s="111" t="s">
        <v>2798</v>
      </c>
      <c r="BI83" s="111" t="s">
        <v>2798</v>
      </c>
      <c r="BJ83" s="111" t="s">
        <v>2798</v>
      </c>
      <c r="BK83" s="111" t="s">
        <v>2798</v>
      </c>
      <c r="BL83" s="111" t="s">
        <v>2798</v>
      </c>
      <c r="BM83" s="111" t="s">
        <v>2798</v>
      </c>
      <c r="BN83" s="111" t="s">
        <v>2798</v>
      </c>
      <c r="BO83" s="111" t="s">
        <v>2798</v>
      </c>
      <c r="BP83" s="111" t="s">
        <v>2798</v>
      </c>
      <c r="BQ83" s="111" t="s">
        <v>2798</v>
      </c>
      <c r="BR83" s="111" t="s">
        <v>2798</v>
      </c>
      <c r="BS83" s="111" t="s">
        <v>2798</v>
      </c>
      <c r="BT83" s="111" t="s">
        <v>2798</v>
      </c>
      <c r="BU83" s="111" t="s">
        <v>2798</v>
      </c>
      <c r="BV83" s="111" t="s">
        <v>2798</v>
      </c>
      <c r="BW83" s="111" t="s">
        <v>2798</v>
      </c>
      <c r="BX83" s="111" t="s">
        <v>2798</v>
      </c>
      <c r="BY83" s="111" t="s">
        <v>2798</v>
      </c>
      <c r="BZ83" s="111" t="s">
        <v>2798</v>
      </c>
      <c r="CA83" s="111" t="s">
        <v>2798</v>
      </c>
      <c r="CB83" s="111" t="s">
        <v>2798</v>
      </c>
      <c r="CC83" s="111" t="s">
        <v>2798</v>
      </c>
      <c r="CD83" s="111" t="s">
        <v>2798</v>
      </c>
      <c r="CE83" s="111" t="s">
        <v>2798</v>
      </c>
      <c r="CF83" s="111" t="s">
        <v>2798</v>
      </c>
      <c r="CG83" s="111" t="s">
        <v>2798</v>
      </c>
      <c r="CH83" s="111" t="s">
        <v>2798</v>
      </c>
      <c r="CI83" s="111" t="s">
        <v>2798</v>
      </c>
      <c r="CJ83" s="111" t="s">
        <v>2798</v>
      </c>
      <c r="CK83" s="111" t="s">
        <v>2798</v>
      </c>
      <c r="CL83" s="111" t="s">
        <v>2798</v>
      </c>
      <c r="CM83" s="111" t="s">
        <v>2798</v>
      </c>
      <c r="CN83" s="111" t="s">
        <v>2798</v>
      </c>
      <c r="CO83" s="111" t="s">
        <v>2798</v>
      </c>
      <c r="CP83" s="111" t="s">
        <v>2798</v>
      </c>
      <c r="CQ83" s="111" t="s">
        <v>2798</v>
      </c>
    </row>
    <row r="84" spans="2:95" ht="14.25" customHeight="1">
      <c r="B84" s="106" t="s">
        <v>791</v>
      </c>
      <c r="C84" s="106" t="s">
        <v>2875</v>
      </c>
      <c r="D84" s="109">
        <v>14698.06</v>
      </c>
      <c r="E84" s="106" t="s">
        <v>2146</v>
      </c>
      <c r="F84" s="110">
        <v>40.969999999999345</v>
      </c>
      <c r="G84" s="106" t="s">
        <v>2795</v>
      </c>
      <c r="H84" s="102">
        <v>0</v>
      </c>
      <c r="I84" s="102">
        <v>0</v>
      </c>
      <c r="J84" s="111" t="s">
        <v>2798</v>
      </c>
      <c r="K84" s="111" t="s">
        <v>2798</v>
      </c>
      <c r="L84" s="111" t="s">
        <v>2798</v>
      </c>
      <c r="M84" s="111" t="s">
        <v>2798</v>
      </c>
      <c r="N84" s="111" t="s">
        <v>2798</v>
      </c>
      <c r="O84" s="111" t="s">
        <v>2798</v>
      </c>
      <c r="P84" s="111" t="s">
        <v>2798</v>
      </c>
      <c r="Q84" s="111" t="s">
        <v>2798</v>
      </c>
      <c r="R84" s="111" t="s">
        <v>2798</v>
      </c>
      <c r="S84" s="111" t="s">
        <v>2798</v>
      </c>
      <c r="T84" s="111" t="s">
        <v>2798</v>
      </c>
      <c r="U84" s="111" t="s">
        <v>2798</v>
      </c>
      <c r="V84" s="111" t="s">
        <v>2798</v>
      </c>
      <c r="W84" s="111" t="s">
        <v>2798</v>
      </c>
      <c r="X84" s="111" t="s">
        <v>2798</v>
      </c>
      <c r="Y84" s="111" t="s">
        <v>2798</v>
      </c>
      <c r="Z84" s="111" t="s">
        <v>2798</v>
      </c>
      <c r="AA84" s="111" t="s">
        <v>2798</v>
      </c>
      <c r="AB84" s="111" t="s">
        <v>2798</v>
      </c>
      <c r="AC84" s="111" t="s">
        <v>2798</v>
      </c>
      <c r="AD84" s="111" t="s">
        <v>2798</v>
      </c>
      <c r="AE84" s="111" t="s">
        <v>2798</v>
      </c>
      <c r="AF84" s="111" t="s">
        <v>2798</v>
      </c>
      <c r="AG84" s="111" t="s">
        <v>2798</v>
      </c>
      <c r="AH84" s="111" t="s">
        <v>2798</v>
      </c>
      <c r="AI84" s="111" t="s">
        <v>2798</v>
      </c>
      <c r="AJ84" s="111" t="s">
        <v>2798</v>
      </c>
      <c r="AK84" s="111" t="s">
        <v>2798</v>
      </c>
      <c r="AL84" s="111" t="s">
        <v>2735</v>
      </c>
      <c r="AM84" s="111" t="s">
        <v>2736</v>
      </c>
      <c r="AN84" s="111" t="s">
        <v>2737</v>
      </c>
      <c r="AO84" s="111" t="s">
        <v>2738</v>
      </c>
      <c r="AP84" s="111" t="s">
        <v>2739</v>
      </c>
      <c r="AQ84" s="111" t="s">
        <v>2740</v>
      </c>
      <c r="AR84" s="111" t="s">
        <v>2741</v>
      </c>
      <c r="AS84" s="111" t="s">
        <v>2798</v>
      </c>
      <c r="AT84" s="111" t="s">
        <v>2798</v>
      </c>
      <c r="AU84" s="111" t="s">
        <v>2798</v>
      </c>
      <c r="AV84" s="111" t="s">
        <v>2798</v>
      </c>
      <c r="AW84" s="111" t="s">
        <v>2798</v>
      </c>
      <c r="AX84" s="111" t="s">
        <v>2798</v>
      </c>
      <c r="AY84" s="111" t="s">
        <v>2798</v>
      </c>
      <c r="AZ84" s="111" t="s">
        <v>2798</v>
      </c>
      <c r="BA84" s="111" t="s">
        <v>2798</v>
      </c>
      <c r="BB84" s="111" t="s">
        <v>2798</v>
      </c>
      <c r="BC84" s="111" t="s">
        <v>2798</v>
      </c>
      <c r="BD84" s="111" t="s">
        <v>2798</v>
      </c>
      <c r="BE84" s="111" t="s">
        <v>2798</v>
      </c>
      <c r="BF84" s="111" t="s">
        <v>2798</v>
      </c>
      <c r="BG84" s="111" t="s">
        <v>2798</v>
      </c>
      <c r="BH84" s="111" t="s">
        <v>2757</v>
      </c>
      <c r="BI84" s="111" t="s">
        <v>2758</v>
      </c>
      <c r="BJ84" s="111" t="s">
        <v>2759</v>
      </c>
      <c r="BK84" s="111" t="s">
        <v>2760</v>
      </c>
      <c r="BL84" s="111" t="s">
        <v>2761</v>
      </c>
      <c r="BM84" s="111" t="s">
        <v>2762</v>
      </c>
      <c r="BN84" s="111" t="s">
        <v>2763</v>
      </c>
      <c r="BO84" s="111" t="s">
        <v>2798</v>
      </c>
      <c r="BP84" s="111" t="s">
        <v>2798</v>
      </c>
      <c r="BQ84" s="111" t="s">
        <v>2798</v>
      </c>
      <c r="BR84" s="111" t="s">
        <v>2798</v>
      </c>
      <c r="BS84" s="111" t="s">
        <v>2798</v>
      </c>
      <c r="BT84" s="111" t="s">
        <v>2798</v>
      </c>
      <c r="BU84" s="111" t="s">
        <v>2798</v>
      </c>
      <c r="BV84" s="111" t="s">
        <v>2798</v>
      </c>
      <c r="BW84" s="111" t="s">
        <v>2798</v>
      </c>
      <c r="BX84" s="111" t="s">
        <v>2798</v>
      </c>
      <c r="BY84" s="111" t="s">
        <v>2798</v>
      </c>
      <c r="BZ84" s="111" t="s">
        <v>2798</v>
      </c>
      <c r="CA84" s="111" t="s">
        <v>2798</v>
      </c>
      <c r="CB84" s="111" t="s">
        <v>2798</v>
      </c>
      <c r="CC84" s="111" t="s">
        <v>2798</v>
      </c>
      <c r="CD84" s="111" t="s">
        <v>2798</v>
      </c>
      <c r="CE84" s="111" t="s">
        <v>2798</v>
      </c>
      <c r="CF84" s="111" t="s">
        <v>2798</v>
      </c>
      <c r="CG84" s="111" t="s">
        <v>2798</v>
      </c>
      <c r="CH84" s="111" t="s">
        <v>2798</v>
      </c>
      <c r="CI84" s="111" t="s">
        <v>2798</v>
      </c>
      <c r="CJ84" s="111" t="s">
        <v>2798</v>
      </c>
      <c r="CK84" s="111" t="s">
        <v>2798</v>
      </c>
      <c r="CL84" s="111" t="s">
        <v>2798</v>
      </c>
      <c r="CM84" s="111" t="s">
        <v>2798</v>
      </c>
      <c r="CN84" s="111" t="s">
        <v>2798</v>
      </c>
      <c r="CO84" s="111" t="s">
        <v>2798</v>
      </c>
      <c r="CP84" s="111" t="s">
        <v>2798</v>
      </c>
      <c r="CQ84" s="111" t="s">
        <v>2798</v>
      </c>
    </row>
    <row r="85" spans="2:95" ht="14.25" customHeight="1">
      <c r="B85" s="106" t="s">
        <v>792</v>
      </c>
      <c r="C85" s="106" t="s">
        <v>2876</v>
      </c>
      <c r="D85" s="109">
        <v>14739.03</v>
      </c>
      <c r="E85" s="106" t="s">
        <v>2146</v>
      </c>
      <c r="F85" s="110">
        <v>40.970000000001164</v>
      </c>
      <c r="G85" s="106" t="s">
        <v>2795</v>
      </c>
      <c r="H85" s="102">
        <v>0</v>
      </c>
      <c r="I85" s="102">
        <v>0</v>
      </c>
      <c r="J85" s="111" t="s">
        <v>2798</v>
      </c>
      <c r="K85" s="111" t="s">
        <v>2798</v>
      </c>
      <c r="L85" s="111" t="s">
        <v>2798</v>
      </c>
      <c r="M85" s="111" t="s">
        <v>2798</v>
      </c>
      <c r="N85" s="111" t="s">
        <v>2798</v>
      </c>
      <c r="O85" s="111" t="s">
        <v>2798</v>
      </c>
      <c r="P85" s="111" t="s">
        <v>2798</v>
      </c>
      <c r="Q85" s="111" t="s">
        <v>2798</v>
      </c>
      <c r="R85" s="111" t="s">
        <v>2798</v>
      </c>
      <c r="S85" s="111" t="s">
        <v>2798</v>
      </c>
      <c r="T85" s="111" t="s">
        <v>2798</v>
      </c>
      <c r="U85" s="111" t="s">
        <v>2798</v>
      </c>
      <c r="V85" s="111" t="s">
        <v>2798</v>
      </c>
      <c r="W85" s="111" t="s">
        <v>2798</v>
      </c>
      <c r="X85" s="111" t="s">
        <v>2798</v>
      </c>
      <c r="Y85" s="111" t="s">
        <v>2798</v>
      </c>
      <c r="Z85" s="111" t="s">
        <v>2798</v>
      </c>
      <c r="AA85" s="111" t="s">
        <v>2798</v>
      </c>
      <c r="AB85" s="111" t="s">
        <v>2798</v>
      </c>
      <c r="AC85" s="111" t="s">
        <v>2798</v>
      </c>
      <c r="AD85" s="111" t="s">
        <v>2798</v>
      </c>
      <c r="AE85" s="111" t="s">
        <v>2798</v>
      </c>
      <c r="AF85" s="111" t="s">
        <v>2798</v>
      </c>
      <c r="AG85" s="111" t="s">
        <v>2798</v>
      </c>
      <c r="AH85" s="111" t="s">
        <v>2798</v>
      </c>
      <c r="AI85" s="111" t="s">
        <v>2798</v>
      </c>
      <c r="AJ85" s="111" t="s">
        <v>2798</v>
      </c>
      <c r="AK85" s="111" t="s">
        <v>2798</v>
      </c>
      <c r="AL85" s="111" t="s">
        <v>2798</v>
      </c>
      <c r="AM85" s="111" t="s">
        <v>2798</v>
      </c>
      <c r="AN85" s="111" t="s">
        <v>2798</v>
      </c>
      <c r="AO85" s="111" t="s">
        <v>2798</v>
      </c>
      <c r="AP85" s="111" t="s">
        <v>2798</v>
      </c>
      <c r="AQ85" s="111" t="s">
        <v>2798</v>
      </c>
      <c r="AR85" s="111" t="s">
        <v>2798</v>
      </c>
      <c r="AS85" s="111" t="s">
        <v>2798</v>
      </c>
      <c r="AT85" s="111" t="s">
        <v>2798</v>
      </c>
      <c r="AU85" s="111" t="s">
        <v>2798</v>
      </c>
      <c r="AV85" s="111" t="s">
        <v>2798</v>
      </c>
      <c r="AW85" s="111" t="s">
        <v>2798</v>
      </c>
      <c r="AX85" s="111" t="s">
        <v>2798</v>
      </c>
      <c r="AY85" s="111" t="s">
        <v>2798</v>
      </c>
      <c r="AZ85" s="111" t="s">
        <v>2798</v>
      </c>
      <c r="BA85" s="111" t="s">
        <v>2798</v>
      </c>
      <c r="BB85" s="111" t="s">
        <v>2798</v>
      </c>
      <c r="BC85" s="111" t="s">
        <v>2798</v>
      </c>
      <c r="BD85" s="111" t="s">
        <v>2798</v>
      </c>
      <c r="BE85" s="111" t="s">
        <v>2798</v>
      </c>
      <c r="BF85" s="111" t="s">
        <v>2798</v>
      </c>
      <c r="BG85" s="111" t="s">
        <v>2798</v>
      </c>
      <c r="BH85" s="111" t="s">
        <v>2798</v>
      </c>
      <c r="BI85" s="111" t="s">
        <v>2798</v>
      </c>
      <c r="BJ85" s="111" t="s">
        <v>2798</v>
      </c>
      <c r="BK85" s="111" t="s">
        <v>2798</v>
      </c>
      <c r="BL85" s="111" t="s">
        <v>2798</v>
      </c>
      <c r="BM85" s="111" t="s">
        <v>2798</v>
      </c>
      <c r="BN85" s="111" t="s">
        <v>2798</v>
      </c>
      <c r="BO85" s="111" t="s">
        <v>2764</v>
      </c>
      <c r="BP85" s="111" t="s">
        <v>2765</v>
      </c>
      <c r="BQ85" s="111" t="s">
        <v>2766</v>
      </c>
      <c r="BR85" s="111" t="s">
        <v>2767</v>
      </c>
      <c r="BS85" s="111" t="s">
        <v>2768</v>
      </c>
      <c r="BT85" s="111" t="s">
        <v>2769</v>
      </c>
      <c r="BU85" s="111" t="s">
        <v>2770</v>
      </c>
      <c r="BV85" s="111" t="s">
        <v>2771</v>
      </c>
      <c r="BW85" s="111" t="s">
        <v>2772</v>
      </c>
      <c r="BX85" s="111" t="s">
        <v>2773</v>
      </c>
      <c r="BY85" s="111" t="s">
        <v>2774</v>
      </c>
      <c r="BZ85" s="111" t="s">
        <v>2775</v>
      </c>
      <c r="CA85" s="111" t="s">
        <v>2776</v>
      </c>
      <c r="CB85" s="111" t="s">
        <v>2777</v>
      </c>
      <c r="CC85" s="111" t="s">
        <v>2798</v>
      </c>
      <c r="CD85" s="111" t="s">
        <v>2798</v>
      </c>
      <c r="CE85" s="111" t="s">
        <v>2798</v>
      </c>
      <c r="CF85" s="111" t="s">
        <v>2798</v>
      </c>
      <c r="CG85" s="111" t="s">
        <v>2798</v>
      </c>
      <c r="CH85" s="111" t="s">
        <v>2798</v>
      </c>
      <c r="CI85" s="111" t="s">
        <v>2798</v>
      </c>
      <c r="CJ85" s="111" t="s">
        <v>2798</v>
      </c>
      <c r="CK85" s="111" t="s">
        <v>2798</v>
      </c>
      <c r="CL85" s="111" t="s">
        <v>2798</v>
      </c>
      <c r="CM85" s="111" t="s">
        <v>2798</v>
      </c>
      <c r="CN85" s="111" t="s">
        <v>2798</v>
      </c>
      <c r="CO85" s="111" t="s">
        <v>2798</v>
      </c>
      <c r="CP85" s="111" t="s">
        <v>2798</v>
      </c>
      <c r="CQ85" s="111" t="s">
        <v>2798</v>
      </c>
    </row>
    <row r="86" spans="2:95" ht="14.25" customHeight="1">
      <c r="B86" s="106" t="s">
        <v>793</v>
      </c>
      <c r="C86" s="106" t="s">
        <v>2877</v>
      </c>
      <c r="D86" s="109">
        <v>14780</v>
      </c>
      <c r="E86" s="106" t="s">
        <v>2146</v>
      </c>
      <c r="F86" s="110">
        <v>40.969999999999345</v>
      </c>
      <c r="G86" s="106" t="s">
        <v>2793</v>
      </c>
      <c r="H86" s="102">
        <v>0</v>
      </c>
      <c r="I86" s="102">
        <v>0</v>
      </c>
      <c r="J86" s="111" t="s">
        <v>2798</v>
      </c>
      <c r="K86" s="111" t="s">
        <v>2798</v>
      </c>
      <c r="L86" s="111" t="s">
        <v>2798</v>
      </c>
      <c r="M86" s="111" t="s">
        <v>2798</v>
      </c>
      <c r="N86" s="111" t="s">
        <v>2798</v>
      </c>
      <c r="O86" s="111" t="s">
        <v>2798</v>
      </c>
      <c r="P86" s="111" t="s">
        <v>2798</v>
      </c>
      <c r="Q86" s="111" t="s">
        <v>2798</v>
      </c>
      <c r="R86" s="111" t="s">
        <v>2798</v>
      </c>
      <c r="S86" s="111" t="s">
        <v>2798</v>
      </c>
      <c r="T86" s="111" t="s">
        <v>2798</v>
      </c>
      <c r="U86" s="111" t="s">
        <v>2798</v>
      </c>
      <c r="V86" s="111" t="s">
        <v>2798</v>
      </c>
      <c r="W86" s="111" t="s">
        <v>2798</v>
      </c>
      <c r="X86" s="111" t="s">
        <v>2798</v>
      </c>
      <c r="Y86" s="111" t="s">
        <v>2798</v>
      </c>
      <c r="Z86" s="111" t="s">
        <v>2798</v>
      </c>
      <c r="AA86" s="111" t="s">
        <v>2798</v>
      </c>
      <c r="AB86" s="111" t="s">
        <v>2798</v>
      </c>
      <c r="AC86" s="111" t="s">
        <v>2798</v>
      </c>
      <c r="AD86" s="111" t="s">
        <v>2798</v>
      </c>
      <c r="AE86" s="111" t="s">
        <v>2798</v>
      </c>
      <c r="AF86" s="111" t="s">
        <v>2798</v>
      </c>
      <c r="AG86" s="111" t="s">
        <v>2798</v>
      </c>
      <c r="AH86" s="111" t="s">
        <v>2798</v>
      </c>
      <c r="AI86" s="111" t="s">
        <v>2798</v>
      </c>
      <c r="AJ86" s="111" t="s">
        <v>2798</v>
      </c>
      <c r="AK86" s="111" t="s">
        <v>2798</v>
      </c>
      <c r="AL86" s="111" t="s">
        <v>2798</v>
      </c>
      <c r="AM86" s="111" t="s">
        <v>2798</v>
      </c>
      <c r="AN86" s="111" t="s">
        <v>2798</v>
      </c>
      <c r="AO86" s="111" t="s">
        <v>2798</v>
      </c>
      <c r="AP86" s="111" t="s">
        <v>2798</v>
      </c>
      <c r="AQ86" s="111" t="s">
        <v>2798</v>
      </c>
      <c r="AR86" s="111" t="s">
        <v>2798</v>
      </c>
      <c r="AS86" s="111" t="s">
        <v>2798</v>
      </c>
      <c r="AT86" s="111" t="s">
        <v>2798</v>
      </c>
      <c r="AU86" s="111" t="s">
        <v>2798</v>
      </c>
      <c r="AV86" s="111" t="s">
        <v>2798</v>
      </c>
      <c r="AW86" s="111" t="s">
        <v>2798</v>
      </c>
      <c r="AX86" s="111" t="s">
        <v>2798</v>
      </c>
      <c r="AY86" s="111" t="s">
        <v>2798</v>
      </c>
      <c r="AZ86" s="111" t="s">
        <v>2798</v>
      </c>
      <c r="BA86" s="111" t="s">
        <v>2798</v>
      </c>
      <c r="BB86" s="111" t="s">
        <v>2798</v>
      </c>
      <c r="BC86" s="111" t="s">
        <v>2798</v>
      </c>
      <c r="BD86" s="111" t="s">
        <v>2798</v>
      </c>
      <c r="BE86" s="111" t="s">
        <v>2798</v>
      </c>
      <c r="BF86" s="111" t="s">
        <v>2798</v>
      </c>
      <c r="BG86" s="111" t="s">
        <v>2798</v>
      </c>
      <c r="BH86" s="111" t="s">
        <v>2798</v>
      </c>
      <c r="BI86" s="111" t="s">
        <v>2798</v>
      </c>
      <c r="BJ86" s="111" t="s">
        <v>2798</v>
      </c>
      <c r="BK86" s="111" t="s">
        <v>2798</v>
      </c>
      <c r="BL86" s="111" t="s">
        <v>2798</v>
      </c>
      <c r="BM86" s="111" t="s">
        <v>2798</v>
      </c>
      <c r="BN86" s="111" t="s">
        <v>2798</v>
      </c>
      <c r="BO86" s="111" t="s">
        <v>2798</v>
      </c>
      <c r="BP86" s="111" t="s">
        <v>2798</v>
      </c>
      <c r="BQ86" s="111" t="s">
        <v>2798</v>
      </c>
      <c r="BR86" s="111" t="s">
        <v>2798</v>
      </c>
      <c r="BS86" s="111" t="s">
        <v>2798</v>
      </c>
      <c r="BT86" s="111" t="s">
        <v>2798</v>
      </c>
      <c r="BU86" s="111" t="s">
        <v>2798</v>
      </c>
      <c r="BV86" s="111" t="s">
        <v>2798</v>
      </c>
      <c r="BW86" s="111" t="s">
        <v>2798</v>
      </c>
      <c r="BX86" s="111" t="s">
        <v>2798</v>
      </c>
      <c r="BY86" s="111" t="s">
        <v>2798</v>
      </c>
      <c r="BZ86" s="111" t="s">
        <v>2798</v>
      </c>
      <c r="CA86" s="111" t="s">
        <v>2798</v>
      </c>
      <c r="CB86" s="111" t="s">
        <v>2798</v>
      </c>
      <c r="CC86" s="111" t="s">
        <v>2778</v>
      </c>
      <c r="CD86" s="111" t="s">
        <v>2779</v>
      </c>
      <c r="CE86" s="111" t="s">
        <v>2780</v>
      </c>
      <c r="CF86" s="111" t="s">
        <v>2781</v>
      </c>
      <c r="CG86" s="111" t="s">
        <v>2782</v>
      </c>
      <c r="CH86" s="111" t="s">
        <v>2783</v>
      </c>
      <c r="CI86" s="111" t="s">
        <v>2798</v>
      </c>
      <c r="CJ86" s="111" t="s">
        <v>2785</v>
      </c>
      <c r="CK86" s="111" t="s">
        <v>2786</v>
      </c>
      <c r="CL86" s="111" t="s">
        <v>2787</v>
      </c>
      <c r="CM86" s="111" t="s">
        <v>2788</v>
      </c>
      <c r="CN86" s="111" t="s">
        <v>2789</v>
      </c>
      <c r="CO86" s="111" t="s">
        <v>2790</v>
      </c>
      <c r="CP86" s="111" t="s">
        <v>2791</v>
      </c>
      <c r="CQ86" s="111" t="s">
        <v>2792</v>
      </c>
    </row>
    <row r="87" spans="2:95" ht="14.25" customHeight="1">
      <c r="D87" s="109"/>
      <c r="F87" s="112"/>
      <c r="G87" s="106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</row>
    <row r="88" spans="2:95" ht="14.25" customHeight="1">
      <c r="B88" s="106" t="s">
        <v>795</v>
      </c>
      <c r="D88" s="109">
        <v>11000</v>
      </c>
      <c r="F88" s="110"/>
      <c r="G88" s="106" t="s">
        <v>2793</v>
      </c>
      <c r="H88" s="102">
        <v>0</v>
      </c>
      <c r="I88" s="102">
        <v>0</v>
      </c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</row>
    <row r="89" spans="2:95" ht="14.25" customHeight="1">
      <c r="B89" s="106" t="s">
        <v>796</v>
      </c>
      <c r="C89" s="106" t="s">
        <v>2878</v>
      </c>
      <c r="D89" s="109">
        <v>11026.773999999999</v>
      </c>
      <c r="E89" s="106" t="s">
        <v>2183</v>
      </c>
      <c r="F89" s="110">
        <v>26.773999999999432</v>
      </c>
      <c r="G89" s="106" t="s">
        <v>2795</v>
      </c>
      <c r="H89" s="102">
        <v>0</v>
      </c>
      <c r="I89" s="102">
        <v>0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</row>
    <row r="90" spans="2:95" ht="14.25" customHeight="1">
      <c r="B90" s="106" t="s">
        <v>797</v>
      </c>
      <c r="C90" s="106" t="s">
        <v>2879</v>
      </c>
      <c r="D90" s="109">
        <v>11053.549000000001</v>
      </c>
      <c r="E90" s="106" t="s">
        <v>2183</v>
      </c>
      <c r="F90" s="110">
        <v>26.775000000001455</v>
      </c>
      <c r="G90" s="106" t="s">
        <v>2793</v>
      </c>
      <c r="H90" s="102">
        <v>0</v>
      </c>
      <c r="I90" s="102">
        <v>0</v>
      </c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</row>
    <row r="91" spans="2:95" ht="14.25" customHeight="1">
      <c r="B91" s="106" t="s">
        <v>798</v>
      </c>
      <c r="C91" s="106" t="s">
        <v>2880</v>
      </c>
      <c r="D91" s="109">
        <v>11094.175999999999</v>
      </c>
      <c r="E91" s="106" t="s">
        <v>2194</v>
      </c>
      <c r="F91" s="110">
        <v>40.626999999998588</v>
      </c>
      <c r="G91" s="106" t="s">
        <v>2795</v>
      </c>
      <c r="H91" s="102">
        <v>0</v>
      </c>
      <c r="I91" s="102">
        <v>0</v>
      </c>
      <c r="J91" s="111" t="s">
        <v>87</v>
      </c>
      <c r="K91" s="111" t="s">
        <v>2708</v>
      </c>
      <c r="L91" s="111" t="s">
        <v>2709</v>
      </c>
      <c r="M91" s="111" t="s">
        <v>2710</v>
      </c>
      <c r="N91" s="111" t="s">
        <v>2711</v>
      </c>
      <c r="O91" s="111" t="s">
        <v>2712</v>
      </c>
      <c r="P91" s="111" t="s">
        <v>2713</v>
      </c>
      <c r="Q91" s="111" t="s">
        <v>2714</v>
      </c>
      <c r="R91" s="111" t="s">
        <v>2715</v>
      </c>
      <c r="S91" s="111" t="s">
        <v>2716</v>
      </c>
      <c r="T91" s="111" t="s">
        <v>2717</v>
      </c>
      <c r="U91" s="111" t="s">
        <v>2718</v>
      </c>
      <c r="V91" s="111" t="s">
        <v>2719</v>
      </c>
      <c r="W91" s="111" t="s">
        <v>2720</v>
      </c>
      <c r="X91" s="111" t="s">
        <v>2798</v>
      </c>
      <c r="Y91" s="111" t="s">
        <v>2798</v>
      </c>
      <c r="Z91" s="111" t="s">
        <v>2798</v>
      </c>
      <c r="AA91" s="111" t="s">
        <v>2798</v>
      </c>
      <c r="AB91" s="111" t="s">
        <v>2798</v>
      </c>
      <c r="AC91" s="111" t="s">
        <v>2798</v>
      </c>
      <c r="AD91" s="111" t="s">
        <v>2798</v>
      </c>
      <c r="AE91" s="111" t="s">
        <v>2798</v>
      </c>
      <c r="AF91" s="111" t="s">
        <v>2798</v>
      </c>
      <c r="AG91" s="111" t="s">
        <v>2798</v>
      </c>
      <c r="AH91" s="111" t="s">
        <v>2798</v>
      </c>
      <c r="AI91" s="111" t="s">
        <v>2798</v>
      </c>
      <c r="AJ91" s="111" t="s">
        <v>2798</v>
      </c>
      <c r="AK91" s="111" t="s">
        <v>2798</v>
      </c>
      <c r="AL91" s="111" t="s">
        <v>2798</v>
      </c>
      <c r="AM91" s="111" t="s">
        <v>2798</v>
      </c>
      <c r="AN91" s="111" t="s">
        <v>2798</v>
      </c>
      <c r="AO91" s="111" t="s">
        <v>2798</v>
      </c>
      <c r="AP91" s="111" t="s">
        <v>2798</v>
      </c>
      <c r="AQ91" s="111" t="s">
        <v>2798</v>
      </c>
      <c r="AR91" s="111" t="s">
        <v>2798</v>
      </c>
      <c r="AS91" s="111" t="s">
        <v>2798</v>
      </c>
      <c r="AT91" s="111" t="s">
        <v>2798</v>
      </c>
      <c r="AU91" s="111" t="s">
        <v>2798</v>
      </c>
      <c r="AV91" s="111" t="s">
        <v>2798</v>
      </c>
      <c r="AW91" s="111" t="s">
        <v>2798</v>
      </c>
      <c r="AX91" s="111" t="s">
        <v>2798</v>
      </c>
      <c r="AY91" s="111" t="s">
        <v>2798</v>
      </c>
      <c r="AZ91" s="111" t="s">
        <v>2798</v>
      </c>
      <c r="BA91" s="111" t="s">
        <v>2798</v>
      </c>
      <c r="BB91" s="111" t="s">
        <v>2798</v>
      </c>
      <c r="BC91" s="111" t="s">
        <v>2798</v>
      </c>
      <c r="BD91" s="111" t="s">
        <v>2798</v>
      </c>
      <c r="BE91" s="111" t="s">
        <v>2798</v>
      </c>
      <c r="BF91" s="111" t="s">
        <v>2798</v>
      </c>
      <c r="BG91" s="111" t="s">
        <v>2798</v>
      </c>
      <c r="BH91" s="111" t="s">
        <v>2798</v>
      </c>
      <c r="BI91" s="111" t="s">
        <v>2798</v>
      </c>
      <c r="BJ91" s="111" t="s">
        <v>2798</v>
      </c>
      <c r="BK91" s="111" t="s">
        <v>2798</v>
      </c>
      <c r="BL91" s="111" t="s">
        <v>2798</v>
      </c>
      <c r="BM91" s="111" t="s">
        <v>2798</v>
      </c>
      <c r="BN91" s="111" t="s">
        <v>2798</v>
      </c>
      <c r="BO91" s="111" t="s">
        <v>2798</v>
      </c>
      <c r="BP91" s="111" t="s">
        <v>2798</v>
      </c>
      <c r="BQ91" s="111" t="s">
        <v>2798</v>
      </c>
      <c r="BR91" s="111" t="s">
        <v>2798</v>
      </c>
      <c r="BS91" s="111" t="s">
        <v>2798</v>
      </c>
      <c r="BT91" s="111" t="s">
        <v>2798</v>
      </c>
      <c r="BU91" s="111" t="s">
        <v>2798</v>
      </c>
      <c r="BV91" s="111" t="s">
        <v>2798</v>
      </c>
      <c r="BW91" s="111" t="s">
        <v>2798</v>
      </c>
      <c r="BX91" s="111" t="s">
        <v>2798</v>
      </c>
      <c r="BY91" s="111" t="s">
        <v>2798</v>
      </c>
      <c r="BZ91" s="111" t="s">
        <v>2798</v>
      </c>
      <c r="CA91" s="111" t="s">
        <v>2798</v>
      </c>
      <c r="CB91" s="111" t="s">
        <v>2798</v>
      </c>
      <c r="CC91" s="111" t="s">
        <v>2798</v>
      </c>
      <c r="CD91" s="111" t="s">
        <v>2798</v>
      </c>
      <c r="CE91" s="111" t="s">
        <v>2798</v>
      </c>
      <c r="CF91" s="111" t="s">
        <v>2798</v>
      </c>
      <c r="CG91" s="111" t="s">
        <v>2798</v>
      </c>
      <c r="CH91" s="111" t="s">
        <v>2798</v>
      </c>
      <c r="CI91" s="111" t="s">
        <v>2798</v>
      </c>
      <c r="CJ91" s="111" t="s">
        <v>2798</v>
      </c>
      <c r="CK91" s="111" t="s">
        <v>2798</v>
      </c>
      <c r="CL91" s="111" t="s">
        <v>2798</v>
      </c>
      <c r="CM91" s="111" t="s">
        <v>2798</v>
      </c>
      <c r="CN91" s="111" t="s">
        <v>2798</v>
      </c>
      <c r="CO91" s="111" t="s">
        <v>2798</v>
      </c>
      <c r="CP91" s="111" t="s">
        <v>2798</v>
      </c>
      <c r="CQ91" s="111" t="s">
        <v>2798</v>
      </c>
    </row>
    <row r="92" spans="2:95" ht="14.25" customHeight="1">
      <c r="B92" s="106" t="s">
        <v>799</v>
      </c>
      <c r="C92" s="106" t="s">
        <v>2881</v>
      </c>
      <c r="D92" s="109">
        <v>11134.803</v>
      </c>
      <c r="E92" s="106" t="s">
        <v>2194</v>
      </c>
      <c r="F92" s="110">
        <v>40.627000000000407</v>
      </c>
      <c r="G92" s="106" t="s">
        <v>2795</v>
      </c>
      <c r="H92" s="102">
        <v>0</v>
      </c>
      <c r="I92" s="102">
        <v>0</v>
      </c>
      <c r="J92" s="111" t="s">
        <v>2798</v>
      </c>
      <c r="K92" s="111" t="s">
        <v>2798</v>
      </c>
      <c r="L92" s="111" t="s">
        <v>2798</v>
      </c>
      <c r="M92" s="111" t="s">
        <v>2798</v>
      </c>
      <c r="N92" s="111" t="s">
        <v>2798</v>
      </c>
      <c r="O92" s="111" t="s">
        <v>2798</v>
      </c>
      <c r="P92" s="111" t="s">
        <v>2798</v>
      </c>
      <c r="Q92" s="111" t="s">
        <v>2798</v>
      </c>
      <c r="R92" s="111" t="s">
        <v>2798</v>
      </c>
      <c r="S92" s="111" t="s">
        <v>2798</v>
      </c>
      <c r="T92" s="111" t="s">
        <v>2798</v>
      </c>
      <c r="U92" s="111" t="s">
        <v>2798</v>
      </c>
      <c r="V92" s="111" t="s">
        <v>2798</v>
      </c>
      <c r="W92" s="111" t="s">
        <v>2798</v>
      </c>
      <c r="X92" s="111" t="s">
        <v>2721</v>
      </c>
      <c r="Y92" s="111" t="s">
        <v>2722</v>
      </c>
      <c r="Z92" s="111" t="s">
        <v>2723</v>
      </c>
      <c r="AA92" s="111" t="s">
        <v>2724</v>
      </c>
      <c r="AB92" s="111" t="s">
        <v>2725</v>
      </c>
      <c r="AC92" s="111" t="s">
        <v>2726</v>
      </c>
      <c r="AD92" s="111" t="s">
        <v>2727</v>
      </c>
      <c r="AE92" s="111" t="s">
        <v>2728</v>
      </c>
      <c r="AF92" s="111" t="s">
        <v>2729</v>
      </c>
      <c r="AG92" s="111" t="s">
        <v>2730</v>
      </c>
      <c r="AH92" s="111" t="s">
        <v>2731</v>
      </c>
      <c r="AI92" s="111" t="s">
        <v>2732</v>
      </c>
      <c r="AJ92" s="111" t="s">
        <v>2733</v>
      </c>
      <c r="AK92" s="111" t="s">
        <v>2734</v>
      </c>
      <c r="AL92" s="111" t="s">
        <v>2798</v>
      </c>
      <c r="AM92" s="111" t="s">
        <v>2798</v>
      </c>
      <c r="AN92" s="111" t="s">
        <v>2798</v>
      </c>
      <c r="AO92" s="111" t="s">
        <v>2798</v>
      </c>
      <c r="AP92" s="111" t="s">
        <v>2798</v>
      </c>
      <c r="AQ92" s="111" t="s">
        <v>2798</v>
      </c>
      <c r="AR92" s="111" t="s">
        <v>2798</v>
      </c>
      <c r="AS92" s="111" t="s">
        <v>2798</v>
      </c>
      <c r="AT92" s="111" t="s">
        <v>2798</v>
      </c>
      <c r="AU92" s="111" t="s">
        <v>2798</v>
      </c>
      <c r="AV92" s="111" t="s">
        <v>2798</v>
      </c>
      <c r="AW92" s="111" t="s">
        <v>2798</v>
      </c>
      <c r="AX92" s="111" t="s">
        <v>2798</v>
      </c>
      <c r="AY92" s="111" t="s">
        <v>2798</v>
      </c>
      <c r="AZ92" s="111" t="s">
        <v>2798</v>
      </c>
      <c r="BA92" s="111" t="s">
        <v>2798</v>
      </c>
      <c r="BB92" s="111" t="s">
        <v>2798</v>
      </c>
      <c r="BC92" s="111" t="s">
        <v>2798</v>
      </c>
      <c r="BD92" s="111" t="s">
        <v>2798</v>
      </c>
      <c r="BE92" s="111" t="s">
        <v>2798</v>
      </c>
      <c r="BF92" s="111" t="s">
        <v>2798</v>
      </c>
      <c r="BG92" s="111" t="s">
        <v>2798</v>
      </c>
      <c r="BH92" s="111" t="s">
        <v>2798</v>
      </c>
      <c r="BI92" s="111" t="s">
        <v>2798</v>
      </c>
      <c r="BJ92" s="111" t="s">
        <v>2798</v>
      </c>
      <c r="BK92" s="111" t="s">
        <v>2798</v>
      </c>
      <c r="BL92" s="111" t="s">
        <v>2798</v>
      </c>
      <c r="BM92" s="111" t="s">
        <v>2798</v>
      </c>
      <c r="BN92" s="111" t="s">
        <v>2798</v>
      </c>
      <c r="BO92" s="111" t="s">
        <v>2798</v>
      </c>
      <c r="BP92" s="111" t="s">
        <v>2798</v>
      </c>
      <c r="BQ92" s="111" t="s">
        <v>2798</v>
      </c>
      <c r="BR92" s="111" t="s">
        <v>2798</v>
      </c>
      <c r="BS92" s="111" t="s">
        <v>2798</v>
      </c>
      <c r="BT92" s="111" t="s">
        <v>2798</v>
      </c>
      <c r="BU92" s="111" t="s">
        <v>2798</v>
      </c>
      <c r="BV92" s="111" t="s">
        <v>2798</v>
      </c>
      <c r="BW92" s="111" t="s">
        <v>2798</v>
      </c>
      <c r="BX92" s="111" t="s">
        <v>2798</v>
      </c>
      <c r="BY92" s="111" t="s">
        <v>2798</v>
      </c>
      <c r="BZ92" s="111" t="s">
        <v>2798</v>
      </c>
      <c r="CA92" s="111" t="s">
        <v>2798</v>
      </c>
      <c r="CB92" s="111" t="s">
        <v>2798</v>
      </c>
      <c r="CC92" s="111" t="s">
        <v>2798</v>
      </c>
      <c r="CD92" s="111" t="s">
        <v>2798</v>
      </c>
      <c r="CE92" s="111" t="s">
        <v>2798</v>
      </c>
      <c r="CF92" s="111" t="s">
        <v>2798</v>
      </c>
      <c r="CG92" s="111" t="s">
        <v>2798</v>
      </c>
      <c r="CH92" s="111" t="s">
        <v>2798</v>
      </c>
      <c r="CI92" s="111" t="s">
        <v>2798</v>
      </c>
      <c r="CJ92" s="111" t="s">
        <v>2798</v>
      </c>
      <c r="CK92" s="111" t="s">
        <v>2798</v>
      </c>
      <c r="CL92" s="111" t="s">
        <v>2798</v>
      </c>
      <c r="CM92" s="111" t="s">
        <v>2798</v>
      </c>
      <c r="CN92" s="111" t="s">
        <v>2798</v>
      </c>
      <c r="CO92" s="111" t="s">
        <v>2798</v>
      </c>
      <c r="CP92" s="111" t="s">
        <v>2798</v>
      </c>
      <c r="CQ92" s="111" t="s">
        <v>2798</v>
      </c>
    </row>
    <row r="93" spans="2:95" ht="14.25" customHeight="1">
      <c r="B93" s="106" t="s">
        <v>800</v>
      </c>
      <c r="C93" s="106" t="s">
        <v>2882</v>
      </c>
      <c r="D93" s="109">
        <v>11175.431</v>
      </c>
      <c r="E93" s="106" t="s">
        <v>2194</v>
      </c>
      <c r="F93" s="110">
        <v>40.628000000000611</v>
      </c>
      <c r="G93" s="106" t="s">
        <v>2795</v>
      </c>
      <c r="H93" s="102">
        <v>0</v>
      </c>
      <c r="I93" s="102">
        <v>0</v>
      </c>
      <c r="J93" s="111" t="s">
        <v>2798</v>
      </c>
      <c r="K93" s="111" t="s">
        <v>2798</v>
      </c>
      <c r="L93" s="111" t="s">
        <v>2798</v>
      </c>
      <c r="M93" s="111" t="s">
        <v>2798</v>
      </c>
      <c r="N93" s="111" t="s">
        <v>2798</v>
      </c>
      <c r="O93" s="111" t="s">
        <v>2798</v>
      </c>
      <c r="P93" s="111" t="s">
        <v>2798</v>
      </c>
      <c r="Q93" s="111" t="s">
        <v>2798</v>
      </c>
      <c r="R93" s="111" t="s">
        <v>2798</v>
      </c>
      <c r="S93" s="111" t="s">
        <v>2798</v>
      </c>
      <c r="T93" s="111" t="s">
        <v>2798</v>
      </c>
      <c r="U93" s="111" t="s">
        <v>2798</v>
      </c>
      <c r="V93" s="111" t="s">
        <v>2798</v>
      </c>
      <c r="W93" s="111" t="s">
        <v>2798</v>
      </c>
      <c r="X93" s="111" t="s">
        <v>2798</v>
      </c>
      <c r="Y93" s="111" t="s">
        <v>2798</v>
      </c>
      <c r="Z93" s="111" t="s">
        <v>2798</v>
      </c>
      <c r="AA93" s="111" t="s">
        <v>2798</v>
      </c>
      <c r="AB93" s="111" t="s">
        <v>2798</v>
      </c>
      <c r="AC93" s="111" t="s">
        <v>2798</v>
      </c>
      <c r="AD93" s="111" t="s">
        <v>2798</v>
      </c>
      <c r="AE93" s="111" t="s">
        <v>2798</v>
      </c>
      <c r="AF93" s="111" t="s">
        <v>2798</v>
      </c>
      <c r="AG93" s="111" t="s">
        <v>2798</v>
      </c>
      <c r="AH93" s="111" t="s">
        <v>2798</v>
      </c>
      <c r="AI93" s="111" t="s">
        <v>2798</v>
      </c>
      <c r="AJ93" s="111" t="s">
        <v>2798</v>
      </c>
      <c r="AK93" s="111" t="s">
        <v>2798</v>
      </c>
      <c r="AL93" s="111" t="s">
        <v>2735</v>
      </c>
      <c r="AM93" s="111" t="s">
        <v>2736</v>
      </c>
      <c r="AN93" s="111" t="s">
        <v>2737</v>
      </c>
      <c r="AO93" s="111" t="s">
        <v>2738</v>
      </c>
      <c r="AP93" s="111" t="s">
        <v>2739</v>
      </c>
      <c r="AQ93" s="111" t="s">
        <v>2740</v>
      </c>
      <c r="AR93" s="111" t="s">
        <v>2741</v>
      </c>
      <c r="AS93" s="111" t="s">
        <v>2798</v>
      </c>
      <c r="AT93" s="111" t="s">
        <v>2798</v>
      </c>
      <c r="AU93" s="111" t="s">
        <v>2798</v>
      </c>
      <c r="AV93" s="111" t="s">
        <v>2798</v>
      </c>
      <c r="AW93" s="111" t="s">
        <v>2798</v>
      </c>
      <c r="AX93" s="111" t="s">
        <v>2798</v>
      </c>
      <c r="AY93" s="111" t="s">
        <v>2798</v>
      </c>
      <c r="AZ93" s="111" t="s">
        <v>2798</v>
      </c>
      <c r="BA93" s="111" t="s">
        <v>2798</v>
      </c>
      <c r="BB93" s="111" t="s">
        <v>2798</v>
      </c>
      <c r="BC93" s="111" t="s">
        <v>2798</v>
      </c>
      <c r="BD93" s="111" t="s">
        <v>2798</v>
      </c>
      <c r="BE93" s="111" t="s">
        <v>2798</v>
      </c>
      <c r="BF93" s="111" t="s">
        <v>2798</v>
      </c>
      <c r="BG93" s="111" t="s">
        <v>2798</v>
      </c>
      <c r="BH93" s="111" t="s">
        <v>2757</v>
      </c>
      <c r="BI93" s="111" t="s">
        <v>2758</v>
      </c>
      <c r="BJ93" s="111" t="s">
        <v>2759</v>
      </c>
      <c r="BK93" s="111" t="s">
        <v>2760</v>
      </c>
      <c r="BL93" s="111" t="s">
        <v>2761</v>
      </c>
      <c r="BM93" s="111" t="s">
        <v>2762</v>
      </c>
      <c r="BN93" s="111" t="s">
        <v>2763</v>
      </c>
      <c r="BO93" s="111" t="s">
        <v>2798</v>
      </c>
      <c r="BP93" s="111" t="s">
        <v>2798</v>
      </c>
      <c r="BQ93" s="111" t="s">
        <v>2798</v>
      </c>
      <c r="BR93" s="111" t="s">
        <v>2798</v>
      </c>
      <c r="BS93" s="111" t="s">
        <v>2798</v>
      </c>
      <c r="BT93" s="111" t="s">
        <v>2798</v>
      </c>
      <c r="BU93" s="111" t="s">
        <v>2798</v>
      </c>
      <c r="BV93" s="111" t="s">
        <v>2798</v>
      </c>
      <c r="BW93" s="111" t="s">
        <v>2798</v>
      </c>
      <c r="BX93" s="111" t="s">
        <v>2798</v>
      </c>
      <c r="BY93" s="111" t="s">
        <v>2798</v>
      </c>
      <c r="BZ93" s="111" t="s">
        <v>2798</v>
      </c>
      <c r="CA93" s="111" t="s">
        <v>2798</v>
      </c>
      <c r="CB93" s="111" t="s">
        <v>2798</v>
      </c>
      <c r="CC93" s="111" t="s">
        <v>2798</v>
      </c>
      <c r="CD93" s="111" t="s">
        <v>2798</v>
      </c>
      <c r="CE93" s="111" t="s">
        <v>2798</v>
      </c>
      <c r="CF93" s="111" t="s">
        <v>2798</v>
      </c>
      <c r="CG93" s="111" t="s">
        <v>2798</v>
      </c>
      <c r="CH93" s="111" t="s">
        <v>2798</v>
      </c>
      <c r="CI93" s="111" t="s">
        <v>2798</v>
      </c>
      <c r="CJ93" s="111" t="s">
        <v>2798</v>
      </c>
      <c r="CK93" s="111" t="s">
        <v>2798</v>
      </c>
      <c r="CL93" s="111" t="s">
        <v>2798</v>
      </c>
      <c r="CM93" s="111" t="s">
        <v>2798</v>
      </c>
      <c r="CN93" s="111" t="s">
        <v>2798</v>
      </c>
      <c r="CO93" s="111" t="s">
        <v>2798</v>
      </c>
      <c r="CP93" s="111" t="s">
        <v>2798</v>
      </c>
      <c r="CQ93" s="111" t="s">
        <v>2798</v>
      </c>
    </row>
    <row r="94" spans="2:95" ht="14.25" customHeight="1">
      <c r="B94" s="106" t="s">
        <v>801</v>
      </c>
      <c r="C94" s="106" t="s">
        <v>2883</v>
      </c>
      <c r="D94" s="109">
        <v>11216.058000000001</v>
      </c>
      <c r="E94" s="106" t="s">
        <v>2194</v>
      </c>
      <c r="F94" s="110">
        <v>40.627000000000407</v>
      </c>
      <c r="G94" s="106" t="s">
        <v>2795</v>
      </c>
      <c r="H94" s="102">
        <v>0</v>
      </c>
      <c r="I94" s="102">
        <v>0</v>
      </c>
      <c r="J94" s="111" t="s">
        <v>2798</v>
      </c>
      <c r="K94" s="111" t="s">
        <v>2798</v>
      </c>
      <c r="L94" s="111" t="s">
        <v>2798</v>
      </c>
      <c r="M94" s="111" t="s">
        <v>2798</v>
      </c>
      <c r="N94" s="111" t="s">
        <v>2798</v>
      </c>
      <c r="O94" s="111" t="s">
        <v>2798</v>
      </c>
      <c r="P94" s="111" t="s">
        <v>2798</v>
      </c>
      <c r="Q94" s="111" t="s">
        <v>2798</v>
      </c>
      <c r="R94" s="111" t="s">
        <v>2798</v>
      </c>
      <c r="S94" s="111" t="s">
        <v>2798</v>
      </c>
      <c r="T94" s="111" t="s">
        <v>2798</v>
      </c>
      <c r="U94" s="111" t="s">
        <v>2798</v>
      </c>
      <c r="V94" s="111" t="s">
        <v>2798</v>
      </c>
      <c r="W94" s="111" t="s">
        <v>2798</v>
      </c>
      <c r="X94" s="111" t="s">
        <v>2798</v>
      </c>
      <c r="Y94" s="111" t="s">
        <v>2798</v>
      </c>
      <c r="Z94" s="111" t="s">
        <v>2798</v>
      </c>
      <c r="AA94" s="111" t="s">
        <v>2798</v>
      </c>
      <c r="AB94" s="111" t="s">
        <v>2798</v>
      </c>
      <c r="AC94" s="111" t="s">
        <v>2798</v>
      </c>
      <c r="AD94" s="111" t="s">
        <v>2798</v>
      </c>
      <c r="AE94" s="111" t="s">
        <v>2798</v>
      </c>
      <c r="AF94" s="111" t="s">
        <v>2798</v>
      </c>
      <c r="AG94" s="111" t="s">
        <v>2798</v>
      </c>
      <c r="AH94" s="111" t="s">
        <v>2798</v>
      </c>
      <c r="AI94" s="111" t="s">
        <v>2798</v>
      </c>
      <c r="AJ94" s="111" t="s">
        <v>2798</v>
      </c>
      <c r="AK94" s="111" t="s">
        <v>2798</v>
      </c>
      <c r="AL94" s="111" t="s">
        <v>2798</v>
      </c>
      <c r="AM94" s="111" t="s">
        <v>2798</v>
      </c>
      <c r="AN94" s="111" t="s">
        <v>2798</v>
      </c>
      <c r="AO94" s="111" t="s">
        <v>2798</v>
      </c>
      <c r="AP94" s="111" t="s">
        <v>2798</v>
      </c>
      <c r="AQ94" s="111" t="s">
        <v>2798</v>
      </c>
      <c r="AR94" s="111" t="s">
        <v>2798</v>
      </c>
      <c r="AS94" s="111" t="s">
        <v>2798</v>
      </c>
      <c r="AT94" s="111" t="s">
        <v>2798</v>
      </c>
      <c r="AU94" s="111" t="s">
        <v>2798</v>
      </c>
      <c r="AV94" s="111" t="s">
        <v>2798</v>
      </c>
      <c r="AW94" s="111" t="s">
        <v>2798</v>
      </c>
      <c r="AX94" s="111" t="s">
        <v>2798</v>
      </c>
      <c r="AY94" s="111" t="s">
        <v>2798</v>
      </c>
      <c r="AZ94" s="111" t="s">
        <v>2798</v>
      </c>
      <c r="BA94" s="111" t="s">
        <v>2798</v>
      </c>
      <c r="BB94" s="111" t="s">
        <v>2798</v>
      </c>
      <c r="BC94" s="111" t="s">
        <v>2798</v>
      </c>
      <c r="BD94" s="111" t="s">
        <v>2798</v>
      </c>
      <c r="BE94" s="111" t="s">
        <v>2798</v>
      </c>
      <c r="BF94" s="111" t="s">
        <v>2798</v>
      </c>
      <c r="BG94" s="111" t="s">
        <v>2798</v>
      </c>
      <c r="BH94" s="111" t="s">
        <v>2798</v>
      </c>
      <c r="BI94" s="111" t="s">
        <v>2798</v>
      </c>
      <c r="BJ94" s="111" t="s">
        <v>2798</v>
      </c>
      <c r="BK94" s="111" t="s">
        <v>2798</v>
      </c>
      <c r="BL94" s="111" t="s">
        <v>2798</v>
      </c>
      <c r="BM94" s="111" t="s">
        <v>2798</v>
      </c>
      <c r="BN94" s="111" t="s">
        <v>2798</v>
      </c>
      <c r="BO94" s="111" t="s">
        <v>2764</v>
      </c>
      <c r="BP94" s="111" t="s">
        <v>2765</v>
      </c>
      <c r="BQ94" s="111" t="s">
        <v>2766</v>
      </c>
      <c r="BR94" s="111" t="s">
        <v>2767</v>
      </c>
      <c r="BS94" s="111" t="s">
        <v>2768</v>
      </c>
      <c r="BT94" s="111" t="s">
        <v>2769</v>
      </c>
      <c r="BU94" s="111" t="s">
        <v>2770</v>
      </c>
      <c r="BV94" s="111" t="s">
        <v>2771</v>
      </c>
      <c r="BW94" s="111" t="s">
        <v>2772</v>
      </c>
      <c r="BX94" s="111" t="s">
        <v>2773</v>
      </c>
      <c r="BY94" s="111" t="s">
        <v>2774</v>
      </c>
      <c r="BZ94" s="111" t="s">
        <v>2775</v>
      </c>
      <c r="CA94" s="111" t="s">
        <v>2776</v>
      </c>
      <c r="CB94" s="111" t="s">
        <v>2777</v>
      </c>
      <c r="CC94" s="111" t="s">
        <v>2798</v>
      </c>
      <c r="CD94" s="111" t="s">
        <v>2798</v>
      </c>
      <c r="CE94" s="111" t="s">
        <v>2798</v>
      </c>
      <c r="CF94" s="111" t="s">
        <v>2798</v>
      </c>
      <c r="CG94" s="111" t="s">
        <v>2798</v>
      </c>
      <c r="CH94" s="111" t="s">
        <v>2798</v>
      </c>
      <c r="CI94" s="111" t="s">
        <v>2798</v>
      </c>
      <c r="CJ94" s="111" t="s">
        <v>2798</v>
      </c>
      <c r="CK94" s="111" t="s">
        <v>2798</v>
      </c>
      <c r="CL94" s="111" t="s">
        <v>2798</v>
      </c>
      <c r="CM94" s="111" t="s">
        <v>2798</v>
      </c>
      <c r="CN94" s="111" t="s">
        <v>2798</v>
      </c>
      <c r="CO94" s="111" t="s">
        <v>2798</v>
      </c>
      <c r="CP94" s="111" t="s">
        <v>2798</v>
      </c>
      <c r="CQ94" s="111" t="s">
        <v>2798</v>
      </c>
    </row>
    <row r="95" spans="2:95" ht="14.25" customHeight="1">
      <c r="B95" s="106" t="s">
        <v>802</v>
      </c>
      <c r="C95" s="106" t="s">
        <v>2884</v>
      </c>
      <c r="D95" s="109">
        <v>11256.686</v>
      </c>
      <c r="E95" s="106" t="s">
        <v>2194</v>
      </c>
      <c r="F95" s="110">
        <v>40.627999999998792</v>
      </c>
      <c r="G95" s="106" t="s">
        <v>2793</v>
      </c>
      <c r="H95" s="102">
        <v>0</v>
      </c>
      <c r="I95" s="102">
        <v>0</v>
      </c>
      <c r="J95" s="111" t="s">
        <v>2798</v>
      </c>
      <c r="K95" s="111" t="s">
        <v>2798</v>
      </c>
      <c r="L95" s="111" t="s">
        <v>2798</v>
      </c>
      <c r="M95" s="111" t="s">
        <v>2798</v>
      </c>
      <c r="N95" s="111" t="s">
        <v>2798</v>
      </c>
      <c r="O95" s="111" t="s">
        <v>2798</v>
      </c>
      <c r="P95" s="111" t="s">
        <v>2798</v>
      </c>
      <c r="Q95" s="111" t="s">
        <v>2798</v>
      </c>
      <c r="R95" s="111" t="s">
        <v>2798</v>
      </c>
      <c r="S95" s="111" t="s">
        <v>2798</v>
      </c>
      <c r="T95" s="111" t="s">
        <v>2798</v>
      </c>
      <c r="U95" s="111" t="s">
        <v>2798</v>
      </c>
      <c r="V95" s="111" t="s">
        <v>2798</v>
      </c>
      <c r="W95" s="111" t="s">
        <v>2798</v>
      </c>
      <c r="X95" s="111" t="s">
        <v>2798</v>
      </c>
      <c r="Y95" s="111" t="s">
        <v>2798</v>
      </c>
      <c r="Z95" s="111" t="s">
        <v>2798</v>
      </c>
      <c r="AA95" s="111" t="s">
        <v>2798</v>
      </c>
      <c r="AB95" s="111" t="s">
        <v>2798</v>
      </c>
      <c r="AC95" s="111" t="s">
        <v>2798</v>
      </c>
      <c r="AD95" s="111" t="s">
        <v>2798</v>
      </c>
      <c r="AE95" s="111" t="s">
        <v>2798</v>
      </c>
      <c r="AF95" s="111" t="s">
        <v>2798</v>
      </c>
      <c r="AG95" s="111" t="s">
        <v>2798</v>
      </c>
      <c r="AH95" s="111" t="s">
        <v>2798</v>
      </c>
      <c r="AI95" s="111" t="s">
        <v>2798</v>
      </c>
      <c r="AJ95" s="111" t="s">
        <v>2798</v>
      </c>
      <c r="AK95" s="111" t="s">
        <v>2798</v>
      </c>
      <c r="AL95" s="111" t="s">
        <v>2798</v>
      </c>
      <c r="AM95" s="111" t="s">
        <v>2798</v>
      </c>
      <c r="AN95" s="111" t="s">
        <v>2798</v>
      </c>
      <c r="AO95" s="111" t="s">
        <v>2798</v>
      </c>
      <c r="AP95" s="111" t="s">
        <v>2798</v>
      </c>
      <c r="AQ95" s="111" t="s">
        <v>2798</v>
      </c>
      <c r="AR95" s="111" t="s">
        <v>2798</v>
      </c>
      <c r="AS95" s="111" t="s">
        <v>2798</v>
      </c>
      <c r="AT95" s="111" t="s">
        <v>2798</v>
      </c>
      <c r="AU95" s="111" t="s">
        <v>2798</v>
      </c>
      <c r="AV95" s="111" t="s">
        <v>2798</v>
      </c>
      <c r="AW95" s="111" t="s">
        <v>2798</v>
      </c>
      <c r="AX95" s="111" t="s">
        <v>2798</v>
      </c>
      <c r="AY95" s="111" t="s">
        <v>2798</v>
      </c>
      <c r="AZ95" s="111" t="s">
        <v>2798</v>
      </c>
      <c r="BA95" s="111" t="s">
        <v>2798</v>
      </c>
      <c r="BB95" s="111" t="s">
        <v>2798</v>
      </c>
      <c r="BC95" s="111" t="s">
        <v>2798</v>
      </c>
      <c r="BD95" s="111" t="s">
        <v>2798</v>
      </c>
      <c r="BE95" s="111" t="s">
        <v>2798</v>
      </c>
      <c r="BF95" s="111" t="s">
        <v>2798</v>
      </c>
      <c r="BG95" s="111" t="s">
        <v>2798</v>
      </c>
      <c r="BH95" s="111" t="s">
        <v>2798</v>
      </c>
      <c r="BI95" s="111" t="s">
        <v>2798</v>
      </c>
      <c r="BJ95" s="111" t="s">
        <v>2798</v>
      </c>
      <c r="BK95" s="111" t="s">
        <v>2798</v>
      </c>
      <c r="BL95" s="111" t="s">
        <v>2798</v>
      </c>
      <c r="BM95" s="111" t="s">
        <v>2798</v>
      </c>
      <c r="BN95" s="111" t="s">
        <v>2798</v>
      </c>
      <c r="BO95" s="111" t="s">
        <v>2798</v>
      </c>
      <c r="BP95" s="111" t="s">
        <v>2798</v>
      </c>
      <c r="BQ95" s="111" t="s">
        <v>2798</v>
      </c>
      <c r="BR95" s="111" t="s">
        <v>2798</v>
      </c>
      <c r="BS95" s="111" t="s">
        <v>2798</v>
      </c>
      <c r="BT95" s="111" t="s">
        <v>2798</v>
      </c>
      <c r="BU95" s="111" t="s">
        <v>2798</v>
      </c>
      <c r="BV95" s="111" t="s">
        <v>2798</v>
      </c>
      <c r="BW95" s="111" t="s">
        <v>2798</v>
      </c>
      <c r="BX95" s="111" t="s">
        <v>2798</v>
      </c>
      <c r="BY95" s="111" t="s">
        <v>2798</v>
      </c>
      <c r="BZ95" s="111" t="s">
        <v>2798</v>
      </c>
      <c r="CA95" s="111" t="s">
        <v>2798</v>
      </c>
      <c r="CB95" s="111" t="s">
        <v>2798</v>
      </c>
      <c r="CC95" s="111" t="s">
        <v>2778</v>
      </c>
      <c r="CD95" s="111" t="s">
        <v>2779</v>
      </c>
      <c r="CE95" s="111" t="s">
        <v>2780</v>
      </c>
      <c r="CF95" s="111" t="s">
        <v>2781</v>
      </c>
      <c r="CG95" s="111" t="s">
        <v>2782</v>
      </c>
      <c r="CH95" s="111" t="s">
        <v>2783</v>
      </c>
      <c r="CI95" s="111" t="s">
        <v>2798</v>
      </c>
      <c r="CJ95" s="111" t="s">
        <v>2785</v>
      </c>
      <c r="CK95" s="111" t="s">
        <v>2786</v>
      </c>
      <c r="CL95" s="111" t="s">
        <v>2787</v>
      </c>
      <c r="CM95" s="111" t="s">
        <v>2788</v>
      </c>
      <c r="CN95" s="111" t="s">
        <v>2789</v>
      </c>
      <c r="CO95" s="111" t="s">
        <v>2790</v>
      </c>
      <c r="CP95" s="111" t="s">
        <v>2791</v>
      </c>
      <c r="CQ95" s="111" t="s">
        <v>2792</v>
      </c>
    </row>
    <row r="96" spans="2:95" ht="14.25" customHeight="1">
      <c r="B96" s="106" t="s">
        <v>803</v>
      </c>
      <c r="C96" s="106" t="s">
        <v>2885</v>
      </c>
      <c r="D96" s="109">
        <v>11306.267</v>
      </c>
      <c r="E96" s="106" t="s">
        <v>2233</v>
      </c>
      <c r="F96" s="110">
        <v>49.581000000000131</v>
      </c>
      <c r="G96" s="106" t="s">
        <v>2795</v>
      </c>
      <c r="H96" s="102">
        <v>0</v>
      </c>
      <c r="I96" s="102">
        <v>0</v>
      </c>
      <c r="J96" s="111" t="s">
        <v>87</v>
      </c>
      <c r="K96" s="111" t="s">
        <v>2708</v>
      </c>
      <c r="L96" s="111" t="s">
        <v>2709</v>
      </c>
      <c r="M96" s="111" t="s">
        <v>2710</v>
      </c>
      <c r="N96" s="111" t="s">
        <v>2711</v>
      </c>
      <c r="O96" s="111" t="s">
        <v>2712</v>
      </c>
      <c r="P96" s="111" t="s">
        <v>2713</v>
      </c>
      <c r="Q96" s="111" t="s">
        <v>2714</v>
      </c>
      <c r="R96" s="111" t="s">
        <v>2715</v>
      </c>
      <c r="S96" s="111" t="s">
        <v>2716</v>
      </c>
      <c r="T96" s="111" t="s">
        <v>2717</v>
      </c>
      <c r="U96" s="111" t="s">
        <v>2718</v>
      </c>
      <c r="V96" s="111" t="s">
        <v>2719</v>
      </c>
      <c r="W96" s="111" t="s">
        <v>2720</v>
      </c>
      <c r="X96" s="111" t="s">
        <v>2721</v>
      </c>
      <c r="Y96" s="111" t="s">
        <v>2722</v>
      </c>
      <c r="Z96" s="111" t="s">
        <v>2723</v>
      </c>
      <c r="AA96" s="111" t="s">
        <v>2798</v>
      </c>
      <c r="AB96" s="111" t="s">
        <v>2798</v>
      </c>
      <c r="AC96" s="111" t="s">
        <v>2798</v>
      </c>
      <c r="AD96" s="111" t="s">
        <v>2798</v>
      </c>
      <c r="AE96" s="111" t="s">
        <v>2798</v>
      </c>
      <c r="AF96" s="111" t="s">
        <v>2798</v>
      </c>
      <c r="AG96" s="111" t="s">
        <v>2798</v>
      </c>
      <c r="AH96" s="111" t="s">
        <v>2798</v>
      </c>
      <c r="AI96" s="111" t="s">
        <v>2798</v>
      </c>
      <c r="AJ96" s="111" t="s">
        <v>2798</v>
      </c>
      <c r="AK96" s="111" t="s">
        <v>2798</v>
      </c>
      <c r="AL96" s="111" t="s">
        <v>2798</v>
      </c>
      <c r="AM96" s="111" t="s">
        <v>2798</v>
      </c>
      <c r="AN96" s="111" t="s">
        <v>2798</v>
      </c>
      <c r="AO96" s="111" t="s">
        <v>2798</v>
      </c>
      <c r="AP96" s="111" t="s">
        <v>2798</v>
      </c>
      <c r="AQ96" s="111" t="s">
        <v>2798</v>
      </c>
      <c r="AR96" s="111" t="s">
        <v>2798</v>
      </c>
      <c r="AS96" s="111" t="s">
        <v>2798</v>
      </c>
      <c r="AT96" s="111" t="s">
        <v>2798</v>
      </c>
      <c r="AU96" s="111" t="s">
        <v>2798</v>
      </c>
      <c r="AV96" s="111" t="s">
        <v>2798</v>
      </c>
      <c r="AW96" s="111" t="s">
        <v>2798</v>
      </c>
      <c r="AX96" s="111" t="s">
        <v>2798</v>
      </c>
      <c r="AY96" s="111" t="s">
        <v>2798</v>
      </c>
      <c r="AZ96" s="111" t="s">
        <v>2798</v>
      </c>
      <c r="BA96" s="111" t="s">
        <v>2798</v>
      </c>
      <c r="BB96" s="111" t="s">
        <v>2798</v>
      </c>
      <c r="BC96" s="111" t="s">
        <v>2798</v>
      </c>
      <c r="BD96" s="111" t="s">
        <v>2798</v>
      </c>
      <c r="BE96" s="111" t="s">
        <v>2798</v>
      </c>
      <c r="BF96" s="111" t="s">
        <v>2798</v>
      </c>
      <c r="BG96" s="111" t="s">
        <v>2798</v>
      </c>
      <c r="BH96" s="111" t="s">
        <v>2798</v>
      </c>
      <c r="BI96" s="111" t="s">
        <v>2798</v>
      </c>
      <c r="BJ96" s="111" t="s">
        <v>2798</v>
      </c>
      <c r="BK96" s="111" t="s">
        <v>2798</v>
      </c>
      <c r="BL96" s="111" t="s">
        <v>2798</v>
      </c>
      <c r="BM96" s="111" t="s">
        <v>2798</v>
      </c>
      <c r="BN96" s="111" t="s">
        <v>2798</v>
      </c>
      <c r="BO96" s="111" t="s">
        <v>2798</v>
      </c>
      <c r="BP96" s="111" t="s">
        <v>2798</v>
      </c>
      <c r="BQ96" s="111" t="s">
        <v>2798</v>
      </c>
      <c r="BR96" s="111" t="s">
        <v>2798</v>
      </c>
      <c r="BS96" s="111" t="s">
        <v>2798</v>
      </c>
      <c r="BT96" s="111" t="s">
        <v>2798</v>
      </c>
      <c r="BU96" s="111" t="s">
        <v>2798</v>
      </c>
      <c r="BV96" s="111" t="s">
        <v>2798</v>
      </c>
      <c r="BW96" s="111" t="s">
        <v>2798</v>
      </c>
      <c r="BX96" s="111" t="s">
        <v>2798</v>
      </c>
      <c r="BY96" s="111" t="s">
        <v>2798</v>
      </c>
      <c r="BZ96" s="111" t="s">
        <v>2798</v>
      </c>
      <c r="CA96" s="111" t="s">
        <v>2798</v>
      </c>
      <c r="CB96" s="111" t="s">
        <v>2798</v>
      </c>
      <c r="CC96" s="111" t="s">
        <v>2798</v>
      </c>
      <c r="CD96" s="111" t="s">
        <v>2798</v>
      </c>
      <c r="CE96" s="111" t="s">
        <v>2798</v>
      </c>
      <c r="CF96" s="111" t="s">
        <v>2798</v>
      </c>
      <c r="CG96" s="111" t="s">
        <v>2798</v>
      </c>
      <c r="CH96" s="111" t="s">
        <v>2798</v>
      </c>
      <c r="CI96" s="111" t="s">
        <v>2798</v>
      </c>
      <c r="CJ96" s="111" t="s">
        <v>2798</v>
      </c>
      <c r="CK96" s="111" t="s">
        <v>2798</v>
      </c>
      <c r="CL96" s="111" t="s">
        <v>2798</v>
      </c>
      <c r="CM96" s="111" t="s">
        <v>2798</v>
      </c>
      <c r="CN96" s="111" t="s">
        <v>2798</v>
      </c>
      <c r="CO96" s="111" t="s">
        <v>2798</v>
      </c>
      <c r="CP96" s="111" t="s">
        <v>2798</v>
      </c>
      <c r="CQ96" s="111" t="s">
        <v>2798</v>
      </c>
    </row>
    <row r="97" spans="2:95" ht="14.25" customHeight="1">
      <c r="B97" s="106" t="s">
        <v>804</v>
      </c>
      <c r="C97" s="106" t="s">
        <v>2886</v>
      </c>
      <c r="D97" s="109">
        <v>11355.85</v>
      </c>
      <c r="E97" s="106" t="s">
        <v>2233</v>
      </c>
      <c r="F97" s="110">
        <v>49.583000000000538</v>
      </c>
      <c r="G97" s="106" t="s">
        <v>2795</v>
      </c>
      <c r="H97" s="102">
        <v>0</v>
      </c>
      <c r="I97" s="102">
        <v>0</v>
      </c>
      <c r="J97" s="111" t="s">
        <v>2798</v>
      </c>
      <c r="K97" s="111" t="s">
        <v>2798</v>
      </c>
      <c r="L97" s="111" t="s">
        <v>2798</v>
      </c>
      <c r="M97" s="111" t="s">
        <v>2798</v>
      </c>
      <c r="N97" s="111" t="s">
        <v>2798</v>
      </c>
      <c r="O97" s="111" t="s">
        <v>2798</v>
      </c>
      <c r="P97" s="111" t="s">
        <v>2798</v>
      </c>
      <c r="Q97" s="111" t="s">
        <v>2798</v>
      </c>
      <c r="R97" s="111" t="s">
        <v>2798</v>
      </c>
      <c r="S97" s="111" t="s">
        <v>2798</v>
      </c>
      <c r="T97" s="111" t="s">
        <v>2798</v>
      </c>
      <c r="U97" s="111" t="s">
        <v>2798</v>
      </c>
      <c r="V97" s="111" t="s">
        <v>2798</v>
      </c>
      <c r="W97" s="111" t="s">
        <v>2798</v>
      </c>
      <c r="X97" s="111" t="s">
        <v>2798</v>
      </c>
      <c r="Y97" s="111" t="s">
        <v>2798</v>
      </c>
      <c r="Z97" s="111" t="s">
        <v>2798</v>
      </c>
      <c r="AA97" s="111" t="s">
        <v>2724</v>
      </c>
      <c r="AB97" s="111" t="s">
        <v>2725</v>
      </c>
      <c r="AC97" s="111" t="s">
        <v>2726</v>
      </c>
      <c r="AD97" s="111" t="s">
        <v>2727</v>
      </c>
      <c r="AE97" s="111" t="s">
        <v>2728</v>
      </c>
      <c r="AF97" s="111" t="s">
        <v>2729</v>
      </c>
      <c r="AG97" s="111" t="s">
        <v>2730</v>
      </c>
      <c r="AH97" s="111" t="s">
        <v>2731</v>
      </c>
      <c r="AI97" s="111" t="s">
        <v>2732</v>
      </c>
      <c r="AJ97" s="111" t="s">
        <v>2798</v>
      </c>
      <c r="AK97" s="111" t="s">
        <v>2798</v>
      </c>
      <c r="AL97" s="111" t="s">
        <v>2798</v>
      </c>
      <c r="AM97" s="111" t="s">
        <v>2798</v>
      </c>
      <c r="AN97" s="111" t="s">
        <v>2798</v>
      </c>
      <c r="AO97" s="111" t="s">
        <v>2798</v>
      </c>
      <c r="AP97" s="111" t="s">
        <v>2798</v>
      </c>
      <c r="AQ97" s="111" t="s">
        <v>2798</v>
      </c>
      <c r="AR97" s="111" t="s">
        <v>2798</v>
      </c>
      <c r="AS97" s="111" t="s">
        <v>2798</v>
      </c>
      <c r="AT97" s="111" t="s">
        <v>2798</v>
      </c>
      <c r="AU97" s="111" t="s">
        <v>2798</v>
      </c>
      <c r="AV97" s="111" t="s">
        <v>2798</v>
      </c>
      <c r="AW97" s="111" t="s">
        <v>2798</v>
      </c>
      <c r="AX97" s="111" t="s">
        <v>2798</v>
      </c>
      <c r="AY97" s="111" t="s">
        <v>2798</v>
      </c>
      <c r="AZ97" s="111" t="s">
        <v>2798</v>
      </c>
      <c r="BA97" s="111" t="s">
        <v>2798</v>
      </c>
      <c r="BB97" s="111" t="s">
        <v>2798</v>
      </c>
      <c r="BC97" s="111" t="s">
        <v>2798</v>
      </c>
      <c r="BD97" s="111" t="s">
        <v>2798</v>
      </c>
      <c r="BE97" s="111" t="s">
        <v>2798</v>
      </c>
      <c r="BF97" s="111" t="s">
        <v>2798</v>
      </c>
      <c r="BG97" s="111" t="s">
        <v>2798</v>
      </c>
      <c r="BH97" s="111" t="s">
        <v>2798</v>
      </c>
      <c r="BI97" s="111" t="s">
        <v>2798</v>
      </c>
      <c r="BJ97" s="111" t="s">
        <v>2798</v>
      </c>
      <c r="BK97" s="111" t="s">
        <v>2798</v>
      </c>
      <c r="BL97" s="111" t="s">
        <v>2798</v>
      </c>
      <c r="BM97" s="111" t="s">
        <v>2798</v>
      </c>
      <c r="BN97" s="111" t="s">
        <v>2798</v>
      </c>
      <c r="BO97" s="111" t="s">
        <v>2798</v>
      </c>
      <c r="BP97" s="111" t="s">
        <v>2798</v>
      </c>
      <c r="BQ97" s="111" t="s">
        <v>2798</v>
      </c>
      <c r="BR97" s="111" t="s">
        <v>2767</v>
      </c>
      <c r="BS97" s="111" t="s">
        <v>2768</v>
      </c>
      <c r="BT97" s="111" t="s">
        <v>2769</v>
      </c>
      <c r="BU97" s="111" t="s">
        <v>2770</v>
      </c>
      <c r="BV97" s="111" t="s">
        <v>2771</v>
      </c>
      <c r="BW97" s="111" t="s">
        <v>2772</v>
      </c>
      <c r="BX97" s="111" t="s">
        <v>2773</v>
      </c>
      <c r="BY97" s="111" t="s">
        <v>2774</v>
      </c>
      <c r="BZ97" s="111" t="s">
        <v>2798</v>
      </c>
      <c r="CA97" s="111" t="s">
        <v>2798</v>
      </c>
      <c r="CB97" s="111" t="s">
        <v>2798</v>
      </c>
      <c r="CC97" s="111" t="s">
        <v>2798</v>
      </c>
      <c r="CD97" s="111" t="s">
        <v>2798</v>
      </c>
      <c r="CE97" s="111" t="s">
        <v>2798</v>
      </c>
      <c r="CF97" s="111" t="s">
        <v>2798</v>
      </c>
      <c r="CG97" s="111" t="s">
        <v>2798</v>
      </c>
      <c r="CH97" s="111" t="s">
        <v>2798</v>
      </c>
      <c r="CI97" s="111" t="s">
        <v>2798</v>
      </c>
      <c r="CJ97" s="111" t="s">
        <v>2798</v>
      </c>
      <c r="CK97" s="111" t="s">
        <v>2798</v>
      </c>
      <c r="CL97" s="111" t="s">
        <v>2798</v>
      </c>
      <c r="CM97" s="111" t="s">
        <v>2798</v>
      </c>
      <c r="CN97" s="111" t="s">
        <v>2798</v>
      </c>
      <c r="CO97" s="111" t="s">
        <v>2798</v>
      </c>
      <c r="CP97" s="111" t="s">
        <v>2798</v>
      </c>
      <c r="CQ97" s="111" t="s">
        <v>2798</v>
      </c>
    </row>
    <row r="98" spans="2:95" ht="14.25" customHeight="1">
      <c r="B98" s="106" t="s">
        <v>805</v>
      </c>
      <c r="C98" s="106" t="s">
        <v>2887</v>
      </c>
      <c r="D98" s="109">
        <v>11402.447</v>
      </c>
      <c r="E98" s="106" t="s">
        <v>2233</v>
      </c>
      <c r="F98" s="110">
        <v>46.596999999999753</v>
      </c>
      <c r="G98" s="106" t="s">
        <v>2793</v>
      </c>
      <c r="H98" s="102">
        <v>0</v>
      </c>
      <c r="I98" s="102">
        <v>0</v>
      </c>
      <c r="J98" s="111" t="s">
        <v>2798</v>
      </c>
      <c r="K98" s="111" t="s">
        <v>2798</v>
      </c>
      <c r="L98" s="111" t="s">
        <v>2798</v>
      </c>
      <c r="M98" s="111" t="s">
        <v>2798</v>
      </c>
      <c r="N98" s="111" t="s">
        <v>2798</v>
      </c>
      <c r="O98" s="111" t="s">
        <v>2798</v>
      </c>
      <c r="P98" s="111" t="s">
        <v>2798</v>
      </c>
      <c r="Q98" s="111" t="s">
        <v>2798</v>
      </c>
      <c r="R98" s="111" t="s">
        <v>2798</v>
      </c>
      <c r="S98" s="111" t="s">
        <v>2798</v>
      </c>
      <c r="T98" s="111" t="s">
        <v>2798</v>
      </c>
      <c r="U98" s="111" t="s">
        <v>2798</v>
      </c>
      <c r="V98" s="111" t="s">
        <v>2798</v>
      </c>
      <c r="W98" s="111" t="s">
        <v>2798</v>
      </c>
      <c r="X98" s="111" t="s">
        <v>2798</v>
      </c>
      <c r="Y98" s="111" t="s">
        <v>2798</v>
      </c>
      <c r="Z98" s="111" t="s">
        <v>2798</v>
      </c>
      <c r="AA98" s="111" t="s">
        <v>2798</v>
      </c>
      <c r="AB98" s="111" t="s">
        <v>2798</v>
      </c>
      <c r="AC98" s="111" t="s">
        <v>2798</v>
      </c>
      <c r="AD98" s="111" t="s">
        <v>2798</v>
      </c>
      <c r="AE98" s="111" t="s">
        <v>2798</v>
      </c>
      <c r="AF98" s="111" t="s">
        <v>2798</v>
      </c>
      <c r="AG98" s="111" t="s">
        <v>2798</v>
      </c>
      <c r="AH98" s="111" t="s">
        <v>2798</v>
      </c>
      <c r="AI98" s="111" t="s">
        <v>2798</v>
      </c>
      <c r="AJ98" s="111" t="s">
        <v>2798</v>
      </c>
      <c r="AK98" s="111" t="s">
        <v>2798</v>
      </c>
      <c r="AL98" s="111" t="s">
        <v>2798</v>
      </c>
      <c r="AM98" s="111" t="s">
        <v>2798</v>
      </c>
      <c r="AN98" s="111" t="s">
        <v>2798</v>
      </c>
      <c r="AO98" s="111" t="s">
        <v>2798</v>
      </c>
      <c r="AP98" s="111" t="s">
        <v>2798</v>
      </c>
      <c r="AQ98" s="111" t="s">
        <v>2798</v>
      </c>
      <c r="AR98" s="111" t="s">
        <v>2798</v>
      </c>
      <c r="AS98" s="111" t="s">
        <v>2798</v>
      </c>
      <c r="AT98" s="111" t="s">
        <v>2798</v>
      </c>
      <c r="AU98" s="111" t="s">
        <v>2798</v>
      </c>
      <c r="AV98" s="111" t="s">
        <v>2798</v>
      </c>
      <c r="AW98" s="111" t="s">
        <v>2798</v>
      </c>
      <c r="AX98" s="111" t="s">
        <v>2798</v>
      </c>
      <c r="AY98" s="111" t="s">
        <v>2798</v>
      </c>
      <c r="AZ98" s="111" t="s">
        <v>2798</v>
      </c>
      <c r="BA98" s="111" t="s">
        <v>2798</v>
      </c>
      <c r="BB98" s="111" t="s">
        <v>2798</v>
      </c>
      <c r="BC98" s="111" t="s">
        <v>2798</v>
      </c>
      <c r="BD98" s="111" t="s">
        <v>2798</v>
      </c>
      <c r="BE98" s="111" t="s">
        <v>2798</v>
      </c>
      <c r="BF98" s="111" t="s">
        <v>2798</v>
      </c>
      <c r="BG98" s="111" t="s">
        <v>2798</v>
      </c>
      <c r="BH98" s="111" t="s">
        <v>2798</v>
      </c>
      <c r="BI98" s="111" t="s">
        <v>2798</v>
      </c>
      <c r="BJ98" s="111" t="s">
        <v>2798</v>
      </c>
      <c r="BK98" s="111" t="s">
        <v>2798</v>
      </c>
      <c r="BL98" s="111" t="s">
        <v>2798</v>
      </c>
      <c r="BM98" s="111" t="s">
        <v>2798</v>
      </c>
      <c r="BN98" s="111" t="s">
        <v>2798</v>
      </c>
      <c r="BO98" s="111" t="s">
        <v>2798</v>
      </c>
      <c r="BP98" s="111" t="s">
        <v>2798</v>
      </c>
      <c r="BQ98" s="111" t="s">
        <v>2798</v>
      </c>
      <c r="BR98" s="111" t="s">
        <v>2798</v>
      </c>
      <c r="BS98" s="111" t="s">
        <v>2798</v>
      </c>
      <c r="BT98" s="111" t="s">
        <v>2798</v>
      </c>
      <c r="BU98" s="111" t="s">
        <v>2798</v>
      </c>
      <c r="BV98" s="111" t="s">
        <v>2798</v>
      </c>
      <c r="BW98" s="111" t="s">
        <v>2798</v>
      </c>
      <c r="BX98" s="111" t="s">
        <v>2798</v>
      </c>
      <c r="BY98" s="111" t="s">
        <v>2798</v>
      </c>
      <c r="BZ98" s="111" t="s">
        <v>2775</v>
      </c>
      <c r="CA98" s="111" t="s">
        <v>2776</v>
      </c>
      <c r="CB98" s="111" t="s">
        <v>2777</v>
      </c>
      <c r="CC98" s="111" t="s">
        <v>2778</v>
      </c>
      <c r="CD98" s="111" t="s">
        <v>2779</v>
      </c>
      <c r="CE98" s="111" t="s">
        <v>2780</v>
      </c>
      <c r="CF98" s="111" t="s">
        <v>2781</v>
      </c>
      <c r="CG98" s="111" t="s">
        <v>2782</v>
      </c>
      <c r="CH98" s="111" t="s">
        <v>2798</v>
      </c>
      <c r="CI98" s="111" t="s">
        <v>2798</v>
      </c>
      <c r="CJ98" s="111" t="s">
        <v>2785</v>
      </c>
      <c r="CK98" s="111" t="s">
        <v>2786</v>
      </c>
      <c r="CL98" s="111" t="s">
        <v>2787</v>
      </c>
      <c r="CM98" s="111" t="s">
        <v>2788</v>
      </c>
      <c r="CN98" s="111" t="s">
        <v>2789</v>
      </c>
      <c r="CO98" s="111" t="s">
        <v>2790</v>
      </c>
      <c r="CP98" s="111" t="s">
        <v>2791</v>
      </c>
      <c r="CQ98" s="111" t="s">
        <v>2792</v>
      </c>
    </row>
    <row r="99" spans="2:95" ht="14.25" customHeight="1">
      <c r="B99" s="106" t="s">
        <v>806</v>
      </c>
      <c r="C99" s="106" t="s">
        <v>2888</v>
      </c>
      <c r="D99" s="109">
        <v>11446.058999999999</v>
      </c>
      <c r="E99" s="106" t="s">
        <v>2246</v>
      </c>
      <c r="F99" s="110">
        <v>43.611999999999171</v>
      </c>
      <c r="G99" s="106" t="s">
        <v>2795</v>
      </c>
      <c r="H99" s="102">
        <v>0</v>
      </c>
      <c r="I99" s="102">
        <v>0</v>
      </c>
      <c r="J99" s="111" t="s">
        <v>87</v>
      </c>
      <c r="K99" s="111" t="s">
        <v>2708</v>
      </c>
      <c r="L99" s="111" t="s">
        <v>2709</v>
      </c>
      <c r="M99" s="111" t="s">
        <v>2710</v>
      </c>
      <c r="N99" s="111" t="s">
        <v>2711</v>
      </c>
      <c r="O99" s="111" t="s">
        <v>2712</v>
      </c>
      <c r="P99" s="111" t="s">
        <v>2713</v>
      </c>
      <c r="Q99" s="111" t="s">
        <v>2714</v>
      </c>
      <c r="R99" s="111" t="s">
        <v>2715</v>
      </c>
      <c r="S99" s="111" t="s">
        <v>2716</v>
      </c>
      <c r="T99" s="111" t="s">
        <v>2717</v>
      </c>
      <c r="U99" s="111" t="s">
        <v>2718</v>
      </c>
      <c r="V99" s="111" t="s">
        <v>2719</v>
      </c>
      <c r="W99" s="111" t="s">
        <v>2720</v>
      </c>
      <c r="X99" s="111" t="s">
        <v>2721</v>
      </c>
      <c r="Y99" s="111" t="s">
        <v>2798</v>
      </c>
      <c r="Z99" s="111" t="s">
        <v>2798</v>
      </c>
      <c r="AA99" s="111" t="s">
        <v>2798</v>
      </c>
      <c r="AB99" s="111" t="s">
        <v>2798</v>
      </c>
      <c r="AC99" s="111" t="s">
        <v>2798</v>
      </c>
      <c r="AD99" s="111" t="s">
        <v>2798</v>
      </c>
      <c r="AE99" s="111" t="s">
        <v>2798</v>
      </c>
      <c r="AF99" s="111" t="s">
        <v>2798</v>
      </c>
      <c r="AG99" s="111" t="s">
        <v>2798</v>
      </c>
      <c r="AH99" s="111" t="s">
        <v>2798</v>
      </c>
      <c r="AI99" s="111" t="s">
        <v>2798</v>
      </c>
      <c r="AJ99" s="111" t="s">
        <v>2798</v>
      </c>
      <c r="AK99" s="111" t="s">
        <v>2798</v>
      </c>
      <c r="AL99" s="111" t="s">
        <v>2798</v>
      </c>
      <c r="AM99" s="111" t="s">
        <v>2798</v>
      </c>
      <c r="AN99" s="111" t="s">
        <v>2798</v>
      </c>
      <c r="AO99" s="111" t="s">
        <v>2798</v>
      </c>
      <c r="AP99" s="111" t="s">
        <v>2798</v>
      </c>
      <c r="AQ99" s="111" t="s">
        <v>2798</v>
      </c>
      <c r="AR99" s="111" t="s">
        <v>2798</v>
      </c>
      <c r="AS99" s="111" t="s">
        <v>2798</v>
      </c>
      <c r="AT99" s="111" t="s">
        <v>2798</v>
      </c>
      <c r="AU99" s="111" t="s">
        <v>2798</v>
      </c>
      <c r="AV99" s="111" t="s">
        <v>2798</v>
      </c>
      <c r="AW99" s="111" t="s">
        <v>2798</v>
      </c>
      <c r="AX99" s="111" t="s">
        <v>2798</v>
      </c>
      <c r="AY99" s="111" t="s">
        <v>2798</v>
      </c>
      <c r="AZ99" s="111" t="s">
        <v>2798</v>
      </c>
      <c r="BA99" s="111" t="s">
        <v>2798</v>
      </c>
      <c r="BB99" s="111" t="s">
        <v>2798</v>
      </c>
      <c r="BC99" s="111" t="s">
        <v>2798</v>
      </c>
      <c r="BD99" s="111" t="s">
        <v>2798</v>
      </c>
      <c r="BE99" s="111" t="s">
        <v>2798</v>
      </c>
      <c r="BF99" s="111" t="s">
        <v>2798</v>
      </c>
      <c r="BG99" s="111" t="s">
        <v>2798</v>
      </c>
      <c r="BH99" s="111" t="s">
        <v>2798</v>
      </c>
      <c r="BI99" s="111" t="s">
        <v>2798</v>
      </c>
      <c r="BJ99" s="111" t="s">
        <v>2798</v>
      </c>
      <c r="BK99" s="111" t="s">
        <v>2798</v>
      </c>
      <c r="BL99" s="111" t="s">
        <v>2798</v>
      </c>
      <c r="BM99" s="111" t="s">
        <v>2798</v>
      </c>
      <c r="BN99" s="111" t="s">
        <v>2798</v>
      </c>
      <c r="BO99" s="111" t="s">
        <v>2798</v>
      </c>
      <c r="BP99" s="111" t="s">
        <v>2798</v>
      </c>
      <c r="BQ99" s="111" t="s">
        <v>2798</v>
      </c>
      <c r="BR99" s="111" t="s">
        <v>2798</v>
      </c>
      <c r="BS99" s="111" t="s">
        <v>2798</v>
      </c>
      <c r="BT99" s="111" t="s">
        <v>2798</v>
      </c>
      <c r="BU99" s="111" t="s">
        <v>2798</v>
      </c>
      <c r="BV99" s="111" t="s">
        <v>2798</v>
      </c>
      <c r="BW99" s="111" t="s">
        <v>2798</v>
      </c>
      <c r="BX99" s="111" t="s">
        <v>2798</v>
      </c>
      <c r="BY99" s="111" t="s">
        <v>2798</v>
      </c>
      <c r="BZ99" s="111" t="s">
        <v>2798</v>
      </c>
      <c r="CA99" s="111" t="s">
        <v>2798</v>
      </c>
      <c r="CB99" s="111" t="s">
        <v>2798</v>
      </c>
      <c r="CC99" s="111" t="s">
        <v>2798</v>
      </c>
      <c r="CD99" s="111" t="s">
        <v>2798</v>
      </c>
      <c r="CE99" s="111" t="s">
        <v>2798</v>
      </c>
      <c r="CF99" s="111" t="s">
        <v>2798</v>
      </c>
      <c r="CG99" s="111" t="s">
        <v>2798</v>
      </c>
      <c r="CH99" s="111" t="s">
        <v>2798</v>
      </c>
      <c r="CI99" s="111" t="s">
        <v>2798</v>
      </c>
      <c r="CJ99" s="111" t="s">
        <v>2798</v>
      </c>
      <c r="CK99" s="111" t="s">
        <v>2798</v>
      </c>
      <c r="CL99" s="111" t="s">
        <v>2798</v>
      </c>
      <c r="CM99" s="111" t="s">
        <v>2798</v>
      </c>
      <c r="CN99" s="111" t="s">
        <v>2798</v>
      </c>
      <c r="CO99" s="111" t="s">
        <v>2798</v>
      </c>
      <c r="CP99" s="111" t="s">
        <v>2798</v>
      </c>
      <c r="CQ99" s="111" t="s">
        <v>2798</v>
      </c>
    </row>
    <row r="100" spans="2:95" ht="14.25" customHeight="1">
      <c r="B100" s="106" t="s">
        <v>807</v>
      </c>
      <c r="C100" s="106" t="s">
        <v>2889</v>
      </c>
      <c r="D100" s="109">
        <v>11489.671</v>
      </c>
      <c r="E100" s="106" t="s">
        <v>2246</v>
      </c>
      <c r="F100" s="110">
        <v>43.61200000000099</v>
      </c>
      <c r="G100" s="106" t="s">
        <v>2795</v>
      </c>
      <c r="H100" s="102">
        <v>0</v>
      </c>
      <c r="I100" s="102">
        <v>0</v>
      </c>
      <c r="J100" s="111" t="s">
        <v>2798</v>
      </c>
      <c r="K100" s="111" t="s">
        <v>2798</v>
      </c>
      <c r="L100" s="111" t="s">
        <v>2798</v>
      </c>
      <c r="M100" s="111" t="s">
        <v>2798</v>
      </c>
      <c r="N100" s="111" t="s">
        <v>2798</v>
      </c>
      <c r="O100" s="111" t="s">
        <v>2798</v>
      </c>
      <c r="P100" s="111" t="s">
        <v>2798</v>
      </c>
      <c r="Q100" s="111" t="s">
        <v>2798</v>
      </c>
      <c r="R100" s="111" t="s">
        <v>2798</v>
      </c>
      <c r="S100" s="111" t="s">
        <v>2798</v>
      </c>
      <c r="T100" s="111" t="s">
        <v>2798</v>
      </c>
      <c r="U100" s="111" t="s">
        <v>2798</v>
      </c>
      <c r="V100" s="111" t="s">
        <v>2798</v>
      </c>
      <c r="W100" s="111" t="s">
        <v>2798</v>
      </c>
      <c r="X100" s="111" t="s">
        <v>2798</v>
      </c>
      <c r="Y100" s="111" t="s">
        <v>2722</v>
      </c>
      <c r="Z100" s="111" t="s">
        <v>2723</v>
      </c>
      <c r="AA100" s="111" t="s">
        <v>2724</v>
      </c>
      <c r="AB100" s="111" t="s">
        <v>2725</v>
      </c>
      <c r="AC100" s="111" t="s">
        <v>2726</v>
      </c>
      <c r="AD100" s="111" t="s">
        <v>2727</v>
      </c>
      <c r="AE100" s="111" t="s">
        <v>2728</v>
      </c>
      <c r="AF100" s="111" t="s">
        <v>2729</v>
      </c>
      <c r="AG100" s="111" t="s">
        <v>2798</v>
      </c>
      <c r="AH100" s="111" t="s">
        <v>2798</v>
      </c>
      <c r="AI100" s="111" t="s">
        <v>2798</v>
      </c>
      <c r="AJ100" s="111" t="s">
        <v>2798</v>
      </c>
      <c r="AK100" s="111" t="s">
        <v>2798</v>
      </c>
      <c r="AL100" s="111" t="s">
        <v>2798</v>
      </c>
      <c r="AM100" s="111" t="s">
        <v>2798</v>
      </c>
      <c r="AN100" s="111" t="s">
        <v>2798</v>
      </c>
      <c r="AO100" s="111" t="s">
        <v>2798</v>
      </c>
      <c r="AP100" s="111" t="s">
        <v>2798</v>
      </c>
      <c r="AQ100" s="111" t="s">
        <v>2798</v>
      </c>
      <c r="AR100" s="111" t="s">
        <v>2798</v>
      </c>
      <c r="AS100" s="111" t="s">
        <v>2798</v>
      </c>
      <c r="AT100" s="111" t="s">
        <v>2798</v>
      </c>
      <c r="AU100" s="111" t="s">
        <v>2798</v>
      </c>
      <c r="AV100" s="111" t="s">
        <v>2798</v>
      </c>
      <c r="AW100" s="111" t="s">
        <v>2798</v>
      </c>
      <c r="AX100" s="111" t="s">
        <v>2798</v>
      </c>
      <c r="AY100" s="111" t="s">
        <v>2798</v>
      </c>
      <c r="AZ100" s="111" t="s">
        <v>2798</v>
      </c>
      <c r="BA100" s="111" t="s">
        <v>2798</v>
      </c>
      <c r="BB100" s="111" t="s">
        <v>2798</v>
      </c>
      <c r="BC100" s="111" t="s">
        <v>2798</v>
      </c>
      <c r="BD100" s="111" t="s">
        <v>2798</v>
      </c>
      <c r="BE100" s="111" t="s">
        <v>2798</v>
      </c>
      <c r="BF100" s="111" t="s">
        <v>2798</v>
      </c>
      <c r="BG100" s="111" t="s">
        <v>2798</v>
      </c>
      <c r="BH100" s="111" t="s">
        <v>2798</v>
      </c>
      <c r="BI100" s="111" t="s">
        <v>2798</v>
      </c>
      <c r="BJ100" s="111" t="s">
        <v>2798</v>
      </c>
      <c r="BK100" s="111" t="s">
        <v>2798</v>
      </c>
      <c r="BL100" s="111" t="s">
        <v>2798</v>
      </c>
      <c r="BM100" s="111" t="s">
        <v>2798</v>
      </c>
      <c r="BN100" s="111" t="s">
        <v>2798</v>
      </c>
      <c r="BO100" s="111" t="s">
        <v>2798</v>
      </c>
      <c r="BP100" s="111" t="s">
        <v>2798</v>
      </c>
      <c r="BQ100" s="111" t="s">
        <v>2798</v>
      </c>
      <c r="BR100" s="111" t="s">
        <v>2798</v>
      </c>
      <c r="BS100" s="111" t="s">
        <v>2798</v>
      </c>
      <c r="BT100" s="111" t="s">
        <v>2798</v>
      </c>
      <c r="BU100" s="111" t="s">
        <v>2770</v>
      </c>
      <c r="BV100" s="111" t="s">
        <v>2771</v>
      </c>
      <c r="BW100" s="111" t="s">
        <v>2772</v>
      </c>
      <c r="BX100" s="111" t="s">
        <v>2773</v>
      </c>
      <c r="BY100" s="111" t="s">
        <v>2774</v>
      </c>
      <c r="BZ100" s="111" t="s">
        <v>2775</v>
      </c>
      <c r="CA100" s="111" t="s">
        <v>2776</v>
      </c>
      <c r="CB100" s="111" t="s">
        <v>2798</v>
      </c>
      <c r="CC100" s="111" t="s">
        <v>2798</v>
      </c>
      <c r="CD100" s="111" t="s">
        <v>2798</v>
      </c>
      <c r="CE100" s="111" t="s">
        <v>2798</v>
      </c>
      <c r="CF100" s="111" t="s">
        <v>2798</v>
      </c>
      <c r="CG100" s="111" t="s">
        <v>2798</v>
      </c>
      <c r="CH100" s="111" t="s">
        <v>2798</v>
      </c>
      <c r="CI100" s="111" t="s">
        <v>2798</v>
      </c>
      <c r="CJ100" s="111" t="s">
        <v>2798</v>
      </c>
      <c r="CK100" s="111" t="s">
        <v>2798</v>
      </c>
      <c r="CL100" s="111" t="s">
        <v>2798</v>
      </c>
      <c r="CM100" s="111" t="s">
        <v>2798</v>
      </c>
      <c r="CN100" s="111" t="s">
        <v>2798</v>
      </c>
      <c r="CO100" s="111" t="s">
        <v>2798</v>
      </c>
      <c r="CP100" s="111" t="s">
        <v>2798</v>
      </c>
      <c r="CQ100" s="111" t="s">
        <v>2798</v>
      </c>
    </row>
    <row r="101" spans="2:95" ht="14.25" customHeight="1">
      <c r="B101" s="106" t="s">
        <v>808</v>
      </c>
      <c r="C101" s="106" t="s">
        <v>2890</v>
      </c>
      <c r="D101" s="109">
        <v>11536.269</v>
      </c>
      <c r="E101" s="106" t="s">
        <v>2246</v>
      </c>
      <c r="F101" s="110">
        <v>46.597999999999956</v>
      </c>
      <c r="G101" s="106" t="s">
        <v>2793</v>
      </c>
      <c r="H101" s="102">
        <v>0</v>
      </c>
      <c r="I101" s="102">
        <v>0</v>
      </c>
      <c r="J101" s="111" t="s">
        <v>2798</v>
      </c>
      <c r="K101" s="111" t="s">
        <v>2798</v>
      </c>
      <c r="L101" s="111" t="s">
        <v>2798</v>
      </c>
      <c r="M101" s="111" t="s">
        <v>2798</v>
      </c>
      <c r="N101" s="111" t="s">
        <v>2798</v>
      </c>
      <c r="O101" s="111" t="s">
        <v>2798</v>
      </c>
      <c r="P101" s="111" t="s">
        <v>2798</v>
      </c>
      <c r="Q101" s="111" t="s">
        <v>2798</v>
      </c>
      <c r="R101" s="111" t="s">
        <v>2798</v>
      </c>
      <c r="S101" s="111" t="s">
        <v>2798</v>
      </c>
      <c r="T101" s="111" t="s">
        <v>2798</v>
      </c>
      <c r="U101" s="111" t="s">
        <v>2798</v>
      </c>
      <c r="V101" s="111" t="s">
        <v>2798</v>
      </c>
      <c r="W101" s="111" t="s">
        <v>2798</v>
      </c>
      <c r="X101" s="111" t="s">
        <v>2798</v>
      </c>
      <c r="Y101" s="111" t="s">
        <v>2798</v>
      </c>
      <c r="Z101" s="111" t="s">
        <v>2798</v>
      </c>
      <c r="AA101" s="111" t="s">
        <v>2798</v>
      </c>
      <c r="AB101" s="111" t="s">
        <v>2798</v>
      </c>
      <c r="AC101" s="111" t="s">
        <v>2798</v>
      </c>
      <c r="AD101" s="111" t="s">
        <v>2798</v>
      </c>
      <c r="AE101" s="111" t="s">
        <v>2798</v>
      </c>
      <c r="AF101" s="111" t="s">
        <v>2798</v>
      </c>
      <c r="AG101" s="111" t="s">
        <v>2798</v>
      </c>
      <c r="AH101" s="111" t="s">
        <v>2798</v>
      </c>
      <c r="AI101" s="111" t="s">
        <v>2798</v>
      </c>
      <c r="AJ101" s="111" t="s">
        <v>2798</v>
      </c>
      <c r="AK101" s="111" t="s">
        <v>2798</v>
      </c>
      <c r="AL101" s="111" t="s">
        <v>2798</v>
      </c>
      <c r="AM101" s="111" t="s">
        <v>2798</v>
      </c>
      <c r="AN101" s="111" t="s">
        <v>2798</v>
      </c>
      <c r="AO101" s="111" t="s">
        <v>2798</v>
      </c>
      <c r="AP101" s="111" t="s">
        <v>2798</v>
      </c>
      <c r="AQ101" s="111" t="s">
        <v>2798</v>
      </c>
      <c r="AR101" s="111" t="s">
        <v>2798</v>
      </c>
      <c r="AS101" s="111" t="s">
        <v>2798</v>
      </c>
      <c r="AT101" s="111" t="s">
        <v>2798</v>
      </c>
      <c r="AU101" s="111" t="s">
        <v>2798</v>
      </c>
      <c r="AV101" s="111" t="s">
        <v>2798</v>
      </c>
      <c r="AW101" s="111" t="s">
        <v>2798</v>
      </c>
      <c r="AX101" s="111" t="s">
        <v>2798</v>
      </c>
      <c r="AY101" s="111" t="s">
        <v>2798</v>
      </c>
      <c r="AZ101" s="111" t="s">
        <v>2798</v>
      </c>
      <c r="BA101" s="111" t="s">
        <v>2798</v>
      </c>
      <c r="BB101" s="111" t="s">
        <v>2798</v>
      </c>
      <c r="BC101" s="111" t="s">
        <v>2798</v>
      </c>
      <c r="BD101" s="111" t="s">
        <v>2798</v>
      </c>
      <c r="BE101" s="111" t="s">
        <v>2798</v>
      </c>
      <c r="BF101" s="111" t="s">
        <v>2798</v>
      </c>
      <c r="BG101" s="111" t="s">
        <v>2798</v>
      </c>
      <c r="BH101" s="111" t="s">
        <v>2798</v>
      </c>
      <c r="BI101" s="111" t="s">
        <v>2798</v>
      </c>
      <c r="BJ101" s="111" t="s">
        <v>2798</v>
      </c>
      <c r="BK101" s="111" t="s">
        <v>2798</v>
      </c>
      <c r="BL101" s="111" t="s">
        <v>2798</v>
      </c>
      <c r="BM101" s="111" t="s">
        <v>2798</v>
      </c>
      <c r="BN101" s="111" t="s">
        <v>2798</v>
      </c>
      <c r="BO101" s="111" t="s">
        <v>2798</v>
      </c>
      <c r="BP101" s="111" t="s">
        <v>2798</v>
      </c>
      <c r="BQ101" s="111" t="s">
        <v>2798</v>
      </c>
      <c r="BR101" s="111" t="s">
        <v>2798</v>
      </c>
      <c r="BS101" s="111" t="s">
        <v>2798</v>
      </c>
      <c r="BT101" s="111" t="s">
        <v>2798</v>
      </c>
      <c r="BU101" s="111" t="s">
        <v>2798</v>
      </c>
      <c r="BV101" s="111" t="s">
        <v>2798</v>
      </c>
      <c r="BW101" s="111" t="s">
        <v>2798</v>
      </c>
      <c r="BX101" s="111" t="s">
        <v>2798</v>
      </c>
      <c r="BY101" s="111" t="s">
        <v>2798</v>
      </c>
      <c r="BZ101" s="111" t="s">
        <v>2798</v>
      </c>
      <c r="CA101" s="111" t="s">
        <v>2798</v>
      </c>
      <c r="CB101" s="111" t="s">
        <v>2777</v>
      </c>
      <c r="CC101" s="111" t="s">
        <v>2778</v>
      </c>
      <c r="CD101" s="111" t="s">
        <v>2779</v>
      </c>
      <c r="CE101" s="111" t="s">
        <v>2780</v>
      </c>
      <c r="CF101" s="111" t="s">
        <v>2781</v>
      </c>
      <c r="CG101" s="111" t="s">
        <v>2782</v>
      </c>
      <c r="CH101" s="111" t="s">
        <v>2783</v>
      </c>
      <c r="CI101" s="111" t="s">
        <v>2784</v>
      </c>
      <c r="CJ101" s="111" t="s">
        <v>2785</v>
      </c>
      <c r="CK101" s="111" t="s">
        <v>2786</v>
      </c>
      <c r="CL101" s="111" t="s">
        <v>2787</v>
      </c>
      <c r="CM101" s="111" t="s">
        <v>2788</v>
      </c>
      <c r="CN101" s="111" t="s">
        <v>2789</v>
      </c>
      <c r="CO101" s="111" t="s">
        <v>2790</v>
      </c>
      <c r="CP101" s="111" t="s">
        <v>2791</v>
      </c>
      <c r="CQ101" s="111" t="s">
        <v>2792</v>
      </c>
    </row>
    <row r="102" spans="2:95" ht="14.25" customHeight="1">
      <c r="B102" s="106" t="s">
        <v>809</v>
      </c>
      <c r="C102" s="106" t="s">
        <v>2891</v>
      </c>
      <c r="D102" s="109">
        <v>11576.896000000001</v>
      </c>
      <c r="E102" s="106" t="s">
        <v>2255</v>
      </c>
      <c r="F102" s="110">
        <v>40.627000000000407</v>
      </c>
      <c r="G102" s="106" t="s">
        <v>2795</v>
      </c>
      <c r="H102" s="102">
        <v>0</v>
      </c>
      <c r="I102" s="102">
        <v>0</v>
      </c>
      <c r="J102" s="111" t="s">
        <v>87</v>
      </c>
      <c r="K102" s="111" t="s">
        <v>2708</v>
      </c>
      <c r="L102" s="111" t="s">
        <v>2709</v>
      </c>
      <c r="M102" s="111" t="s">
        <v>2710</v>
      </c>
      <c r="N102" s="111" t="s">
        <v>2711</v>
      </c>
      <c r="O102" s="111" t="s">
        <v>2712</v>
      </c>
      <c r="P102" s="111" t="s">
        <v>2713</v>
      </c>
      <c r="Q102" s="111" t="s">
        <v>2714</v>
      </c>
      <c r="R102" s="111" t="s">
        <v>2715</v>
      </c>
      <c r="S102" s="111" t="s">
        <v>2716</v>
      </c>
      <c r="T102" s="111" t="s">
        <v>2717</v>
      </c>
      <c r="U102" s="111" t="s">
        <v>2718</v>
      </c>
      <c r="V102" s="111" t="s">
        <v>2719</v>
      </c>
      <c r="W102" s="111" t="s">
        <v>2720</v>
      </c>
      <c r="X102" s="111" t="s">
        <v>2798</v>
      </c>
      <c r="Y102" s="111" t="s">
        <v>2798</v>
      </c>
      <c r="Z102" s="111" t="s">
        <v>2798</v>
      </c>
      <c r="AA102" s="111" t="s">
        <v>2798</v>
      </c>
      <c r="AB102" s="111" t="s">
        <v>2798</v>
      </c>
      <c r="AC102" s="111" t="s">
        <v>2798</v>
      </c>
      <c r="AD102" s="111" t="s">
        <v>2798</v>
      </c>
      <c r="AE102" s="111" t="s">
        <v>2798</v>
      </c>
      <c r="AF102" s="111" t="s">
        <v>2798</v>
      </c>
      <c r="AG102" s="111" t="s">
        <v>2798</v>
      </c>
      <c r="AH102" s="111" t="s">
        <v>2798</v>
      </c>
      <c r="AI102" s="111" t="s">
        <v>2798</v>
      </c>
      <c r="AJ102" s="111" t="s">
        <v>2798</v>
      </c>
      <c r="AK102" s="111" t="s">
        <v>2798</v>
      </c>
      <c r="AL102" s="111" t="s">
        <v>2798</v>
      </c>
      <c r="AM102" s="111" t="s">
        <v>2798</v>
      </c>
      <c r="AN102" s="111" t="s">
        <v>2798</v>
      </c>
      <c r="AO102" s="111" t="s">
        <v>2798</v>
      </c>
      <c r="AP102" s="111" t="s">
        <v>2798</v>
      </c>
      <c r="AQ102" s="111" t="s">
        <v>2798</v>
      </c>
      <c r="AR102" s="111" t="s">
        <v>2798</v>
      </c>
      <c r="AS102" s="111" t="s">
        <v>2798</v>
      </c>
      <c r="AT102" s="111" t="s">
        <v>2798</v>
      </c>
      <c r="AU102" s="111" t="s">
        <v>2798</v>
      </c>
      <c r="AV102" s="111" t="s">
        <v>2798</v>
      </c>
      <c r="AW102" s="111" t="s">
        <v>2798</v>
      </c>
      <c r="AX102" s="111" t="s">
        <v>2798</v>
      </c>
      <c r="AY102" s="111" t="s">
        <v>2798</v>
      </c>
      <c r="AZ102" s="111" t="s">
        <v>2798</v>
      </c>
      <c r="BA102" s="111" t="s">
        <v>2798</v>
      </c>
      <c r="BB102" s="111" t="s">
        <v>2798</v>
      </c>
      <c r="BC102" s="111" t="s">
        <v>2798</v>
      </c>
      <c r="BD102" s="111" t="s">
        <v>2798</v>
      </c>
      <c r="BE102" s="111" t="s">
        <v>2798</v>
      </c>
      <c r="BF102" s="111" t="s">
        <v>2798</v>
      </c>
      <c r="BG102" s="111" t="s">
        <v>2798</v>
      </c>
      <c r="BH102" s="111" t="s">
        <v>2798</v>
      </c>
      <c r="BI102" s="111" t="s">
        <v>2798</v>
      </c>
      <c r="BJ102" s="111" t="s">
        <v>2798</v>
      </c>
      <c r="BK102" s="111" t="s">
        <v>2798</v>
      </c>
      <c r="BL102" s="111" t="s">
        <v>2798</v>
      </c>
      <c r="BM102" s="111" t="s">
        <v>2798</v>
      </c>
      <c r="BN102" s="111" t="s">
        <v>2798</v>
      </c>
      <c r="BO102" s="111" t="s">
        <v>2798</v>
      </c>
      <c r="BP102" s="111" t="s">
        <v>2798</v>
      </c>
      <c r="BQ102" s="111" t="s">
        <v>2798</v>
      </c>
      <c r="BR102" s="111" t="s">
        <v>2798</v>
      </c>
      <c r="BS102" s="111" t="s">
        <v>2798</v>
      </c>
      <c r="BT102" s="111" t="s">
        <v>2798</v>
      </c>
      <c r="BU102" s="111" t="s">
        <v>2798</v>
      </c>
      <c r="BV102" s="111" t="s">
        <v>2798</v>
      </c>
      <c r="BW102" s="111" t="s">
        <v>2798</v>
      </c>
      <c r="BX102" s="111" t="s">
        <v>2798</v>
      </c>
      <c r="BY102" s="111" t="s">
        <v>2798</v>
      </c>
      <c r="BZ102" s="111" t="s">
        <v>2798</v>
      </c>
      <c r="CA102" s="111" t="s">
        <v>2798</v>
      </c>
      <c r="CB102" s="111" t="s">
        <v>2798</v>
      </c>
      <c r="CC102" s="111" t="s">
        <v>2798</v>
      </c>
      <c r="CD102" s="111" t="s">
        <v>2798</v>
      </c>
      <c r="CE102" s="111" t="s">
        <v>2798</v>
      </c>
      <c r="CF102" s="111" t="s">
        <v>2798</v>
      </c>
      <c r="CG102" s="111" t="s">
        <v>2798</v>
      </c>
      <c r="CH102" s="111" t="s">
        <v>2798</v>
      </c>
      <c r="CI102" s="111" t="s">
        <v>2798</v>
      </c>
      <c r="CJ102" s="111" t="s">
        <v>2798</v>
      </c>
      <c r="CK102" s="111" t="s">
        <v>2798</v>
      </c>
      <c r="CL102" s="111" t="s">
        <v>2798</v>
      </c>
      <c r="CM102" s="111" t="s">
        <v>2798</v>
      </c>
      <c r="CN102" s="111" t="s">
        <v>2798</v>
      </c>
      <c r="CO102" s="111" t="s">
        <v>2798</v>
      </c>
      <c r="CP102" s="111" t="s">
        <v>2798</v>
      </c>
      <c r="CQ102" s="111" t="s">
        <v>2798</v>
      </c>
    </row>
    <row r="103" spans="2:95" ht="14.25" customHeight="1">
      <c r="B103" s="106" t="s">
        <v>810</v>
      </c>
      <c r="C103" s="106" t="s">
        <v>2892</v>
      </c>
      <c r="D103" s="109">
        <v>11617.522999999999</v>
      </c>
      <c r="E103" s="106" t="s">
        <v>2255</v>
      </c>
      <c r="F103" s="110">
        <v>40.626999999998588</v>
      </c>
      <c r="G103" s="106" t="s">
        <v>2795</v>
      </c>
      <c r="H103" s="102">
        <v>0</v>
      </c>
      <c r="I103" s="102">
        <v>0</v>
      </c>
      <c r="J103" s="111" t="s">
        <v>2798</v>
      </c>
      <c r="K103" s="111" t="s">
        <v>2798</v>
      </c>
      <c r="L103" s="111" t="s">
        <v>2798</v>
      </c>
      <c r="M103" s="111" t="s">
        <v>2798</v>
      </c>
      <c r="N103" s="111" t="s">
        <v>2798</v>
      </c>
      <c r="O103" s="111" t="s">
        <v>2798</v>
      </c>
      <c r="P103" s="111" t="s">
        <v>2798</v>
      </c>
      <c r="Q103" s="111" t="s">
        <v>2798</v>
      </c>
      <c r="R103" s="111" t="s">
        <v>2798</v>
      </c>
      <c r="S103" s="111" t="s">
        <v>2798</v>
      </c>
      <c r="T103" s="111" t="s">
        <v>2798</v>
      </c>
      <c r="U103" s="111" t="s">
        <v>2798</v>
      </c>
      <c r="V103" s="111" t="s">
        <v>2798</v>
      </c>
      <c r="W103" s="111" t="s">
        <v>2798</v>
      </c>
      <c r="X103" s="111" t="s">
        <v>2721</v>
      </c>
      <c r="Y103" s="111" t="s">
        <v>2722</v>
      </c>
      <c r="Z103" s="111" t="s">
        <v>2723</v>
      </c>
      <c r="AA103" s="111" t="s">
        <v>2724</v>
      </c>
      <c r="AB103" s="111" t="s">
        <v>2725</v>
      </c>
      <c r="AC103" s="111" t="s">
        <v>2726</v>
      </c>
      <c r="AD103" s="111" t="s">
        <v>2727</v>
      </c>
      <c r="AE103" s="111" t="s">
        <v>2798</v>
      </c>
      <c r="AF103" s="111" t="s">
        <v>2798</v>
      </c>
      <c r="AG103" s="111" t="s">
        <v>2798</v>
      </c>
      <c r="AH103" s="111" t="s">
        <v>2798</v>
      </c>
      <c r="AI103" s="111" t="s">
        <v>2798</v>
      </c>
      <c r="AJ103" s="111" t="s">
        <v>2798</v>
      </c>
      <c r="AK103" s="111" t="s">
        <v>2798</v>
      </c>
      <c r="AL103" s="111" t="s">
        <v>2798</v>
      </c>
      <c r="AM103" s="111" t="s">
        <v>2798</v>
      </c>
      <c r="AN103" s="111" t="s">
        <v>2798</v>
      </c>
      <c r="AO103" s="111" t="s">
        <v>2798</v>
      </c>
      <c r="AP103" s="111" t="s">
        <v>2798</v>
      </c>
      <c r="AQ103" s="111" t="s">
        <v>2798</v>
      </c>
      <c r="AR103" s="111" t="s">
        <v>2798</v>
      </c>
      <c r="AS103" s="111" t="s">
        <v>2798</v>
      </c>
      <c r="AT103" s="111" t="s">
        <v>2798</v>
      </c>
      <c r="AU103" s="111" t="s">
        <v>2798</v>
      </c>
      <c r="AV103" s="111" t="s">
        <v>2798</v>
      </c>
      <c r="AW103" s="111" t="s">
        <v>2798</v>
      </c>
      <c r="AX103" s="111" t="s">
        <v>2798</v>
      </c>
      <c r="AY103" s="111" t="s">
        <v>2798</v>
      </c>
      <c r="AZ103" s="111" t="s">
        <v>2798</v>
      </c>
      <c r="BA103" s="111" t="s">
        <v>2798</v>
      </c>
      <c r="BB103" s="111" t="s">
        <v>2798</v>
      </c>
      <c r="BC103" s="111" t="s">
        <v>2798</v>
      </c>
      <c r="BD103" s="111" t="s">
        <v>2798</v>
      </c>
      <c r="BE103" s="111" t="s">
        <v>2798</v>
      </c>
      <c r="BF103" s="111" t="s">
        <v>2798</v>
      </c>
      <c r="BG103" s="111" t="s">
        <v>2798</v>
      </c>
      <c r="BH103" s="111" t="s">
        <v>2798</v>
      </c>
      <c r="BI103" s="111" t="s">
        <v>2798</v>
      </c>
      <c r="BJ103" s="111" t="s">
        <v>2798</v>
      </c>
      <c r="BK103" s="111" t="s">
        <v>2798</v>
      </c>
      <c r="BL103" s="111" t="s">
        <v>2798</v>
      </c>
      <c r="BM103" s="111" t="s">
        <v>2798</v>
      </c>
      <c r="BN103" s="111" t="s">
        <v>2798</v>
      </c>
      <c r="BO103" s="111" t="s">
        <v>2798</v>
      </c>
      <c r="BP103" s="111" t="s">
        <v>2798</v>
      </c>
      <c r="BQ103" s="111" t="s">
        <v>2798</v>
      </c>
      <c r="BR103" s="111" t="s">
        <v>2798</v>
      </c>
      <c r="BS103" s="111" t="s">
        <v>2798</v>
      </c>
      <c r="BT103" s="111" t="s">
        <v>2798</v>
      </c>
      <c r="BU103" s="111" t="s">
        <v>2798</v>
      </c>
      <c r="BV103" s="111" t="s">
        <v>2771</v>
      </c>
      <c r="BW103" s="111" t="s">
        <v>2772</v>
      </c>
      <c r="BX103" s="111" t="s">
        <v>2773</v>
      </c>
      <c r="BY103" s="111" t="s">
        <v>2774</v>
      </c>
      <c r="BZ103" s="111" t="s">
        <v>2775</v>
      </c>
      <c r="CA103" s="111" t="s">
        <v>2776</v>
      </c>
      <c r="CB103" s="111" t="s">
        <v>2777</v>
      </c>
      <c r="CC103" s="111" t="s">
        <v>2798</v>
      </c>
      <c r="CD103" s="111" t="s">
        <v>2798</v>
      </c>
      <c r="CE103" s="111" t="s">
        <v>2798</v>
      </c>
      <c r="CF103" s="111" t="s">
        <v>2798</v>
      </c>
      <c r="CG103" s="111" t="s">
        <v>2798</v>
      </c>
      <c r="CH103" s="111" t="s">
        <v>2798</v>
      </c>
      <c r="CI103" s="111" t="s">
        <v>2798</v>
      </c>
      <c r="CJ103" s="111" t="s">
        <v>2798</v>
      </c>
      <c r="CK103" s="111" t="s">
        <v>2798</v>
      </c>
      <c r="CL103" s="111" t="s">
        <v>2798</v>
      </c>
      <c r="CM103" s="111" t="s">
        <v>2798</v>
      </c>
      <c r="CN103" s="111" t="s">
        <v>2798</v>
      </c>
      <c r="CO103" s="111" t="s">
        <v>2798</v>
      </c>
      <c r="CP103" s="111" t="s">
        <v>2798</v>
      </c>
      <c r="CQ103" s="111" t="s">
        <v>2798</v>
      </c>
    </row>
    <row r="104" spans="2:95" ht="14.25" customHeight="1">
      <c r="B104" s="106" t="s">
        <v>811</v>
      </c>
      <c r="C104" s="106" t="s">
        <v>2893</v>
      </c>
      <c r="D104" s="109">
        <v>11658.151</v>
      </c>
      <c r="E104" s="106" t="s">
        <v>2255</v>
      </c>
      <c r="F104" s="110">
        <v>40.628000000000611</v>
      </c>
      <c r="G104" s="106" t="s">
        <v>2793</v>
      </c>
      <c r="H104" s="102">
        <v>0</v>
      </c>
      <c r="I104" s="102">
        <v>0</v>
      </c>
      <c r="J104" s="111" t="s">
        <v>2798</v>
      </c>
      <c r="K104" s="111" t="s">
        <v>2798</v>
      </c>
      <c r="L104" s="111" t="s">
        <v>2798</v>
      </c>
      <c r="M104" s="111" t="s">
        <v>2798</v>
      </c>
      <c r="N104" s="111" t="s">
        <v>2798</v>
      </c>
      <c r="O104" s="111" t="s">
        <v>2798</v>
      </c>
      <c r="P104" s="111" t="s">
        <v>2798</v>
      </c>
      <c r="Q104" s="111" t="s">
        <v>2798</v>
      </c>
      <c r="R104" s="111" t="s">
        <v>2798</v>
      </c>
      <c r="S104" s="111" t="s">
        <v>2798</v>
      </c>
      <c r="T104" s="111" t="s">
        <v>2798</v>
      </c>
      <c r="U104" s="111" t="s">
        <v>2798</v>
      </c>
      <c r="V104" s="111" t="s">
        <v>2798</v>
      </c>
      <c r="W104" s="111" t="s">
        <v>2798</v>
      </c>
      <c r="X104" s="111" t="s">
        <v>2798</v>
      </c>
      <c r="Y104" s="111" t="s">
        <v>2798</v>
      </c>
      <c r="Z104" s="111" t="s">
        <v>2798</v>
      </c>
      <c r="AA104" s="111" t="s">
        <v>2798</v>
      </c>
      <c r="AB104" s="111" t="s">
        <v>2798</v>
      </c>
      <c r="AC104" s="111" t="s">
        <v>2798</v>
      </c>
      <c r="AD104" s="111" t="s">
        <v>2798</v>
      </c>
      <c r="AE104" s="111" t="s">
        <v>2798</v>
      </c>
      <c r="AF104" s="111" t="s">
        <v>2798</v>
      </c>
      <c r="AG104" s="111" t="s">
        <v>2798</v>
      </c>
      <c r="AH104" s="111" t="s">
        <v>2798</v>
      </c>
      <c r="AI104" s="111" t="s">
        <v>2798</v>
      </c>
      <c r="AJ104" s="111" t="s">
        <v>2798</v>
      </c>
      <c r="AK104" s="111" t="s">
        <v>2798</v>
      </c>
      <c r="AL104" s="111" t="s">
        <v>2798</v>
      </c>
      <c r="AM104" s="111" t="s">
        <v>2798</v>
      </c>
      <c r="AN104" s="111" t="s">
        <v>2798</v>
      </c>
      <c r="AO104" s="111" t="s">
        <v>2798</v>
      </c>
      <c r="AP104" s="111" t="s">
        <v>2798</v>
      </c>
      <c r="AQ104" s="111" t="s">
        <v>2798</v>
      </c>
      <c r="AR104" s="111" t="s">
        <v>2798</v>
      </c>
      <c r="AS104" s="111" t="s">
        <v>2798</v>
      </c>
      <c r="AT104" s="111" t="s">
        <v>2798</v>
      </c>
      <c r="AU104" s="111" t="s">
        <v>2798</v>
      </c>
      <c r="AV104" s="111" t="s">
        <v>2798</v>
      </c>
      <c r="AW104" s="111" t="s">
        <v>2798</v>
      </c>
      <c r="AX104" s="111" t="s">
        <v>2798</v>
      </c>
      <c r="AY104" s="111" t="s">
        <v>2798</v>
      </c>
      <c r="AZ104" s="111" t="s">
        <v>2798</v>
      </c>
      <c r="BA104" s="111" t="s">
        <v>2798</v>
      </c>
      <c r="BB104" s="111" t="s">
        <v>2798</v>
      </c>
      <c r="BC104" s="111" t="s">
        <v>2798</v>
      </c>
      <c r="BD104" s="111" t="s">
        <v>2798</v>
      </c>
      <c r="BE104" s="111" t="s">
        <v>2798</v>
      </c>
      <c r="BF104" s="111" t="s">
        <v>2798</v>
      </c>
      <c r="BG104" s="111" t="s">
        <v>2798</v>
      </c>
      <c r="BH104" s="111" t="s">
        <v>2798</v>
      </c>
      <c r="BI104" s="111" t="s">
        <v>2798</v>
      </c>
      <c r="BJ104" s="111" t="s">
        <v>2798</v>
      </c>
      <c r="BK104" s="111" t="s">
        <v>2798</v>
      </c>
      <c r="BL104" s="111" t="s">
        <v>2798</v>
      </c>
      <c r="BM104" s="111" t="s">
        <v>2798</v>
      </c>
      <c r="BN104" s="111" t="s">
        <v>2798</v>
      </c>
      <c r="BO104" s="111" t="s">
        <v>2798</v>
      </c>
      <c r="BP104" s="111" t="s">
        <v>2798</v>
      </c>
      <c r="BQ104" s="111" t="s">
        <v>2798</v>
      </c>
      <c r="BR104" s="111" t="s">
        <v>2798</v>
      </c>
      <c r="BS104" s="111" t="s">
        <v>2798</v>
      </c>
      <c r="BT104" s="111" t="s">
        <v>2798</v>
      </c>
      <c r="BU104" s="111" t="s">
        <v>2798</v>
      </c>
      <c r="BV104" s="111" t="s">
        <v>2798</v>
      </c>
      <c r="BW104" s="111" t="s">
        <v>2798</v>
      </c>
      <c r="BX104" s="111" t="s">
        <v>2798</v>
      </c>
      <c r="BY104" s="111" t="s">
        <v>2798</v>
      </c>
      <c r="BZ104" s="111" t="s">
        <v>2798</v>
      </c>
      <c r="CA104" s="111" t="s">
        <v>2798</v>
      </c>
      <c r="CB104" s="111" t="s">
        <v>2798</v>
      </c>
      <c r="CC104" s="111" t="s">
        <v>2778</v>
      </c>
      <c r="CD104" s="111" t="s">
        <v>2779</v>
      </c>
      <c r="CE104" s="111" t="s">
        <v>2780</v>
      </c>
      <c r="CF104" s="111" t="s">
        <v>2781</v>
      </c>
      <c r="CG104" s="111" t="s">
        <v>2782</v>
      </c>
      <c r="CH104" s="111" t="s">
        <v>2783</v>
      </c>
      <c r="CI104" s="111" t="s">
        <v>2798</v>
      </c>
      <c r="CJ104" s="111" t="s">
        <v>2785</v>
      </c>
      <c r="CK104" s="111" t="s">
        <v>2786</v>
      </c>
      <c r="CL104" s="111" t="s">
        <v>2787</v>
      </c>
      <c r="CM104" s="111" t="s">
        <v>2788</v>
      </c>
      <c r="CN104" s="111" t="s">
        <v>2789</v>
      </c>
      <c r="CO104" s="111" t="s">
        <v>2790</v>
      </c>
      <c r="CP104" s="111" t="s">
        <v>2791</v>
      </c>
      <c r="CQ104" s="111" t="s">
        <v>2792</v>
      </c>
    </row>
    <row r="105" spans="2:95" ht="14.25" customHeight="1">
      <c r="B105" s="106" t="s">
        <v>812</v>
      </c>
      <c r="C105" s="106" t="s">
        <v>2894</v>
      </c>
      <c r="D105" s="109">
        <v>11698.843000000001</v>
      </c>
      <c r="E105" s="106" t="s">
        <v>2280</v>
      </c>
      <c r="F105" s="110">
        <v>40.692000000000917</v>
      </c>
      <c r="G105" s="106" t="s">
        <v>2795</v>
      </c>
      <c r="H105" s="102">
        <v>0</v>
      </c>
      <c r="I105" s="102">
        <v>0</v>
      </c>
      <c r="J105" s="111" t="s">
        <v>87</v>
      </c>
      <c r="K105" s="111" t="s">
        <v>2708</v>
      </c>
      <c r="L105" s="111" t="s">
        <v>2709</v>
      </c>
      <c r="M105" s="111" t="s">
        <v>2710</v>
      </c>
      <c r="N105" s="111" t="s">
        <v>2711</v>
      </c>
      <c r="O105" s="111" t="s">
        <v>2712</v>
      </c>
      <c r="P105" s="111" t="s">
        <v>2713</v>
      </c>
      <c r="Q105" s="111" t="s">
        <v>2714</v>
      </c>
      <c r="R105" s="111" t="s">
        <v>2715</v>
      </c>
      <c r="S105" s="111" t="s">
        <v>2716</v>
      </c>
      <c r="T105" s="111" t="s">
        <v>2717</v>
      </c>
      <c r="U105" s="111" t="s">
        <v>2718</v>
      </c>
      <c r="V105" s="111" t="s">
        <v>2719</v>
      </c>
      <c r="W105" s="111" t="s">
        <v>2720</v>
      </c>
      <c r="X105" s="111" t="s">
        <v>2798</v>
      </c>
      <c r="Y105" s="111" t="s">
        <v>2798</v>
      </c>
      <c r="Z105" s="111" t="s">
        <v>2798</v>
      </c>
      <c r="AA105" s="111" t="s">
        <v>2798</v>
      </c>
      <c r="AB105" s="111" t="s">
        <v>2798</v>
      </c>
      <c r="AC105" s="111" t="s">
        <v>2798</v>
      </c>
      <c r="AD105" s="111" t="s">
        <v>2798</v>
      </c>
      <c r="AE105" s="111" t="s">
        <v>2798</v>
      </c>
      <c r="AF105" s="111" t="s">
        <v>2798</v>
      </c>
      <c r="AG105" s="111" t="s">
        <v>2798</v>
      </c>
      <c r="AH105" s="111" t="s">
        <v>2798</v>
      </c>
      <c r="AI105" s="111" t="s">
        <v>2798</v>
      </c>
      <c r="AJ105" s="111" t="s">
        <v>2798</v>
      </c>
      <c r="AK105" s="111" t="s">
        <v>2798</v>
      </c>
      <c r="AL105" s="111" t="s">
        <v>2798</v>
      </c>
      <c r="AM105" s="111" t="s">
        <v>2798</v>
      </c>
      <c r="AN105" s="111" t="s">
        <v>2798</v>
      </c>
      <c r="AO105" s="111" t="s">
        <v>2798</v>
      </c>
      <c r="AP105" s="111" t="s">
        <v>2798</v>
      </c>
      <c r="AQ105" s="111" t="s">
        <v>2798</v>
      </c>
      <c r="AR105" s="111" t="s">
        <v>2798</v>
      </c>
      <c r="AS105" s="111" t="s">
        <v>2798</v>
      </c>
      <c r="AT105" s="111" t="s">
        <v>2798</v>
      </c>
      <c r="AU105" s="111" t="s">
        <v>2798</v>
      </c>
      <c r="AV105" s="111" t="s">
        <v>2798</v>
      </c>
      <c r="AW105" s="111" t="s">
        <v>2798</v>
      </c>
      <c r="AX105" s="111" t="s">
        <v>2798</v>
      </c>
      <c r="AY105" s="111" t="s">
        <v>2798</v>
      </c>
      <c r="AZ105" s="111" t="s">
        <v>2798</v>
      </c>
      <c r="BA105" s="111" t="s">
        <v>2798</v>
      </c>
      <c r="BB105" s="111" t="s">
        <v>2798</v>
      </c>
      <c r="BC105" s="111" t="s">
        <v>2798</v>
      </c>
      <c r="BD105" s="111" t="s">
        <v>2798</v>
      </c>
      <c r="BE105" s="111" t="s">
        <v>2798</v>
      </c>
      <c r="BF105" s="111" t="s">
        <v>2798</v>
      </c>
      <c r="BG105" s="111" t="s">
        <v>2798</v>
      </c>
      <c r="BH105" s="111" t="s">
        <v>2798</v>
      </c>
      <c r="BI105" s="111" t="s">
        <v>2798</v>
      </c>
      <c r="BJ105" s="111" t="s">
        <v>2798</v>
      </c>
      <c r="BK105" s="111" t="s">
        <v>2798</v>
      </c>
      <c r="BL105" s="111" t="s">
        <v>2798</v>
      </c>
      <c r="BM105" s="111" t="s">
        <v>2798</v>
      </c>
      <c r="BN105" s="111" t="s">
        <v>2798</v>
      </c>
      <c r="BO105" s="111" t="s">
        <v>2798</v>
      </c>
      <c r="BP105" s="111" t="s">
        <v>2798</v>
      </c>
      <c r="BQ105" s="111" t="s">
        <v>2798</v>
      </c>
      <c r="BR105" s="111" t="s">
        <v>2798</v>
      </c>
      <c r="BS105" s="111" t="s">
        <v>2798</v>
      </c>
      <c r="BT105" s="111" t="s">
        <v>2798</v>
      </c>
      <c r="BU105" s="111" t="s">
        <v>2798</v>
      </c>
      <c r="BV105" s="111" t="s">
        <v>2798</v>
      </c>
      <c r="BW105" s="111" t="s">
        <v>2798</v>
      </c>
      <c r="BX105" s="111" t="s">
        <v>2798</v>
      </c>
      <c r="BY105" s="111" t="s">
        <v>2798</v>
      </c>
      <c r="BZ105" s="111" t="s">
        <v>2798</v>
      </c>
      <c r="CA105" s="111" t="s">
        <v>2798</v>
      </c>
      <c r="CB105" s="111" t="s">
        <v>2798</v>
      </c>
      <c r="CC105" s="111" t="s">
        <v>2798</v>
      </c>
      <c r="CD105" s="111" t="s">
        <v>2798</v>
      </c>
      <c r="CE105" s="111" t="s">
        <v>2798</v>
      </c>
      <c r="CF105" s="111" t="s">
        <v>2798</v>
      </c>
      <c r="CG105" s="111" t="s">
        <v>2798</v>
      </c>
      <c r="CH105" s="111" t="s">
        <v>2798</v>
      </c>
      <c r="CI105" s="111" t="s">
        <v>2798</v>
      </c>
      <c r="CJ105" s="111" t="s">
        <v>2798</v>
      </c>
      <c r="CK105" s="111" t="s">
        <v>2798</v>
      </c>
      <c r="CL105" s="111" t="s">
        <v>2798</v>
      </c>
      <c r="CM105" s="111" t="s">
        <v>2798</v>
      </c>
      <c r="CN105" s="111" t="s">
        <v>2798</v>
      </c>
      <c r="CO105" s="111" t="s">
        <v>2798</v>
      </c>
      <c r="CP105" s="111" t="s">
        <v>2798</v>
      </c>
      <c r="CQ105" s="111" t="s">
        <v>2798</v>
      </c>
    </row>
    <row r="106" spans="2:95" ht="14.25" customHeight="1">
      <c r="B106" s="106" t="s">
        <v>813</v>
      </c>
      <c r="C106" s="106" t="s">
        <v>2895</v>
      </c>
      <c r="D106" s="109">
        <v>11739.536</v>
      </c>
      <c r="E106" s="106" t="s">
        <v>2280</v>
      </c>
      <c r="F106" s="110">
        <v>40.692999999999302</v>
      </c>
      <c r="G106" s="106" t="s">
        <v>2793</v>
      </c>
      <c r="H106" s="102">
        <v>0</v>
      </c>
      <c r="I106" s="102">
        <v>0</v>
      </c>
      <c r="J106" s="111" t="s">
        <v>2798</v>
      </c>
      <c r="K106" s="111" t="s">
        <v>2798</v>
      </c>
      <c r="L106" s="111" t="s">
        <v>2798</v>
      </c>
      <c r="M106" s="111" t="s">
        <v>2798</v>
      </c>
      <c r="N106" s="111" t="s">
        <v>2798</v>
      </c>
      <c r="O106" s="111" t="s">
        <v>2798</v>
      </c>
      <c r="P106" s="111" t="s">
        <v>2798</v>
      </c>
      <c r="Q106" s="111" t="s">
        <v>2798</v>
      </c>
      <c r="R106" s="111" t="s">
        <v>2798</v>
      </c>
      <c r="S106" s="111" t="s">
        <v>2798</v>
      </c>
      <c r="T106" s="111" t="s">
        <v>2798</v>
      </c>
      <c r="U106" s="111" t="s">
        <v>2798</v>
      </c>
      <c r="V106" s="111" t="s">
        <v>2798</v>
      </c>
      <c r="W106" s="111" t="s">
        <v>2798</v>
      </c>
      <c r="X106" s="111" t="s">
        <v>2798</v>
      </c>
      <c r="Y106" s="111" t="s">
        <v>2798</v>
      </c>
      <c r="Z106" s="111" t="s">
        <v>2798</v>
      </c>
      <c r="AA106" s="111" t="s">
        <v>2798</v>
      </c>
      <c r="AB106" s="111" t="s">
        <v>2798</v>
      </c>
      <c r="AC106" s="111" t="s">
        <v>2798</v>
      </c>
      <c r="AD106" s="111" t="s">
        <v>2798</v>
      </c>
      <c r="AE106" s="111" t="s">
        <v>2798</v>
      </c>
      <c r="AF106" s="111" t="s">
        <v>2798</v>
      </c>
      <c r="AG106" s="111" t="s">
        <v>2798</v>
      </c>
      <c r="AH106" s="111" t="s">
        <v>2798</v>
      </c>
      <c r="AI106" s="111" t="s">
        <v>2798</v>
      </c>
      <c r="AJ106" s="111" t="s">
        <v>2798</v>
      </c>
      <c r="AK106" s="111" t="s">
        <v>2798</v>
      </c>
      <c r="AL106" s="111" t="s">
        <v>2798</v>
      </c>
      <c r="AM106" s="111" t="s">
        <v>2798</v>
      </c>
      <c r="AN106" s="111" t="s">
        <v>2798</v>
      </c>
      <c r="AO106" s="111" t="s">
        <v>2798</v>
      </c>
      <c r="AP106" s="111" t="s">
        <v>2798</v>
      </c>
      <c r="AQ106" s="111" t="s">
        <v>2798</v>
      </c>
      <c r="AR106" s="111" t="s">
        <v>2798</v>
      </c>
      <c r="AS106" s="111" t="s">
        <v>2798</v>
      </c>
      <c r="AT106" s="111" t="s">
        <v>2798</v>
      </c>
      <c r="AU106" s="111" t="s">
        <v>2798</v>
      </c>
      <c r="AV106" s="111" t="s">
        <v>2798</v>
      </c>
      <c r="AW106" s="111" t="s">
        <v>2798</v>
      </c>
      <c r="AX106" s="111" t="s">
        <v>2798</v>
      </c>
      <c r="AY106" s="111" t="s">
        <v>2798</v>
      </c>
      <c r="AZ106" s="111" t="s">
        <v>2798</v>
      </c>
      <c r="BA106" s="111" t="s">
        <v>2798</v>
      </c>
      <c r="BB106" s="111" t="s">
        <v>2798</v>
      </c>
      <c r="BC106" s="111" t="s">
        <v>2798</v>
      </c>
      <c r="BD106" s="111" t="s">
        <v>2798</v>
      </c>
      <c r="BE106" s="111" t="s">
        <v>2798</v>
      </c>
      <c r="BF106" s="111" t="s">
        <v>2798</v>
      </c>
      <c r="BG106" s="111" t="s">
        <v>2798</v>
      </c>
      <c r="BH106" s="111" t="s">
        <v>2798</v>
      </c>
      <c r="BI106" s="111" t="s">
        <v>2798</v>
      </c>
      <c r="BJ106" s="111" t="s">
        <v>2798</v>
      </c>
      <c r="BK106" s="111" t="s">
        <v>2798</v>
      </c>
      <c r="BL106" s="111" t="s">
        <v>2798</v>
      </c>
      <c r="BM106" s="111" t="s">
        <v>2798</v>
      </c>
      <c r="BN106" s="111" t="s">
        <v>2798</v>
      </c>
      <c r="BO106" s="111" t="s">
        <v>2798</v>
      </c>
      <c r="BP106" s="111" t="s">
        <v>2798</v>
      </c>
      <c r="BQ106" s="111" t="s">
        <v>2798</v>
      </c>
      <c r="BR106" s="111" t="s">
        <v>2798</v>
      </c>
      <c r="BS106" s="111" t="s">
        <v>2798</v>
      </c>
      <c r="BT106" s="111" t="s">
        <v>2798</v>
      </c>
      <c r="BU106" s="111" t="s">
        <v>2798</v>
      </c>
      <c r="BV106" s="111" t="s">
        <v>2798</v>
      </c>
      <c r="BW106" s="111" t="s">
        <v>2798</v>
      </c>
      <c r="BX106" s="111" t="s">
        <v>2798</v>
      </c>
      <c r="BY106" s="111" t="s">
        <v>2798</v>
      </c>
      <c r="BZ106" s="111" t="s">
        <v>2798</v>
      </c>
      <c r="CA106" s="111" t="s">
        <v>2798</v>
      </c>
      <c r="CB106" s="111" t="s">
        <v>2798</v>
      </c>
      <c r="CC106" s="111" t="s">
        <v>2778</v>
      </c>
      <c r="CD106" s="111" t="s">
        <v>2779</v>
      </c>
      <c r="CE106" s="111" t="s">
        <v>2780</v>
      </c>
      <c r="CF106" s="111" t="s">
        <v>2781</v>
      </c>
      <c r="CG106" s="111" t="s">
        <v>2782</v>
      </c>
      <c r="CH106" s="111" t="s">
        <v>2783</v>
      </c>
      <c r="CI106" s="111" t="s">
        <v>2798</v>
      </c>
      <c r="CJ106" s="111" t="s">
        <v>2785</v>
      </c>
      <c r="CK106" s="111" t="s">
        <v>2786</v>
      </c>
      <c r="CL106" s="111" t="s">
        <v>2787</v>
      </c>
      <c r="CM106" s="111" t="s">
        <v>2788</v>
      </c>
      <c r="CN106" s="111" t="s">
        <v>2789</v>
      </c>
      <c r="CO106" s="111" t="s">
        <v>2790</v>
      </c>
      <c r="CP106" s="111" t="s">
        <v>2791</v>
      </c>
      <c r="CQ106" s="111" t="s">
        <v>2792</v>
      </c>
    </row>
    <row r="107" spans="2:95" ht="14.25" customHeight="1">
      <c r="B107" s="106" t="s">
        <v>814</v>
      </c>
      <c r="C107" s="106" t="s">
        <v>2896</v>
      </c>
      <c r="D107" s="109">
        <v>11780.45</v>
      </c>
      <c r="E107" s="106" t="s">
        <v>2289</v>
      </c>
      <c r="F107" s="110">
        <v>40.914000000000669</v>
      </c>
      <c r="G107" s="106" t="s">
        <v>2795</v>
      </c>
      <c r="H107" s="102">
        <v>0</v>
      </c>
      <c r="I107" s="102">
        <v>0</v>
      </c>
      <c r="J107" s="111" t="s">
        <v>87</v>
      </c>
      <c r="K107" s="111" t="s">
        <v>2708</v>
      </c>
      <c r="L107" s="111" t="s">
        <v>2709</v>
      </c>
      <c r="M107" s="111" t="s">
        <v>2710</v>
      </c>
      <c r="N107" s="111" t="s">
        <v>2711</v>
      </c>
      <c r="O107" s="111" t="s">
        <v>2712</v>
      </c>
      <c r="P107" s="111" t="s">
        <v>2713</v>
      </c>
      <c r="Q107" s="111" t="s">
        <v>2714</v>
      </c>
      <c r="R107" s="111" t="s">
        <v>2715</v>
      </c>
      <c r="S107" s="111" t="s">
        <v>2716</v>
      </c>
      <c r="T107" s="111" t="s">
        <v>2717</v>
      </c>
      <c r="U107" s="111" t="s">
        <v>2718</v>
      </c>
      <c r="V107" s="111" t="s">
        <v>2719</v>
      </c>
      <c r="W107" s="111" t="s">
        <v>2720</v>
      </c>
      <c r="X107" s="111" t="s">
        <v>2798</v>
      </c>
      <c r="Y107" s="111" t="s">
        <v>2798</v>
      </c>
      <c r="Z107" s="111" t="s">
        <v>2798</v>
      </c>
      <c r="AA107" s="111" t="s">
        <v>2798</v>
      </c>
      <c r="AB107" s="111" t="s">
        <v>2798</v>
      </c>
      <c r="AC107" s="111" t="s">
        <v>2798</v>
      </c>
      <c r="AD107" s="111" t="s">
        <v>2798</v>
      </c>
      <c r="AE107" s="111" t="s">
        <v>2798</v>
      </c>
      <c r="AF107" s="111" t="s">
        <v>2798</v>
      </c>
      <c r="AG107" s="111" t="s">
        <v>2798</v>
      </c>
      <c r="AH107" s="111" t="s">
        <v>2798</v>
      </c>
      <c r="AI107" s="111" t="s">
        <v>2798</v>
      </c>
      <c r="AJ107" s="111" t="s">
        <v>2798</v>
      </c>
      <c r="AK107" s="111" t="s">
        <v>2798</v>
      </c>
      <c r="AL107" s="111" t="s">
        <v>2798</v>
      </c>
      <c r="AM107" s="111" t="s">
        <v>2798</v>
      </c>
      <c r="AN107" s="111" t="s">
        <v>2798</v>
      </c>
      <c r="AO107" s="111" t="s">
        <v>2798</v>
      </c>
      <c r="AP107" s="111" t="s">
        <v>2798</v>
      </c>
      <c r="AQ107" s="111" t="s">
        <v>2798</v>
      </c>
      <c r="AR107" s="111" t="s">
        <v>2798</v>
      </c>
      <c r="AS107" s="111" t="s">
        <v>2798</v>
      </c>
      <c r="AT107" s="111" t="s">
        <v>2798</v>
      </c>
      <c r="AU107" s="111" t="s">
        <v>2798</v>
      </c>
      <c r="AV107" s="111" t="s">
        <v>2798</v>
      </c>
      <c r="AW107" s="111" t="s">
        <v>2798</v>
      </c>
      <c r="AX107" s="111" t="s">
        <v>2798</v>
      </c>
      <c r="AY107" s="111" t="s">
        <v>2798</v>
      </c>
      <c r="AZ107" s="111" t="s">
        <v>2798</v>
      </c>
      <c r="BA107" s="111" t="s">
        <v>2798</v>
      </c>
      <c r="BB107" s="111" t="s">
        <v>2798</v>
      </c>
      <c r="BC107" s="111" t="s">
        <v>2798</v>
      </c>
      <c r="BD107" s="111" t="s">
        <v>2798</v>
      </c>
      <c r="BE107" s="111" t="s">
        <v>2798</v>
      </c>
      <c r="BF107" s="111" t="s">
        <v>2798</v>
      </c>
      <c r="BG107" s="111" t="s">
        <v>2798</v>
      </c>
      <c r="BH107" s="111" t="s">
        <v>2798</v>
      </c>
      <c r="BI107" s="111" t="s">
        <v>2798</v>
      </c>
      <c r="BJ107" s="111" t="s">
        <v>2798</v>
      </c>
      <c r="BK107" s="111" t="s">
        <v>2798</v>
      </c>
      <c r="BL107" s="111" t="s">
        <v>2798</v>
      </c>
      <c r="BM107" s="111" t="s">
        <v>2798</v>
      </c>
      <c r="BN107" s="111" t="s">
        <v>2798</v>
      </c>
      <c r="BO107" s="111" t="s">
        <v>2798</v>
      </c>
      <c r="BP107" s="111" t="s">
        <v>2798</v>
      </c>
      <c r="BQ107" s="111" t="s">
        <v>2798</v>
      </c>
      <c r="BR107" s="111" t="s">
        <v>2798</v>
      </c>
      <c r="BS107" s="111" t="s">
        <v>2798</v>
      </c>
      <c r="BT107" s="111" t="s">
        <v>2798</v>
      </c>
      <c r="BU107" s="111" t="s">
        <v>2798</v>
      </c>
      <c r="BV107" s="111" t="s">
        <v>2798</v>
      </c>
      <c r="BW107" s="111" t="s">
        <v>2798</v>
      </c>
      <c r="BX107" s="111" t="s">
        <v>2798</v>
      </c>
      <c r="BY107" s="111" t="s">
        <v>2798</v>
      </c>
      <c r="BZ107" s="111" t="s">
        <v>2798</v>
      </c>
      <c r="CA107" s="111" t="s">
        <v>2798</v>
      </c>
      <c r="CB107" s="111" t="s">
        <v>2798</v>
      </c>
      <c r="CC107" s="111" t="s">
        <v>2798</v>
      </c>
      <c r="CD107" s="111" t="s">
        <v>2798</v>
      </c>
      <c r="CE107" s="111" t="s">
        <v>2798</v>
      </c>
      <c r="CF107" s="111" t="s">
        <v>2798</v>
      </c>
      <c r="CG107" s="111" t="s">
        <v>2798</v>
      </c>
      <c r="CH107" s="111" t="s">
        <v>2798</v>
      </c>
      <c r="CI107" s="111" t="s">
        <v>2798</v>
      </c>
      <c r="CJ107" s="111" t="s">
        <v>2798</v>
      </c>
      <c r="CK107" s="111" t="s">
        <v>2798</v>
      </c>
      <c r="CL107" s="111" t="s">
        <v>2798</v>
      </c>
      <c r="CM107" s="111" t="s">
        <v>2798</v>
      </c>
      <c r="CN107" s="111" t="s">
        <v>2798</v>
      </c>
      <c r="CO107" s="111" t="s">
        <v>2798</v>
      </c>
      <c r="CP107" s="111" t="s">
        <v>2798</v>
      </c>
      <c r="CQ107" s="111" t="s">
        <v>2798</v>
      </c>
    </row>
    <row r="108" spans="2:95" ht="14.25" customHeight="1">
      <c r="B108" s="106" t="s">
        <v>815</v>
      </c>
      <c r="C108" s="106" t="s">
        <v>2897</v>
      </c>
      <c r="D108" s="109">
        <v>11821.050999999999</v>
      </c>
      <c r="E108" s="106" t="s">
        <v>2289</v>
      </c>
      <c r="F108" s="110">
        <v>40.600999999998749</v>
      </c>
      <c r="G108" s="106" t="s">
        <v>2795</v>
      </c>
      <c r="H108" s="102">
        <v>0</v>
      </c>
      <c r="I108" s="102">
        <v>0</v>
      </c>
      <c r="J108" s="111" t="s">
        <v>2798</v>
      </c>
      <c r="K108" s="111" t="s">
        <v>2798</v>
      </c>
      <c r="L108" s="111" t="s">
        <v>2798</v>
      </c>
      <c r="M108" s="111" t="s">
        <v>2798</v>
      </c>
      <c r="N108" s="111" t="s">
        <v>2798</v>
      </c>
      <c r="O108" s="111" t="s">
        <v>2798</v>
      </c>
      <c r="P108" s="111" t="s">
        <v>2798</v>
      </c>
      <c r="Q108" s="111" t="s">
        <v>2798</v>
      </c>
      <c r="R108" s="111" t="s">
        <v>2798</v>
      </c>
      <c r="S108" s="111" t="s">
        <v>2798</v>
      </c>
      <c r="T108" s="111" t="s">
        <v>2798</v>
      </c>
      <c r="U108" s="111" t="s">
        <v>2798</v>
      </c>
      <c r="V108" s="111" t="s">
        <v>2798</v>
      </c>
      <c r="W108" s="111" t="s">
        <v>2798</v>
      </c>
      <c r="X108" s="111" t="s">
        <v>2721</v>
      </c>
      <c r="Y108" s="111" t="s">
        <v>2722</v>
      </c>
      <c r="Z108" s="111" t="s">
        <v>2723</v>
      </c>
      <c r="AA108" s="111" t="s">
        <v>2724</v>
      </c>
      <c r="AB108" s="111" t="s">
        <v>2725</v>
      </c>
      <c r="AC108" s="111" t="s">
        <v>2726</v>
      </c>
      <c r="AD108" s="111" t="s">
        <v>2727</v>
      </c>
      <c r="AE108" s="111" t="s">
        <v>2728</v>
      </c>
      <c r="AF108" s="111" t="s">
        <v>2729</v>
      </c>
      <c r="AG108" s="111" t="s">
        <v>2730</v>
      </c>
      <c r="AH108" s="111" t="s">
        <v>2731</v>
      </c>
      <c r="AI108" s="111" t="s">
        <v>2732</v>
      </c>
      <c r="AJ108" s="111" t="s">
        <v>2733</v>
      </c>
      <c r="AK108" s="111" t="s">
        <v>2734</v>
      </c>
      <c r="AL108" s="111" t="s">
        <v>2798</v>
      </c>
      <c r="AM108" s="111" t="s">
        <v>2798</v>
      </c>
      <c r="AN108" s="111" t="s">
        <v>2798</v>
      </c>
      <c r="AO108" s="111" t="s">
        <v>2798</v>
      </c>
      <c r="AP108" s="111" t="s">
        <v>2798</v>
      </c>
      <c r="AQ108" s="111" t="s">
        <v>2798</v>
      </c>
      <c r="AR108" s="111" t="s">
        <v>2798</v>
      </c>
      <c r="AS108" s="111" t="s">
        <v>2798</v>
      </c>
      <c r="AT108" s="111" t="s">
        <v>2798</v>
      </c>
      <c r="AU108" s="111" t="s">
        <v>2798</v>
      </c>
      <c r="AV108" s="111" t="s">
        <v>2798</v>
      </c>
      <c r="AW108" s="111" t="s">
        <v>2798</v>
      </c>
      <c r="AX108" s="111" t="s">
        <v>2798</v>
      </c>
      <c r="AY108" s="111" t="s">
        <v>2798</v>
      </c>
      <c r="AZ108" s="111" t="s">
        <v>2798</v>
      </c>
      <c r="BA108" s="111" t="s">
        <v>2798</v>
      </c>
      <c r="BB108" s="111" t="s">
        <v>2798</v>
      </c>
      <c r="BC108" s="111" t="s">
        <v>2798</v>
      </c>
      <c r="BD108" s="111" t="s">
        <v>2798</v>
      </c>
      <c r="BE108" s="111" t="s">
        <v>2798</v>
      </c>
      <c r="BF108" s="111" t="s">
        <v>2798</v>
      </c>
      <c r="BG108" s="111" t="s">
        <v>2798</v>
      </c>
      <c r="BH108" s="111" t="s">
        <v>2798</v>
      </c>
      <c r="BI108" s="111" t="s">
        <v>2798</v>
      </c>
      <c r="BJ108" s="111" t="s">
        <v>2798</v>
      </c>
      <c r="BK108" s="111" t="s">
        <v>2798</v>
      </c>
      <c r="BL108" s="111" t="s">
        <v>2798</v>
      </c>
      <c r="BM108" s="111" t="s">
        <v>2798</v>
      </c>
      <c r="BN108" s="111" t="s">
        <v>2798</v>
      </c>
      <c r="BO108" s="111" t="s">
        <v>2798</v>
      </c>
      <c r="BP108" s="111" t="s">
        <v>2798</v>
      </c>
      <c r="BQ108" s="111" t="s">
        <v>2798</v>
      </c>
      <c r="BR108" s="111" t="s">
        <v>2798</v>
      </c>
      <c r="BS108" s="111" t="s">
        <v>2798</v>
      </c>
      <c r="BT108" s="111" t="s">
        <v>2798</v>
      </c>
      <c r="BU108" s="111" t="s">
        <v>2798</v>
      </c>
      <c r="BV108" s="111" t="s">
        <v>2798</v>
      </c>
      <c r="BW108" s="111" t="s">
        <v>2798</v>
      </c>
      <c r="BX108" s="111" t="s">
        <v>2798</v>
      </c>
      <c r="BY108" s="111" t="s">
        <v>2798</v>
      </c>
      <c r="BZ108" s="111" t="s">
        <v>2798</v>
      </c>
      <c r="CA108" s="111" t="s">
        <v>2798</v>
      </c>
      <c r="CB108" s="111" t="s">
        <v>2798</v>
      </c>
      <c r="CC108" s="111" t="s">
        <v>2798</v>
      </c>
      <c r="CD108" s="111" t="s">
        <v>2798</v>
      </c>
      <c r="CE108" s="111" t="s">
        <v>2798</v>
      </c>
      <c r="CF108" s="111" t="s">
        <v>2798</v>
      </c>
      <c r="CG108" s="111" t="s">
        <v>2798</v>
      </c>
      <c r="CH108" s="111" t="s">
        <v>2798</v>
      </c>
      <c r="CI108" s="111" t="s">
        <v>2798</v>
      </c>
      <c r="CJ108" s="111" t="s">
        <v>2798</v>
      </c>
      <c r="CK108" s="111" t="s">
        <v>2798</v>
      </c>
      <c r="CL108" s="111" t="s">
        <v>2798</v>
      </c>
      <c r="CM108" s="111" t="s">
        <v>2798</v>
      </c>
      <c r="CN108" s="111" t="s">
        <v>2798</v>
      </c>
      <c r="CO108" s="111" t="s">
        <v>2798</v>
      </c>
      <c r="CP108" s="111" t="s">
        <v>2798</v>
      </c>
      <c r="CQ108" s="111" t="s">
        <v>2798</v>
      </c>
    </row>
    <row r="109" spans="2:95" ht="14.25" customHeight="1">
      <c r="B109" s="106" t="s">
        <v>816</v>
      </c>
      <c r="C109" s="106" t="s">
        <v>2898</v>
      </c>
      <c r="D109" s="109">
        <v>11860.944</v>
      </c>
      <c r="E109" s="106" t="s">
        <v>2289</v>
      </c>
      <c r="F109" s="110">
        <v>39.893000000000029</v>
      </c>
      <c r="G109" s="106" t="s">
        <v>2795</v>
      </c>
      <c r="H109" s="102">
        <v>0</v>
      </c>
      <c r="I109" s="102">
        <v>0</v>
      </c>
      <c r="J109" s="111" t="s">
        <v>2798</v>
      </c>
      <c r="K109" s="111" t="s">
        <v>2798</v>
      </c>
      <c r="L109" s="111" t="s">
        <v>2798</v>
      </c>
      <c r="M109" s="111" t="s">
        <v>2798</v>
      </c>
      <c r="N109" s="111" t="s">
        <v>2798</v>
      </c>
      <c r="O109" s="111" t="s">
        <v>2798</v>
      </c>
      <c r="P109" s="111" t="s">
        <v>2798</v>
      </c>
      <c r="Q109" s="111" t="s">
        <v>2798</v>
      </c>
      <c r="R109" s="111" t="s">
        <v>2798</v>
      </c>
      <c r="S109" s="111" t="s">
        <v>2798</v>
      </c>
      <c r="T109" s="111" t="s">
        <v>2798</v>
      </c>
      <c r="U109" s="111" t="s">
        <v>2798</v>
      </c>
      <c r="V109" s="111" t="s">
        <v>2798</v>
      </c>
      <c r="W109" s="111" t="s">
        <v>2798</v>
      </c>
      <c r="X109" s="111" t="s">
        <v>2798</v>
      </c>
      <c r="Y109" s="111" t="s">
        <v>2798</v>
      </c>
      <c r="Z109" s="111" t="s">
        <v>2798</v>
      </c>
      <c r="AA109" s="111" t="s">
        <v>2798</v>
      </c>
      <c r="AB109" s="111" t="s">
        <v>2798</v>
      </c>
      <c r="AC109" s="111" t="s">
        <v>2798</v>
      </c>
      <c r="AD109" s="111" t="s">
        <v>2798</v>
      </c>
      <c r="AE109" s="111" t="s">
        <v>2798</v>
      </c>
      <c r="AF109" s="111" t="s">
        <v>2798</v>
      </c>
      <c r="AG109" s="111" t="s">
        <v>2798</v>
      </c>
      <c r="AH109" s="111" t="s">
        <v>2798</v>
      </c>
      <c r="AI109" s="111" t="s">
        <v>2798</v>
      </c>
      <c r="AJ109" s="111" t="s">
        <v>2798</v>
      </c>
      <c r="AK109" s="111" t="s">
        <v>2798</v>
      </c>
      <c r="AL109" s="111" t="s">
        <v>2735</v>
      </c>
      <c r="AM109" s="111" t="s">
        <v>2736</v>
      </c>
      <c r="AN109" s="111" t="s">
        <v>2737</v>
      </c>
      <c r="AO109" s="111" t="s">
        <v>2738</v>
      </c>
      <c r="AP109" s="111" t="s">
        <v>2739</v>
      </c>
      <c r="AQ109" s="111" t="s">
        <v>2740</v>
      </c>
      <c r="AR109" s="111" t="s">
        <v>2741</v>
      </c>
      <c r="AS109" s="111" t="s">
        <v>2798</v>
      </c>
      <c r="AT109" s="111" t="s">
        <v>2798</v>
      </c>
      <c r="AU109" s="111" t="s">
        <v>2798</v>
      </c>
      <c r="AV109" s="111" t="s">
        <v>2798</v>
      </c>
      <c r="AW109" s="111" t="s">
        <v>2798</v>
      </c>
      <c r="AX109" s="111" t="s">
        <v>2798</v>
      </c>
      <c r="AY109" s="111" t="s">
        <v>2798</v>
      </c>
      <c r="AZ109" s="111" t="s">
        <v>2798</v>
      </c>
      <c r="BA109" s="111" t="s">
        <v>2798</v>
      </c>
      <c r="BB109" s="111" t="s">
        <v>2798</v>
      </c>
      <c r="BC109" s="111" t="s">
        <v>2798</v>
      </c>
      <c r="BD109" s="111" t="s">
        <v>2798</v>
      </c>
      <c r="BE109" s="111" t="s">
        <v>2798</v>
      </c>
      <c r="BF109" s="111" t="s">
        <v>2798</v>
      </c>
      <c r="BG109" s="111" t="s">
        <v>2798</v>
      </c>
      <c r="BH109" s="111" t="s">
        <v>2757</v>
      </c>
      <c r="BI109" s="111" t="s">
        <v>2758</v>
      </c>
      <c r="BJ109" s="111" t="s">
        <v>2759</v>
      </c>
      <c r="BK109" s="111" t="s">
        <v>2760</v>
      </c>
      <c r="BL109" s="111" t="s">
        <v>2761</v>
      </c>
      <c r="BM109" s="111" t="s">
        <v>2762</v>
      </c>
      <c r="BN109" s="111" t="s">
        <v>2763</v>
      </c>
      <c r="BO109" s="111" t="s">
        <v>2798</v>
      </c>
      <c r="BP109" s="111" t="s">
        <v>2798</v>
      </c>
      <c r="BQ109" s="111" t="s">
        <v>2798</v>
      </c>
      <c r="BR109" s="111" t="s">
        <v>2798</v>
      </c>
      <c r="BS109" s="111" t="s">
        <v>2798</v>
      </c>
      <c r="BT109" s="111" t="s">
        <v>2798</v>
      </c>
      <c r="BU109" s="111" t="s">
        <v>2798</v>
      </c>
      <c r="BV109" s="111" t="s">
        <v>2798</v>
      </c>
      <c r="BW109" s="111" t="s">
        <v>2798</v>
      </c>
      <c r="BX109" s="111" t="s">
        <v>2798</v>
      </c>
      <c r="BY109" s="111" t="s">
        <v>2798</v>
      </c>
      <c r="BZ109" s="111" t="s">
        <v>2798</v>
      </c>
      <c r="CA109" s="111" t="s">
        <v>2798</v>
      </c>
      <c r="CB109" s="111" t="s">
        <v>2798</v>
      </c>
      <c r="CC109" s="111" t="s">
        <v>2798</v>
      </c>
      <c r="CD109" s="111" t="s">
        <v>2798</v>
      </c>
      <c r="CE109" s="111" t="s">
        <v>2798</v>
      </c>
      <c r="CF109" s="111" t="s">
        <v>2798</v>
      </c>
      <c r="CG109" s="111" t="s">
        <v>2798</v>
      </c>
      <c r="CH109" s="111" t="s">
        <v>2798</v>
      </c>
      <c r="CI109" s="111" t="s">
        <v>2798</v>
      </c>
      <c r="CJ109" s="111" t="s">
        <v>2798</v>
      </c>
      <c r="CK109" s="111" t="s">
        <v>2798</v>
      </c>
      <c r="CL109" s="111" t="s">
        <v>2798</v>
      </c>
      <c r="CM109" s="111" t="s">
        <v>2798</v>
      </c>
      <c r="CN109" s="111" t="s">
        <v>2798</v>
      </c>
      <c r="CO109" s="111" t="s">
        <v>2798</v>
      </c>
      <c r="CP109" s="111" t="s">
        <v>2798</v>
      </c>
      <c r="CQ109" s="111" t="s">
        <v>2798</v>
      </c>
    </row>
    <row r="110" spans="2:95" ht="14.25" customHeight="1">
      <c r="B110" s="106" t="s">
        <v>817</v>
      </c>
      <c r="C110" s="106" t="s">
        <v>2899</v>
      </c>
      <c r="D110" s="109">
        <v>11901.545</v>
      </c>
      <c r="E110" s="106" t="s">
        <v>2289</v>
      </c>
      <c r="F110" s="110">
        <v>40.601000000000568</v>
      </c>
      <c r="G110" s="106" t="s">
        <v>2795</v>
      </c>
      <c r="H110" s="102">
        <v>0</v>
      </c>
      <c r="I110" s="102">
        <v>0</v>
      </c>
      <c r="J110" s="111" t="s">
        <v>2798</v>
      </c>
      <c r="K110" s="111" t="s">
        <v>2798</v>
      </c>
      <c r="L110" s="111" t="s">
        <v>2798</v>
      </c>
      <c r="M110" s="111" t="s">
        <v>2798</v>
      </c>
      <c r="N110" s="111" t="s">
        <v>2798</v>
      </c>
      <c r="O110" s="111" t="s">
        <v>2798</v>
      </c>
      <c r="P110" s="111" t="s">
        <v>2798</v>
      </c>
      <c r="Q110" s="111" t="s">
        <v>2798</v>
      </c>
      <c r="R110" s="111" t="s">
        <v>2798</v>
      </c>
      <c r="S110" s="111" t="s">
        <v>2798</v>
      </c>
      <c r="T110" s="111" t="s">
        <v>2798</v>
      </c>
      <c r="U110" s="111" t="s">
        <v>2798</v>
      </c>
      <c r="V110" s="111" t="s">
        <v>2798</v>
      </c>
      <c r="W110" s="111" t="s">
        <v>2798</v>
      </c>
      <c r="X110" s="111" t="s">
        <v>2798</v>
      </c>
      <c r="Y110" s="111" t="s">
        <v>2798</v>
      </c>
      <c r="Z110" s="111" t="s">
        <v>2798</v>
      </c>
      <c r="AA110" s="111" t="s">
        <v>2798</v>
      </c>
      <c r="AB110" s="111" t="s">
        <v>2798</v>
      </c>
      <c r="AC110" s="111" t="s">
        <v>2798</v>
      </c>
      <c r="AD110" s="111" t="s">
        <v>2798</v>
      </c>
      <c r="AE110" s="111" t="s">
        <v>2798</v>
      </c>
      <c r="AF110" s="111" t="s">
        <v>2798</v>
      </c>
      <c r="AG110" s="111" t="s">
        <v>2798</v>
      </c>
      <c r="AH110" s="111" t="s">
        <v>2798</v>
      </c>
      <c r="AI110" s="111" t="s">
        <v>2798</v>
      </c>
      <c r="AJ110" s="111" t="s">
        <v>2798</v>
      </c>
      <c r="AK110" s="111" t="s">
        <v>2798</v>
      </c>
      <c r="AL110" s="111" t="s">
        <v>2798</v>
      </c>
      <c r="AM110" s="111" t="s">
        <v>2798</v>
      </c>
      <c r="AN110" s="111" t="s">
        <v>2798</v>
      </c>
      <c r="AO110" s="111" t="s">
        <v>2798</v>
      </c>
      <c r="AP110" s="111" t="s">
        <v>2798</v>
      </c>
      <c r="AQ110" s="111" t="s">
        <v>2798</v>
      </c>
      <c r="AR110" s="111" t="s">
        <v>2798</v>
      </c>
      <c r="AS110" s="111" t="s">
        <v>2798</v>
      </c>
      <c r="AT110" s="111" t="s">
        <v>2798</v>
      </c>
      <c r="AU110" s="111" t="s">
        <v>2798</v>
      </c>
      <c r="AV110" s="111" t="s">
        <v>2798</v>
      </c>
      <c r="AW110" s="111" t="s">
        <v>2798</v>
      </c>
      <c r="AX110" s="111" t="s">
        <v>2798</v>
      </c>
      <c r="AY110" s="111" t="s">
        <v>2798</v>
      </c>
      <c r="AZ110" s="111" t="s">
        <v>2798</v>
      </c>
      <c r="BA110" s="111" t="s">
        <v>2798</v>
      </c>
      <c r="BB110" s="111" t="s">
        <v>2798</v>
      </c>
      <c r="BC110" s="111" t="s">
        <v>2798</v>
      </c>
      <c r="BD110" s="111" t="s">
        <v>2798</v>
      </c>
      <c r="BE110" s="111" t="s">
        <v>2798</v>
      </c>
      <c r="BF110" s="111" t="s">
        <v>2798</v>
      </c>
      <c r="BG110" s="111" t="s">
        <v>2798</v>
      </c>
      <c r="BH110" s="111" t="s">
        <v>2798</v>
      </c>
      <c r="BI110" s="111" t="s">
        <v>2798</v>
      </c>
      <c r="BJ110" s="111" t="s">
        <v>2798</v>
      </c>
      <c r="BK110" s="111" t="s">
        <v>2798</v>
      </c>
      <c r="BL110" s="111" t="s">
        <v>2798</v>
      </c>
      <c r="BM110" s="111" t="s">
        <v>2798</v>
      </c>
      <c r="BN110" s="111" t="s">
        <v>2798</v>
      </c>
      <c r="BO110" s="111" t="s">
        <v>2764</v>
      </c>
      <c r="BP110" s="111" t="s">
        <v>2765</v>
      </c>
      <c r="BQ110" s="111" t="s">
        <v>2766</v>
      </c>
      <c r="BR110" s="111" t="s">
        <v>2767</v>
      </c>
      <c r="BS110" s="111" t="s">
        <v>2768</v>
      </c>
      <c r="BT110" s="111" t="s">
        <v>2769</v>
      </c>
      <c r="BU110" s="111" t="s">
        <v>2770</v>
      </c>
      <c r="BV110" s="111" t="s">
        <v>2771</v>
      </c>
      <c r="BW110" s="111" t="s">
        <v>2772</v>
      </c>
      <c r="BX110" s="111" t="s">
        <v>2773</v>
      </c>
      <c r="BY110" s="111" t="s">
        <v>2774</v>
      </c>
      <c r="BZ110" s="111" t="s">
        <v>2775</v>
      </c>
      <c r="CA110" s="111" t="s">
        <v>2776</v>
      </c>
      <c r="CB110" s="111" t="s">
        <v>2777</v>
      </c>
      <c r="CC110" s="111" t="s">
        <v>2798</v>
      </c>
      <c r="CD110" s="111" t="s">
        <v>2798</v>
      </c>
      <c r="CE110" s="111" t="s">
        <v>2798</v>
      </c>
      <c r="CF110" s="111" t="s">
        <v>2798</v>
      </c>
      <c r="CG110" s="111" t="s">
        <v>2798</v>
      </c>
      <c r="CH110" s="111" t="s">
        <v>2798</v>
      </c>
      <c r="CI110" s="111" t="s">
        <v>2798</v>
      </c>
      <c r="CJ110" s="111" t="s">
        <v>2798</v>
      </c>
      <c r="CK110" s="111" t="s">
        <v>2798</v>
      </c>
      <c r="CL110" s="111" t="s">
        <v>2798</v>
      </c>
      <c r="CM110" s="111" t="s">
        <v>2798</v>
      </c>
      <c r="CN110" s="111" t="s">
        <v>2798</v>
      </c>
      <c r="CO110" s="111" t="s">
        <v>2798</v>
      </c>
      <c r="CP110" s="111" t="s">
        <v>2798</v>
      </c>
      <c r="CQ110" s="111" t="s">
        <v>2798</v>
      </c>
    </row>
    <row r="111" spans="2:95" ht="14.25" customHeight="1">
      <c r="B111" s="106" t="s">
        <v>818</v>
      </c>
      <c r="C111" s="106" t="s">
        <v>2900</v>
      </c>
      <c r="D111" s="109">
        <v>11942.458000000001</v>
      </c>
      <c r="E111" s="106" t="s">
        <v>2289</v>
      </c>
      <c r="F111" s="110">
        <v>40.913000000000466</v>
      </c>
      <c r="G111" s="106" t="s">
        <v>2793</v>
      </c>
      <c r="H111" s="102">
        <v>0</v>
      </c>
      <c r="I111" s="102">
        <v>0</v>
      </c>
      <c r="J111" s="111" t="s">
        <v>2798</v>
      </c>
      <c r="K111" s="111" t="s">
        <v>2798</v>
      </c>
      <c r="L111" s="111" t="s">
        <v>2798</v>
      </c>
      <c r="M111" s="111" t="s">
        <v>2798</v>
      </c>
      <c r="N111" s="111" t="s">
        <v>2798</v>
      </c>
      <c r="O111" s="111" t="s">
        <v>2798</v>
      </c>
      <c r="P111" s="111" t="s">
        <v>2798</v>
      </c>
      <c r="Q111" s="111" t="s">
        <v>2798</v>
      </c>
      <c r="R111" s="111" t="s">
        <v>2798</v>
      </c>
      <c r="S111" s="111" t="s">
        <v>2798</v>
      </c>
      <c r="T111" s="111" t="s">
        <v>2798</v>
      </c>
      <c r="U111" s="111" t="s">
        <v>2798</v>
      </c>
      <c r="V111" s="111" t="s">
        <v>2798</v>
      </c>
      <c r="W111" s="111" t="s">
        <v>2798</v>
      </c>
      <c r="X111" s="111" t="s">
        <v>2798</v>
      </c>
      <c r="Y111" s="111" t="s">
        <v>2798</v>
      </c>
      <c r="Z111" s="111" t="s">
        <v>2798</v>
      </c>
      <c r="AA111" s="111" t="s">
        <v>2798</v>
      </c>
      <c r="AB111" s="111" t="s">
        <v>2798</v>
      </c>
      <c r="AC111" s="111" t="s">
        <v>2798</v>
      </c>
      <c r="AD111" s="111" t="s">
        <v>2798</v>
      </c>
      <c r="AE111" s="111" t="s">
        <v>2798</v>
      </c>
      <c r="AF111" s="111" t="s">
        <v>2798</v>
      </c>
      <c r="AG111" s="111" t="s">
        <v>2798</v>
      </c>
      <c r="AH111" s="111" t="s">
        <v>2798</v>
      </c>
      <c r="AI111" s="111" t="s">
        <v>2798</v>
      </c>
      <c r="AJ111" s="111" t="s">
        <v>2798</v>
      </c>
      <c r="AK111" s="111" t="s">
        <v>2798</v>
      </c>
      <c r="AL111" s="111" t="s">
        <v>2798</v>
      </c>
      <c r="AM111" s="111" t="s">
        <v>2798</v>
      </c>
      <c r="AN111" s="111" t="s">
        <v>2798</v>
      </c>
      <c r="AO111" s="111" t="s">
        <v>2798</v>
      </c>
      <c r="AP111" s="111" t="s">
        <v>2798</v>
      </c>
      <c r="AQ111" s="111" t="s">
        <v>2798</v>
      </c>
      <c r="AR111" s="111" t="s">
        <v>2798</v>
      </c>
      <c r="AS111" s="111" t="s">
        <v>2798</v>
      </c>
      <c r="AT111" s="111" t="s">
        <v>2798</v>
      </c>
      <c r="AU111" s="111" t="s">
        <v>2798</v>
      </c>
      <c r="AV111" s="111" t="s">
        <v>2798</v>
      </c>
      <c r="AW111" s="111" t="s">
        <v>2798</v>
      </c>
      <c r="AX111" s="111" t="s">
        <v>2798</v>
      </c>
      <c r="AY111" s="111" t="s">
        <v>2798</v>
      </c>
      <c r="AZ111" s="111" t="s">
        <v>2798</v>
      </c>
      <c r="BA111" s="111" t="s">
        <v>2798</v>
      </c>
      <c r="BB111" s="111" t="s">
        <v>2798</v>
      </c>
      <c r="BC111" s="111" t="s">
        <v>2798</v>
      </c>
      <c r="BD111" s="111" t="s">
        <v>2798</v>
      </c>
      <c r="BE111" s="111" t="s">
        <v>2798</v>
      </c>
      <c r="BF111" s="111" t="s">
        <v>2798</v>
      </c>
      <c r="BG111" s="111" t="s">
        <v>2798</v>
      </c>
      <c r="BH111" s="111" t="s">
        <v>2798</v>
      </c>
      <c r="BI111" s="111" t="s">
        <v>2798</v>
      </c>
      <c r="BJ111" s="111" t="s">
        <v>2798</v>
      </c>
      <c r="BK111" s="111" t="s">
        <v>2798</v>
      </c>
      <c r="BL111" s="111" t="s">
        <v>2798</v>
      </c>
      <c r="BM111" s="111" t="s">
        <v>2798</v>
      </c>
      <c r="BN111" s="111" t="s">
        <v>2798</v>
      </c>
      <c r="BO111" s="111" t="s">
        <v>2798</v>
      </c>
      <c r="BP111" s="111" t="s">
        <v>2798</v>
      </c>
      <c r="BQ111" s="111" t="s">
        <v>2798</v>
      </c>
      <c r="BR111" s="111" t="s">
        <v>2798</v>
      </c>
      <c r="BS111" s="111" t="s">
        <v>2798</v>
      </c>
      <c r="BT111" s="111" t="s">
        <v>2798</v>
      </c>
      <c r="BU111" s="111" t="s">
        <v>2798</v>
      </c>
      <c r="BV111" s="111" t="s">
        <v>2798</v>
      </c>
      <c r="BW111" s="111" t="s">
        <v>2798</v>
      </c>
      <c r="BX111" s="111" t="s">
        <v>2798</v>
      </c>
      <c r="BY111" s="111" t="s">
        <v>2798</v>
      </c>
      <c r="BZ111" s="111" t="s">
        <v>2798</v>
      </c>
      <c r="CA111" s="111" t="s">
        <v>2798</v>
      </c>
      <c r="CB111" s="111" t="s">
        <v>2798</v>
      </c>
      <c r="CC111" s="111" t="s">
        <v>2778</v>
      </c>
      <c r="CD111" s="111" t="s">
        <v>2779</v>
      </c>
      <c r="CE111" s="111" t="s">
        <v>2780</v>
      </c>
      <c r="CF111" s="111" t="s">
        <v>2781</v>
      </c>
      <c r="CG111" s="111" t="s">
        <v>2782</v>
      </c>
      <c r="CH111" s="111" t="s">
        <v>2783</v>
      </c>
      <c r="CI111" s="111" t="s">
        <v>2798</v>
      </c>
      <c r="CJ111" s="111" t="s">
        <v>2785</v>
      </c>
      <c r="CK111" s="111" t="s">
        <v>2786</v>
      </c>
      <c r="CL111" s="111" t="s">
        <v>2787</v>
      </c>
      <c r="CM111" s="111" t="s">
        <v>2788</v>
      </c>
      <c r="CN111" s="111" t="s">
        <v>2789</v>
      </c>
      <c r="CO111" s="111" t="s">
        <v>2790</v>
      </c>
      <c r="CP111" s="111" t="s">
        <v>2791</v>
      </c>
      <c r="CQ111" s="111" t="s">
        <v>2792</v>
      </c>
    </row>
    <row r="112" spans="2:95" ht="14.25" customHeight="1">
      <c r="B112" s="106" t="s">
        <v>819</v>
      </c>
      <c r="C112" s="106" t="s">
        <v>2901</v>
      </c>
      <c r="D112" s="109">
        <v>11992.040999999999</v>
      </c>
      <c r="E112" s="106" t="s">
        <v>2310</v>
      </c>
      <c r="F112" s="110">
        <v>49.582999999998719</v>
      </c>
      <c r="G112" s="106" t="s">
        <v>2795</v>
      </c>
      <c r="H112" s="102">
        <v>0</v>
      </c>
      <c r="I112" s="102">
        <v>0</v>
      </c>
      <c r="J112" s="111" t="s">
        <v>87</v>
      </c>
      <c r="K112" s="111" t="s">
        <v>2708</v>
      </c>
      <c r="L112" s="111" t="s">
        <v>2709</v>
      </c>
      <c r="M112" s="111" t="s">
        <v>2710</v>
      </c>
      <c r="N112" s="111" t="s">
        <v>2711</v>
      </c>
      <c r="O112" s="111" t="s">
        <v>2712</v>
      </c>
      <c r="P112" s="111" t="s">
        <v>2713</v>
      </c>
      <c r="Q112" s="111" t="s">
        <v>2714</v>
      </c>
      <c r="R112" s="111" t="s">
        <v>2715</v>
      </c>
      <c r="S112" s="111" t="s">
        <v>2716</v>
      </c>
      <c r="T112" s="111" t="s">
        <v>2717</v>
      </c>
      <c r="U112" s="111" t="s">
        <v>2718</v>
      </c>
      <c r="V112" s="111" t="s">
        <v>2719</v>
      </c>
      <c r="W112" s="111" t="s">
        <v>2720</v>
      </c>
      <c r="X112" s="111" t="s">
        <v>2721</v>
      </c>
      <c r="Y112" s="111" t="s">
        <v>2722</v>
      </c>
      <c r="Z112" s="111" t="s">
        <v>2723</v>
      </c>
      <c r="AA112" s="111" t="s">
        <v>2798</v>
      </c>
      <c r="AB112" s="111" t="s">
        <v>2798</v>
      </c>
      <c r="AC112" s="111" t="s">
        <v>2798</v>
      </c>
      <c r="AD112" s="111" t="s">
        <v>2798</v>
      </c>
      <c r="AE112" s="111" t="s">
        <v>2798</v>
      </c>
      <c r="AF112" s="111" t="s">
        <v>2798</v>
      </c>
      <c r="AG112" s="111" t="s">
        <v>2798</v>
      </c>
      <c r="AH112" s="111" t="s">
        <v>2798</v>
      </c>
      <c r="AI112" s="111" t="s">
        <v>2798</v>
      </c>
      <c r="AJ112" s="111" t="s">
        <v>2798</v>
      </c>
      <c r="AK112" s="111" t="s">
        <v>2798</v>
      </c>
      <c r="AL112" s="111" t="s">
        <v>2798</v>
      </c>
      <c r="AM112" s="111" t="s">
        <v>2798</v>
      </c>
      <c r="AN112" s="111" t="s">
        <v>2798</v>
      </c>
      <c r="AO112" s="111" t="s">
        <v>2798</v>
      </c>
      <c r="AP112" s="111" t="s">
        <v>2798</v>
      </c>
      <c r="AQ112" s="111" t="s">
        <v>2798</v>
      </c>
      <c r="AR112" s="111" t="s">
        <v>2798</v>
      </c>
      <c r="AS112" s="111" t="s">
        <v>2798</v>
      </c>
      <c r="AT112" s="111" t="s">
        <v>2798</v>
      </c>
      <c r="AU112" s="111" t="s">
        <v>2798</v>
      </c>
      <c r="AV112" s="111" t="s">
        <v>2798</v>
      </c>
      <c r="AW112" s="111" t="s">
        <v>2798</v>
      </c>
      <c r="AX112" s="111" t="s">
        <v>2798</v>
      </c>
      <c r="AY112" s="111" t="s">
        <v>2798</v>
      </c>
      <c r="AZ112" s="111" t="s">
        <v>2798</v>
      </c>
      <c r="BA112" s="111" t="s">
        <v>2798</v>
      </c>
      <c r="BB112" s="111" t="s">
        <v>2798</v>
      </c>
      <c r="BC112" s="111" t="s">
        <v>2798</v>
      </c>
      <c r="BD112" s="111" t="s">
        <v>2798</v>
      </c>
      <c r="BE112" s="111" t="s">
        <v>2798</v>
      </c>
      <c r="BF112" s="111" t="s">
        <v>2798</v>
      </c>
      <c r="BG112" s="111" t="s">
        <v>2798</v>
      </c>
      <c r="BH112" s="111" t="s">
        <v>2798</v>
      </c>
      <c r="BI112" s="111" t="s">
        <v>2798</v>
      </c>
      <c r="BJ112" s="111" t="s">
        <v>2798</v>
      </c>
      <c r="BK112" s="111" t="s">
        <v>2798</v>
      </c>
      <c r="BL112" s="111" t="s">
        <v>2798</v>
      </c>
      <c r="BM112" s="111" t="s">
        <v>2798</v>
      </c>
      <c r="BN112" s="111" t="s">
        <v>2798</v>
      </c>
      <c r="BO112" s="111" t="s">
        <v>2798</v>
      </c>
      <c r="BP112" s="111" t="s">
        <v>2798</v>
      </c>
      <c r="BQ112" s="111" t="s">
        <v>2798</v>
      </c>
      <c r="BR112" s="111" t="s">
        <v>2798</v>
      </c>
      <c r="BS112" s="111" t="s">
        <v>2798</v>
      </c>
      <c r="BT112" s="111" t="s">
        <v>2798</v>
      </c>
      <c r="BU112" s="111" t="s">
        <v>2798</v>
      </c>
      <c r="BV112" s="111" t="s">
        <v>2798</v>
      </c>
      <c r="BW112" s="111" t="s">
        <v>2798</v>
      </c>
      <c r="BX112" s="111" t="s">
        <v>2798</v>
      </c>
      <c r="BY112" s="111" t="s">
        <v>2798</v>
      </c>
      <c r="BZ112" s="111" t="s">
        <v>2798</v>
      </c>
      <c r="CA112" s="111" t="s">
        <v>2798</v>
      </c>
      <c r="CB112" s="111" t="s">
        <v>2798</v>
      </c>
      <c r="CC112" s="111" t="s">
        <v>2798</v>
      </c>
      <c r="CD112" s="111" t="s">
        <v>2798</v>
      </c>
      <c r="CE112" s="111" t="s">
        <v>2798</v>
      </c>
      <c r="CF112" s="111" t="s">
        <v>2798</v>
      </c>
      <c r="CG112" s="111" t="s">
        <v>2798</v>
      </c>
      <c r="CH112" s="111" t="s">
        <v>2798</v>
      </c>
      <c r="CI112" s="111" t="s">
        <v>2798</v>
      </c>
      <c r="CJ112" s="111" t="s">
        <v>2798</v>
      </c>
      <c r="CK112" s="111" t="s">
        <v>2798</v>
      </c>
      <c r="CL112" s="111" t="s">
        <v>2798</v>
      </c>
      <c r="CM112" s="111" t="s">
        <v>2798</v>
      </c>
      <c r="CN112" s="111" t="s">
        <v>2798</v>
      </c>
      <c r="CO112" s="111" t="s">
        <v>2798</v>
      </c>
      <c r="CP112" s="111" t="s">
        <v>2798</v>
      </c>
      <c r="CQ112" s="111" t="s">
        <v>2798</v>
      </c>
    </row>
    <row r="113" spans="2:95" ht="14.25" customHeight="1">
      <c r="B113" s="106" t="s">
        <v>820</v>
      </c>
      <c r="C113" s="106" t="s">
        <v>2902</v>
      </c>
      <c r="D113" s="109">
        <v>12041.623</v>
      </c>
      <c r="E113" s="106" t="s">
        <v>2310</v>
      </c>
      <c r="F113" s="110">
        <v>49.582000000000335</v>
      </c>
      <c r="G113" s="106" t="s">
        <v>2795</v>
      </c>
      <c r="H113" s="102">
        <v>0</v>
      </c>
      <c r="I113" s="102">
        <v>0</v>
      </c>
      <c r="J113" s="111" t="s">
        <v>2798</v>
      </c>
      <c r="K113" s="111" t="s">
        <v>2798</v>
      </c>
      <c r="L113" s="111" t="s">
        <v>2798</v>
      </c>
      <c r="M113" s="111" t="s">
        <v>2798</v>
      </c>
      <c r="N113" s="111" t="s">
        <v>2798</v>
      </c>
      <c r="O113" s="111" t="s">
        <v>2798</v>
      </c>
      <c r="P113" s="111" t="s">
        <v>2798</v>
      </c>
      <c r="Q113" s="111" t="s">
        <v>2798</v>
      </c>
      <c r="R113" s="111" t="s">
        <v>2798</v>
      </c>
      <c r="S113" s="111" t="s">
        <v>2798</v>
      </c>
      <c r="T113" s="111" t="s">
        <v>2798</v>
      </c>
      <c r="U113" s="111" t="s">
        <v>2798</v>
      </c>
      <c r="V113" s="111" t="s">
        <v>2798</v>
      </c>
      <c r="W113" s="111" t="s">
        <v>2798</v>
      </c>
      <c r="X113" s="111" t="s">
        <v>2798</v>
      </c>
      <c r="Y113" s="111" t="s">
        <v>2798</v>
      </c>
      <c r="Z113" s="111" t="s">
        <v>2798</v>
      </c>
      <c r="AA113" s="111" t="s">
        <v>2724</v>
      </c>
      <c r="AB113" s="111" t="s">
        <v>2725</v>
      </c>
      <c r="AC113" s="111" t="s">
        <v>2726</v>
      </c>
      <c r="AD113" s="111" t="s">
        <v>2727</v>
      </c>
      <c r="AE113" s="111" t="s">
        <v>2728</v>
      </c>
      <c r="AF113" s="111" t="s">
        <v>2729</v>
      </c>
      <c r="AG113" s="111" t="s">
        <v>2730</v>
      </c>
      <c r="AH113" s="111" t="s">
        <v>2731</v>
      </c>
      <c r="AI113" s="111" t="s">
        <v>2732</v>
      </c>
      <c r="AJ113" s="111" t="s">
        <v>2733</v>
      </c>
      <c r="AK113" s="111" t="s">
        <v>2734</v>
      </c>
      <c r="AL113" s="111" t="s">
        <v>2735</v>
      </c>
      <c r="AM113" s="111" t="s">
        <v>2736</v>
      </c>
      <c r="AN113" s="111" t="s">
        <v>2737</v>
      </c>
      <c r="AO113" s="111" t="s">
        <v>2738</v>
      </c>
      <c r="AP113" s="111" t="s">
        <v>2739</v>
      </c>
      <c r="AQ113" s="111" t="s">
        <v>2740</v>
      </c>
      <c r="AR113" s="111" t="s">
        <v>2798</v>
      </c>
      <c r="AS113" s="111" t="s">
        <v>2798</v>
      </c>
      <c r="AT113" s="111" t="s">
        <v>2798</v>
      </c>
      <c r="AU113" s="111" t="s">
        <v>2798</v>
      </c>
      <c r="AV113" s="111" t="s">
        <v>2798</v>
      </c>
      <c r="AW113" s="111" t="s">
        <v>2798</v>
      </c>
      <c r="AX113" s="111" t="s">
        <v>2798</v>
      </c>
      <c r="AY113" s="111" t="s">
        <v>2798</v>
      </c>
      <c r="AZ113" s="111" t="s">
        <v>2798</v>
      </c>
      <c r="BA113" s="111" t="s">
        <v>2798</v>
      </c>
      <c r="BB113" s="111" t="s">
        <v>2798</v>
      </c>
      <c r="BC113" s="111" t="s">
        <v>2798</v>
      </c>
      <c r="BD113" s="111" t="s">
        <v>2798</v>
      </c>
      <c r="BE113" s="111" t="s">
        <v>2798</v>
      </c>
      <c r="BF113" s="111" t="s">
        <v>2798</v>
      </c>
      <c r="BG113" s="111" t="s">
        <v>2798</v>
      </c>
      <c r="BH113" s="111" t="s">
        <v>2798</v>
      </c>
      <c r="BI113" s="111" t="s">
        <v>2798</v>
      </c>
      <c r="BJ113" s="111" t="s">
        <v>2798</v>
      </c>
      <c r="BK113" s="111" t="s">
        <v>2798</v>
      </c>
      <c r="BL113" s="111" t="s">
        <v>2798</v>
      </c>
      <c r="BM113" s="111" t="s">
        <v>2798</v>
      </c>
      <c r="BN113" s="111" t="s">
        <v>2798</v>
      </c>
      <c r="BO113" s="111" t="s">
        <v>2798</v>
      </c>
      <c r="BP113" s="111" t="s">
        <v>2798</v>
      </c>
      <c r="BQ113" s="111" t="s">
        <v>2798</v>
      </c>
      <c r="BR113" s="111" t="s">
        <v>2798</v>
      </c>
      <c r="BS113" s="111" t="s">
        <v>2798</v>
      </c>
      <c r="BT113" s="111" t="s">
        <v>2798</v>
      </c>
      <c r="BU113" s="111" t="s">
        <v>2798</v>
      </c>
      <c r="BV113" s="111" t="s">
        <v>2798</v>
      </c>
      <c r="BW113" s="111" t="s">
        <v>2798</v>
      </c>
      <c r="BX113" s="111" t="s">
        <v>2798</v>
      </c>
      <c r="BY113" s="111" t="s">
        <v>2798</v>
      </c>
      <c r="BZ113" s="111" t="s">
        <v>2798</v>
      </c>
      <c r="CA113" s="111" t="s">
        <v>2798</v>
      </c>
      <c r="CB113" s="111" t="s">
        <v>2798</v>
      </c>
      <c r="CC113" s="111" t="s">
        <v>2798</v>
      </c>
      <c r="CD113" s="111" t="s">
        <v>2798</v>
      </c>
      <c r="CE113" s="111" t="s">
        <v>2798</v>
      </c>
      <c r="CF113" s="111" t="s">
        <v>2798</v>
      </c>
      <c r="CG113" s="111" t="s">
        <v>2798</v>
      </c>
      <c r="CH113" s="111" t="s">
        <v>2798</v>
      </c>
      <c r="CI113" s="111" t="s">
        <v>2798</v>
      </c>
      <c r="CJ113" s="111" t="s">
        <v>2798</v>
      </c>
      <c r="CK113" s="111" t="s">
        <v>2798</v>
      </c>
      <c r="CL113" s="111" t="s">
        <v>2798</v>
      </c>
      <c r="CM113" s="111" t="s">
        <v>2798</v>
      </c>
      <c r="CN113" s="111" t="s">
        <v>2798</v>
      </c>
      <c r="CO113" s="111" t="s">
        <v>2798</v>
      </c>
      <c r="CP113" s="111" t="s">
        <v>2798</v>
      </c>
      <c r="CQ113" s="111" t="s">
        <v>2798</v>
      </c>
    </row>
    <row r="114" spans="2:95" ht="14.25" customHeight="1">
      <c r="B114" s="106" t="s">
        <v>821</v>
      </c>
      <c r="C114" s="106" t="s">
        <v>2903</v>
      </c>
      <c r="D114" s="109">
        <v>12091.205</v>
      </c>
      <c r="E114" s="106" t="s">
        <v>2310</v>
      </c>
      <c r="F114" s="110">
        <v>49.582000000000335</v>
      </c>
      <c r="G114" s="106" t="s">
        <v>2795</v>
      </c>
      <c r="H114" s="102">
        <v>0</v>
      </c>
      <c r="I114" s="102">
        <v>0</v>
      </c>
      <c r="J114" s="111" t="s">
        <v>2798</v>
      </c>
      <c r="K114" s="111" t="s">
        <v>2798</v>
      </c>
      <c r="L114" s="111" t="s">
        <v>2798</v>
      </c>
      <c r="M114" s="111" t="s">
        <v>2798</v>
      </c>
      <c r="N114" s="111" t="s">
        <v>2798</v>
      </c>
      <c r="O114" s="111" t="s">
        <v>2798</v>
      </c>
      <c r="P114" s="111" t="s">
        <v>2798</v>
      </c>
      <c r="Q114" s="111" t="s">
        <v>2798</v>
      </c>
      <c r="R114" s="111" t="s">
        <v>2798</v>
      </c>
      <c r="S114" s="111" t="s">
        <v>2798</v>
      </c>
      <c r="T114" s="111" t="s">
        <v>2798</v>
      </c>
      <c r="U114" s="111" t="s">
        <v>2798</v>
      </c>
      <c r="V114" s="111" t="s">
        <v>2798</v>
      </c>
      <c r="W114" s="111" t="s">
        <v>2798</v>
      </c>
      <c r="X114" s="111" t="s">
        <v>2798</v>
      </c>
      <c r="Y114" s="111" t="s">
        <v>2798</v>
      </c>
      <c r="Z114" s="111" t="s">
        <v>2798</v>
      </c>
      <c r="AA114" s="111" t="s">
        <v>2798</v>
      </c>
      <c r="AB114" s="111" t="s">
        <v>2798</v>
      </c>
      <c r="AC114" s="111" t="s">
        <v>2798</v>
      </c>
      <c r="AD114" s="111" t="s">
        <v>2798</v>
      </c>
      <c r="AE114" s="111" t="s">
        <v>2798</v>
      </c>
      <c r="AF114" s="111" t="s">
        <v>2798</v>
      </c>
      <c r="AG114" s="111" t="s">
        <v>2798</v>
      </c>
      <c r="AH114" s="111" t="s">
        <v>2798</v>
      </c>
      <c r="AI114" s="111" t="s">
        <v>2798</v>
      </c>
      <c r="AJ114" s="111" t="s">
        <v>2798</v>
      </c>
      <c r="AK114" s="111" t="s">
        <v>2798</v>
      </c>
      <c r="AL114" s="111" t="s">
        <v>2798</v>
      </c>
      <c r="AM114" s="111" t="s">
        <v>2798</v>
      </c>
      <c r="AN114" s="111" t="s">
        <v>2798</v>
      </c>
      <c r="AO114" s="111" t="s">
        <v>2798</v>
      </c>
      <c r="AP114" s="111" t="s">
        <v>2798</v>
      </c>
      <c r="AQ114" s="111" t="s">
        <v>2798</v>
      </c>
      <c r="AR114" s="111" t="s">
        <v>2741</v>
      </c>
      <c r="AS114" s="111" t="s">
        <v>2742</v>
      </c>
      <c r="AT114" s="111" t="s">
        <v>2743</v>
      </c>
      <c r="AU114" s="111" t="s">
        <v>2744</v>
      </c>
      <c r="AV114" s="111" t="s">
        <v>2745</v>
      </c>
      <c r="AW114" s="111" t="s">
        <v>2746</v>
      </c>
      <c r="AX114" s="111" t="s">
        <v>2747</v>
      </c>
      <c r="AY114" s="111" t="s">
        <v>2748</v>
      </c>
      <c r="AZ114" s="111" t="s">
        <v>2749</v>
      </c>
      <c r="BA114" s="111" t="s">
        <v>2750</v>
      </c>
      <c r="BB114" s="111" t="s">
        <v>2751</v>
      </c>
      <c r="BC114" s="111" t="s">
        <v>2752</v>
      </c>
      <c r="BD114" s="111" t="s">
        <v>2753</v>
      </c>
      <c r="BE114" s="111" t="s">
        <v>2754</v>
      </c>
      <c r="BF114" s="111" t="s">
        <v>2755</v>
      </c>
      <c r="BG114" s="111" t="s">
        <v>2756</v>
      </c>
      <c r="BH114" s="111" t="s">
        <v>2757</v>
      </c>
      <c r="BI114" s="111" t="s">
        <v>2798</v>
      </c>
      <c r="BJ114" s="111" t="s">
        <v>2798</v>
      </c>
      <c r="BK114" s="111" t="s">
        <v>2798</v>
      </c>
      <c r="BL114" s="111" t="s">
        <v>2798</v>
      </c>
      <c r="BM114" s="111" t="s">
        <v>2798</v>
      </c>
      <c r="BN114" s="111" t="s">
        <v>2798</v>
      </c>
      <c r="BO114" s="111" t="s">
        <v>2798</v>
      </c>
      <c r="BP114" s="111" t="s">
        <v>2798</v>
      </c>
      <c r="BQ114" s="111" t="s">
        <v>2798</v>
      </c>
      <c r="BR114" s="111" t="s">
        <v>2798</v>
      </c>
      <c r="BS114" s="111" t="s">
        <v>2798</v>
      </c>
      <c r="BT114" s="111" t="s">
        <v>2798</v>
      </c>
      <c r="BU114" s="111" t="s">
        <v>2798</v>
      </c>
      <c r="BV114" s="111" t="s">
        <v>2798</v>
      </c>
      <c r="BW114" s="111" t="s">
        <v>2798</v>
      </c>
      <c r="BX114" s="111" t="s">
        <v>2798</v>
      </c>
      <c r="BY114" s="111" t="s">
        <v>2798</v>
      </c>
      <c r="BZ114" s="111" t="s">
        <v>2798</v>
      </c>
      <c r="CA114" s="111" t="s">
        <v>2798</v>
      </c>
      <c r="CB114" s="111" t="s">
        <v>2798</v>
      </c>
      <c r="CC114" s="111" t="s">
        <v>2798</v>
      </c>
      <c r="CD114" s="111" t="s">
        <v>2798</v>
      </c>
      <c r="CE114" s="111" t="s">
        <v>2798</v>
      </c>
      <c r="CF114" s="111" t="s">
        <v>2798</v>
      </c>
      <c r="CG114" s="111" t="s">
        <v>2798</v>
      </c>
      <c r="CH114" s="111" t="s">
        <v>2798</v>
      </c>
      <c r="CI114" s="111" t="s">
        <v>2798</v>
      </c>
      <c r="CJ114" s="111" t="s">
        <v>2798</v>
      </c>
      <c r="CK114" s="111" t="s">
        <v>2798</v>
      </c>
      <c r="CL114" s="111" t="s">
        <v>2798</v>
      </c>
      <c r="CM114" s="111" t="s">
        <v>2798</v>
      </c>
      <c r="CN114" s="111" t="s">
        <v>2798</v>
      </c>
      <c r="CO114" s="111" t="s">
        <v>2798</v>
      </c>
      <c r="CP114" s="111" t="s">
        <v>2798</v>
      </c>
      <c r="CQ114" s="111" t="s">
        <v>2798</v>
      </c>
    </row>
    <row r="115" spans="2:95" ht="14.25" customHeight="1">
      <c r="B115" s="106" t="s">
        <v>822</v>
      </c>
      <c r="C115" s="106" t="s">
        <v>2904</v>
      </c>
      <c r="D115" s="109">
        <v>12140.787</v>
      </c>
      <c r="E115" s="106" t="s">
        <v>2310</v>
      </c>
      <c r="F115" s="110">
        <v>49.582000000000335</v>
      </c>
      <c r="G115" s="106" t="s">
        <v>2795</v>
      </c>
      <c r="H115" s="102">
        <v>0</v>
      </c>
      <c r="I115" s="102">
        <v>0</v>
      </c>
      <c r="J115" s="111" t="s">
        <v>2798</v>
      </c>
      <c r="K115" s="111" t="s">
        <v>2798</v>
      </c>
      <c r="L115" s="111" t="s">
        <v>2798</v>
      </c>
      <c r="M115" s="111" t="s">
        <v>2798</v>
      </c>
      <c r="N115" s="111" t="s">
        <v>2798</v>
      </c>
      <c r="O115" s="111" t="s">
        <v>2798</v>
      </c>
      <c r="P115" s="111" t="s">
        <v>2798</v>
      </c>
      <c r="Q115" s="111" t="s">
        <v>2798</v>
      </c>
      <c r="R115" s="111" t="s">
        <v>2798</v>
      </c>
      <c r="S115" s="111" t="s">
        <v>2798</v>
      </c>
      <c r="T115" s="111" t="s">
        <v>2798</v>
      </c>
      <c r="U115" s="111" t="s">
        <v>2798</v>
      </c>
      <c r="V115" s="111" t="s">
        <v>2798</v>
      </c>
      <c r="W115" s="111" t="s">
        <v>2798</v>
      </c>
      <c r="X115" s="111" t="s">
        <v>2798</v>
      </c>
      <c r="Y115" s="111" t="s">
        <v>2798</v>
      </c>
      <c r="Z115" s="111" t="s">
        <v>2798</v>
      </c>
      <c r="AA115" s="111" t="s">
        <v>2798</v>
      </c>
      <c r="AB115" s="111" t="s">
        <v>2798</v>
      </c>
      <c r="AC115" s="111" t="s">
        <v>2798</v>
      </c>
      <c r="AD115" s="111" t="s">
        <v>2798</v>
      </c>
      <c r="AE115" s="111" t="s">
        <v>2798</v>
      </c>
      <c r="AF115" s="111" t="s">
        <v>2798</v>
      </c>
      <c r="AG115" s="111" t="s">
        <v>2798</v>
      </c>
      <c r="AH115" s="111" t="s">
        <v>2798</v>
      </c>
      <c r="AI115" s="111" t="s">
        <v>2798</v>
      </c>
      <c r="AJ115" s="111" t="s">
        <v>2798</v>
      </c>
      <c r="AK115" s="111" t="s">
        <v>2798</v>
      </c>
      <c r="AL115" s="111" t="s">
        <v>2798</v>
      </c>
      <c r="AM115" s="111" t="s">
        <v>2798</v>
      </c>
      <c r="AN115" s="111" t="s">
        <v>2798</v>
      </c>
      <c r="AO115" s="111" t="s">
        <v>2798</v>
      </c>
      <c r="AP115" s="111" t="s">
        <v>2798</v>
      </c>
      <c r="AQ115" s="111" t="s">
        <v>2798</v>
      </c>
      <c r="AR115" s="111" t="s">
        <v>2798</v>
      </c>
      <c r="AS115" s="111" t="s">
        <v>2798</v>
      </c>
      <c r="AT115" s="111" t="s">
        <v>2798</v>
      </c>
      <c r="AU115" s="111" t="s">
        <v>2798</v>
      </c>
      <c r="AV115" s="111" t="s">
        <v>2798</v>
      </c>
      <c r="AW115" s="111" t="s">
        <v>2798</v>
      </c>
      <c r="AX115" s="111" t="s">
        <v>2798</v>
      </c>
      <c r="AY115" s="111" t="s">
        <v>2798</v>
      </c>
      <c r="AZ115" s="111" t="s">
        <v>2798</v>
      </c>
      <c r="BA115" s="111" t="s">
        <v>2798</v>
      </c>
      <c r="BB115" s="111" t="s">
        <v>2798</v>
      </c>
      <c r="BC115" s="111" t="s">
        <v>2798</v>
      </c>
      <c r="BD115" s="111" t="s">
        <v>2798</v>
      </c>
      <c r="BE115" s="111" t="s">
        <v>2798</v>
      </c>
      <c r="BF115" s="111" t="s">
        <v>2798</v>
      </c>
      <c r="BG115" s="111" t="s">
        <v>2798</v>
      </c>
      <c r="BH115" s="111" t="s">
        <v>2798</v>
      </c>
      <c r="BI115" s="111" t="s">
        <v>2758</v>
      </c>
      <c r="BJ115" s="111" t="s">
        <v>2759</v>
      </c>
      <c r="BK115" s="111" t="s">
        <v>2760</v>
      </c>
      <c r="BL115" s="111" t="s">
        <v>2761</v>
      </c>
      <c r="BM115" s="111" t="s">
        <v>2762</v>
      </c>
      <c r="BN115" s="111" t="s">
        <v>2763</v>
      </c>
      <c r="BO115" s="111" t="s">
        <v>2764</v>
      </c>
      <c r="BP115" s="111" t="s">
        <v>2765</v>
      </c>
      <c r="BQ115" s="111" t="s">
        <v>2766</v>
      </c>
      <c r="BR115" s="111" t="s">
        <v>2767</v>
      </c>
      <c r="BS115" s="111" t="s">
        <v>2768</v>
      </c>
      <c r="BT115" s="111" t="s">
        <v>2769</v>
      </c>
      <c r="BU115" s="111" t="s">
        <v>2770</v>
      </c>
      <c r="BV115" s="111" t="s">
        <v>2771</v>
      </c>
      <c r="BW115" s="111" t="s">
        <v>2772</v>
      </c>
      <c r="BX115" s="111" t="s">
        <v>2773</v>
      </c>
      <c r="BY115" s="111" t="s">
        <v>2774</v>
      </c>
      <c r="BZ115" s="111" t="s">
        <v>2798</v>
      </c>
      <c r="CA115" s="111" t="s">
        <v>2798</v>
      </c>
      <c r="CB115" s="111" t="s">
        <v>2798</v>
      </c>
      <c r="CC115" s="111" t="s">
        <v>2798</v>
      </c>
      <c r="CD115" s="111" t="s">
        <v>2798</v>
      </c>
      <c r="CE115" s="111" t="s">
        <v>2798</v>
      </c>
      <c r="CF115" s="111" t="s">
        <v>2798</v>
      </c>
      <c r="CG115" s="111" t="s">
        <v>2798</v>
      </c>
      <c r="CH115" s="111" t="s">
        <v>2798</v>
      </c>
      <c r="CI115" s="111" t="s">
        <v>2798</v>
      </c>
      <c r="CJ115" s="111" t="s">
        <v>2798</v>
      </c>
      <c r="CK115" s="111" t="s">
        <v>2798</v>
      </c>
      <c r="CL115" s="111" t="s">
        <v>2798</v>
      </c>
      <c r="CM115" s="111" t="s">
        <v>2798</v>
      </c>
      <c r="CN115" s="111" t="s">
        <v>2798</v>
      </c>
      <c r="CO115" s="111" t="s">
        <v>2798</v>
      </c>
      <c r="CP115" s="111" t="s">
        <v>2798</v>
      </c>
      <c r="CQ115" s="111" t="s">
        <v>2798</v>
      </c>
    </row>
    <row r="116" spans="2:95" ht="14.25" customHeight="1">
      <c r="B116" s="106" t="s">
        <v>823</v>
      </c>
      <c r="C116" s="106" t="s">
        <v>2905</v>
      </c>
      <c r="D116" s="109">
        <v>12190.369000000001</v>
      </c>
      <c r="E116" s="106" t="s">
        <v>2310</v>
      </c>
      <c r="F116" s="110">
        <v>49.582000000000335</v>
      </c>
      <c r="G116" s="106" t="s">
        <v>2793</v>
      </c>
      <c r="H116" s="102">
        <v>0</v>
      </c>
      <c r="I116" s="102">
        <v>0</v>
      </c>
      <c r="J116" s="111" t="s">
        <v>2798</v>
      </c>
      <c r="K116" s="111" t="s">
        <v>2798</v>
      </c>
      <c r="L116" s="111" t="s">
        <v>2798</v>
      </c>
      <c r="M116" s="111" t="s">
        <v>2798</v>
      </c>
      <c r="N116" s="111" t="s">
        <v>2798</v>
      </c>
      <c r="O116" s="111" t="s">
        <v>2798</v>
      </c>
      <c r="P116" s="111" t="s">
        <v>2798</v>
      </c>
      <c r="Q116" s="111" t="s">
        <v>2798</v>
      </c>
      <c r="R116" s="111" t="s">
        <v>2798</v>
      </c>
      <c r="S116" s="111" t="s">
        <v>2798</v>
      </c>
      <c r="T116" s="111" t="s">
        <v>2798</v>
      </c>
      <c r="U116" s="111" t="s">
        <v>2798</v>
      </c>
      <c r="V116" s="111" t="s">
        <v>2798</v>
      </c>
      <c r="W116" s="111" t="s">
        <v>2798</v>
      </c>
      <c r="X116" s="111" t="s">
        <v>2798</v>
      </c>
      <c r="Y116" s="111" t="s">
        <v>2798</v>
      </c>
      <c r="Z116" s="111" t="s">
        <v>2798</v>
      </c>
      <c r="AA116" s="111" t="s">
        <v>2798</v>
      </c>
      <c r="AB116" s="111" t="s">
        <v>2798</v>
      </c>
      <c r="AC116" s="111" t="s">
        <v>2798</v>
      </c>
      <c r="AD116" s="111" t="s">
        <v>2798</v>
      </c>
      <c r="AE116" s="111" t="s">
        <v>2798</v>
      </c>
      <c r="AF116" s="111" t="s">
        <v>2798</v>
      </c>
      <c r="AG116" s="111" t="s">
        <v>2798</v>
      </c>
      <c r="AH116" s="111" t="s">
        <v>2798</v>
      </c>
      <c r="AI116" s="111" t="s">
        <v>2798</v>
      </c>
      <c r="AJ116" s="111" t="s">
        <v>2798</v>
      </c>
      <c r="AK116" s="111" t="s">
        <v>2798</v>
      </c>
      <c r="AL116" s="111" t="s">
        <v>2798</v>
      </c>
      <c r="AM116" s="111" t="s">
        <v>2798</v>
      </c>
      <c r="AN116" s="111" t="s">
        <v>2798</v>
      </c>
      <c r="AO116" s="111" t="s">
        <v>2798</v>
      </c>
      <c r="AP116" s="111" t="s">
        <v>2798</v>
      </c>
      <c r="AQ116" s="111" t="s">
        <v>2798</v>
      </c>
      <c r="AR116" s="111" t="s">
        <v>2798</v>
      </c>
      <c r="AS116" s="111" t="s">
        <v>2798</v>
      </c>
      <c r="AT116" s="111" t="s">
        <v>2798</v>
      </c>
      <c r="AU116" s="111" t="s">
        <v>2798</v>
      </c>
      <c r="AV116" s="111" t="s">
        <v>2798</v>
      </c>
      <c r="AW116" s="111" t="s">
        <v>2798</v>
      </c>
      <c r="AX116" s="111" t="s">
        <v>2798</v>
      </c>
      <c r="AY116" s="111" t="s">
        <v>2798</v>
      </c>
      <c r="AZ116" s="111" t="s">
        <v>2798</v>
      </c>
      <c r="BA116" s="111" t="s">
        <v>2798</v>
      </c>
      <c r="BB116" s="111" t="s">
        <v>2798</v>
      </c>
      <c r="BC116" s="111" t="s">
        <v>2798</v>
      </c>
      <c r="BD116" s="111" t="s">
        <v>2798</v>
      </c>
      <c r="BE116" s="111" t="s">
        <v>2798</v>
      </c>
      <c r="BF116" s="111" t="s">
        <v>2798</v>
      </c>
      <c r="BG116" s="111" t="s">
        <v>2798</v>
      </c>
      <c r="BH116" s="111" t="s">
        <v>2798</v>
      </c>
      <c r="BI116" s="111" t="s">
        <v>2798</v>
      </c>
      <c r="BJ116" s="111" t="s">
        <v>2798</v>
      </c>
      <c r="BK116" s="111" t="s">
        <v>2798</v>
      </c>
      <c r="BL116" s="111" t="s">
        <v>2798</v>
      </c>
      <c r="BM116" s="111" t="s">
        <v>2798</v>
      </c>
      <c r="BN116" s="111" t="s">
        <v>2798</v>
      </c>
      <c r="BO116" s="111" t="s">
        <v>2798</v>
      </c>
      <c r="BP116" s="111" t="s">
        <v>2798</v>
      </c>
      <c r="BQ116" s="111" t="s">
        <v>2798</v>
      </c>
      <c r="BR116" s="111" t="s">
        <v>2798</v>
      </c>
      <c r="BS116" s="111" t="s">
        <v>2798</v>
      </c>
      <c r="BT116" s="111" t="s">
        <v>2798</v>
      </c>
      <c r="BU116" s="111" t="s">
        <v>2798</v>
      </c>
      <c r="BV116" s="111" t="s">
        <v>2798</v>
      </c>
      <c r="BW116" s="111" t="s">
        <v>2798</v>
      </c>
      <c r="BX116" s="111" t="s">
        <v>2798</v>
      </c>
      <c r="BY116" s="111" t="s">
        <v>2798</v>
      </c>
      <c r="BZ116" s="111" t="s">
        <v>2775</v>
      </c>
      <c r="CA116" s="111" t="s">
        <v>2776</v>
      </c>
      <c r="CB116" s="111" t="s">
        <v>2777</v>
      </c>
      <c r="CC116" s="111" t="s">
        <v>2778</v>
      </c>
      <c r="CD116" s="111" t="s">
        <v>2779</v>
      </c>
      <c r="CE116" s="111" t="s">
        <v>2780</v>
      </c>
      <c r="CF116" s="111" t="s">
        <v>2781</v>
      </c>
      <c r="CG116" s="111" t="s">
        <v>2782</v>
      </c>
      <c r="CH116" s="111" t="s">
        <v>2783</v>
      </c>
      <c r="CI116" s="111" t="s">
        <v>2798</v>
      </c>
      <c r="CJ116" s="111" t="s">
        <v>2785</v>
      </c>
      <c r="CK116" s="111" t="s">
        <v>2786</v>
      </c>
      <c r="CL116" s="111" t="s">
        <v>2787</v>
      </c>
      <c r="CM116" s="111" t="s">
        <v>2788</v>
      </c>
      <c r="CN116" s="111" t="s">
        <v>2789</v>
      </c>
      <c r="CO116" s="111" t="s">
        <v>2790</v>
      </c>
      <c r="CP116" s="111" t="s">
        <v>2791</v>
      </c>
      <c r="CQ116" s="111" t="s">
        <v>2792</v>
      </c>
    </row>
    <row r="117" spans="2:95" ht="14.25" customHeight="1">
      <c r="B117" s="106" t="s">
        <v>824</v>
      </c>
      <c r="C117" s="106" t="s">
        <v>2906</v>
      </c>
      <c r="D117" s="109">
        <v>12239.950999999999</v>
      </c>
      <c r="E117" s="106" t="s">
        <v>2331</v>
      </c>
      <c r="F117" s="110">
        <v>49.581999999998516</v>
      </c>
      <c r="G117" s="106" t="s">
        <v>2795</v>
      </c>
      <c r="H117" s="102">
        <v>0</v>
      </c>
      <c r="I117" s="102">
        <v>0</v>
      </c>
      <c r="J117" s="111" t="s">
        <v>87</v>
      </c>
      <c r="K117" s="111" t="s">
        <v>2708</v>
      </c>
      <c r="L117" s="111" t="s">
        <v>2709</v>
      </c>
      <c r="M117" s="111" t="s">
        <v>2710</v>
      </c>
      <c r="N117" s="111" t="s">
        <v>2711</v>
      </c>
      <c r="O117" s="111" t="s">
        <v>2712</v>
      </c>
      <c r="P117" s="111" t="s">
        <v>2713</v>
      </c>
      <c r="Q117" s="111" t="s">
        <v>2714</v>
      </c>
      <c r="R117" s="111" t="s">
        <v>2715</v>
      </c>
      <c r="S117" s="111" t="s">
        <v>2716</v>
      </c>
      <c r="T117" s="111" t="s">
        <v>2717</v>
      </c>
      <c r="U117" s="111" t="s">
        <v>2718</v>
      </c>
      <c r="V117" s="111" t="s">
        <v>2719</v>
      </c>
      <c r="W117" s="111" t="s">
        <v>2720</v>
      </c>
      <c r="X117" s="111" t="s">
        <v>2721</v>
      </c>
      <c r="Y117" s="111" t="s">
        <v>2722</v>
      </c>
      <c r="Z117" s="111" t="s">
        <v>2723</v>
      </c>
      <c r="AA117" s="111" t="s">
        <v>2798</v>
      </c>
      <c r="AB117" s="111" t="s">
        <v>2798</v>
      </c>
      <c r="AC117" s="111" t="s">
        <v>2798</v>
      </c>
      <c r="AD117" s="111" t="s">
        <v>2798</v>
      </c>
      <c r="AE117" s="111" t="s">
        <v>2798</v>
      </c>
      <c r="AF117" s="111" t="s">
        <v>2798</v>
      </c>
      <c r="AG117" s="111" t="s">
        <v>2798</v>
      </c>
      <c r="AH117" s="111" t="s">
        <v>2798</v>
      </c>
      <c r="AI117" s="111" t="s">
        <v>2798</v>
      </c>
      <c r="AJ117" s="111" t="s">
        <v>2798</v>
      </c>
      <c r="AK117" s="111" t="s">
        <v>2798</v>
      </c>
      <c r="AL117" s="111" t="s">
        <v>2798</v>
      </c>
      <c r="AM117" s="111" t="s">
        <v>2798</v>
      </c>
      <c r="AN117" s="111" t="s">
        <v>2798</v>
      </c>
      <c r="AO117" s="111" t="s">
        <v>2798</v>
      </c>
      <c r="AP117" s="111" t="s">
        <v>2798</v>
      </c>
      <c r="AQ117" s="111" t="s">
        <v>2798</v>
      </c>
      <c r="AR117" s="111" t="s">
        <v>2798</v>
      </c>
      <c r="AS117" s="111" t="s">
        <v>2798</v>
      </c>
      <c r="AT117" s="111" t="s">
        <v>2798</v>
      </c>
      <c r="AU117" s="111" t="s">
        <v>2798</v>
      </c>
      <c r="AV117" s="111" t="s">
        <v>2798</v>
      </c>
      <c r="AW117" s="111" t="s">
        <v>2798</v>
      </c>
      <c r="AX117" s="111" t="s">
        <v>2798</v>
      </c>
      <c r="AY117" s="111" t="s">
        <v>2798</v>
      </c>
      <c r="AZ117" s="111" t="s">
        <v>2798</v>
      </c>
      <c r="BA117" s="111" t="s">
        <v>2798</v>
      </c>
      <c r="BB117" s="111" t="s">
        <v>2798</v>
      </c>
      <c r="BC117" s="111" t="s">
        <v>2798</v>
      </c>
      <c r="BD117" s="111" t="s">
        <v>2798</v>
      </c>
      <c r="BE117" s="111" t="s">
        <v>2798</v>
      </c>
      <c r="BF117" s="111" t="s">
        <v>2798</v>
      </c>
      <c r="BG117" s="111" t="s">
        <v>2798</v>
      </c>
      <c r="BH117" s="111" t="s">
        <v>2798</v>
      </c>
      <c r="BI117" s="111" t="s">
        <v>2798</v>
      </c>
      <c r="BJ117" s="111" t="s">
        <v>2798</v>
      </c>
      <c r="BK117" s="111" t="s">
        <v>2798</v>
      </c>
      <c r="BL117" s="111" t="s">
        <v>2798</v>
      </c>
      <c r="BM117" s="111" t="s">
        <v>2798</v>
      </c>
      <c r="BN117" s="111" t="s">
        <v>2798</v>
      </c>
      <c r="BO117" s="111" t="s">
        <v>2798</v>
      </c>
      <c r="BP117" s="111" t="s">
        <v>2798</v>
      </c>
      <c r="BQ117" s="111" t="s">
        <v>2798</v>
      </c>
      <c r="BR117" s="111" t="s">
        <v>2798</v>
      </c>
      <c r="BS117" s="111" t="s">
        <v>2798</v>
      </c>
      <c r="BT117" s="111" t="s">
        <v>2798</v>
      </c>
      <c r="BU117" s="111" t="s">
        <v>2798</v>
      </c>
      <c r="BV117" s="111" t="s">
        <v>2798</v>
      </c>
      <c r="BW117" s="111" t="s">
        <v>2798</v>
      </c>
      <c r="BX117" s="111" t="s">
        <v>2798</v>
      </c>
      <c r="BY117" s="111" t="s">
        <v>2798</v>
      </c>
      <c r="BZ117" s="111" t="s">
        <v>2798</v>
      </c>
      <c r="CA117" s="111" t="s">
        <v>2798</v>
      </c>
      <c r="CB117" s="111" t="s">
        <v>2798</v>
      </c>
      <c r="CC117" s="111" t="s">
        <v>2798</v>
      </c>
      <c r="CD117" s="111" t="s">
        <v>2798</v>
      </c>
      <c r="CE117" s="111" t="s">
        <v>2798</v>
      </c>
      <c r="CF117" s="111" t="s">
        <v>2798</v>
      </c>
      <c r="CG117" s="111" t="s">
        <v>2798</v>
      </c>
      <c r="CH117" s="111" t="s">
        <v>2798</v>
      </c>
      <c r="CI117" s="111" t="s">
        <v>2798</v>
      </c>
      <c r="CJ117" s="111" t="s">
        <v>2798</v>
      </c>
      <c r="CK117" s="111" t="s">
        <v>2798</v>
      </c>
      <c r="CL117" s="111" t="s">
        <v>2798</v>
      </c>
      <c r="CM117" s="111" t="s">
        <v>2798</v>
      </c>
      <c r="CN117" s="111" t="s">
        <v>2798</v>
      </c>
      <c r="CO117" s="111" t="s">
        <v>2798</v>
      </c>
      <c r="CP117" s="111" t="s">
        <v>2798</v>
      </c>
      <c r="CQ117" s="111" t="s">
        <v>2798</v>
      </c>
    </row>
    <row r="118" spans="2:95" ht="14.25" customHeight="1">
      <c r="B118" s="106" t="s">
        <v>825</v>
      </c>
      <c r="C118" s="106" t="s">
        <v>2907</v>
      </c>
      <c r="D118" s="109">
        <v>12289.531999999999</v>
      </c>
      <c r="E118" s="106" t="s">
        <v>2331</v>
      </c>
      <c r="F118" s="110">
        <v>49.581000000000131</v>
      </c>
      <c r="G118" s="106" t="s">
        <v>2795</v>
      </c>
      <c r="H118" s="102">
        <v>0</v>
      </c>
      <c r="I118" s="102">
        <v>0</v>
      </c>
      <c r="J118" s="111" t="s">
        <v>2798</v>
      </c>
      <c r="K118" s="111" t="s">
        <v>2798</v>
      </c>
      <c r="L118" s="111" t="s">
        <v>2798</v>
      </c>
      <c r="M118" s="111" t="s">
        <v>2798</v>
      </c>
      <c r="N118" s="111" t="s">
        <v>2798</v>
      </c>
      <c r="O118" s="111" t="s">
        <v>2798</v>
      </c>
      <c r="P118" s="111" t="s">
        <v>2798</v>
      </c>
      <c r="Q118" s="111" t="s">
        <v>2798</v>
      </c>
      <c r="R118" s="111" t="s">
        <v>2798</v>
      </c>
      <c r="S118" s="111" t="s">
        <v>2798</v>
      </c>
      <c r="T118" s="111" t="s">
        <v>2798</v>
      </c>
      <c r="U118" s="111" t="s">
        <v>2798</v>
      </c>
      <c r="V118" s="111" t="s">
        <v>2798</v>
      </c>
      <c r="W118" s="111" t="s">
        <v>2798</v>
      </c>
      <c r="X118" s="111" t="s">
        <v>2798</v>
      </c>
      <c r="Y118" s="111" t="s">
        <v>2798</v>
      </c>
      <c r="Z118" s="111" t="s">
        <v>2798</v>
      </c>
      <c r="AA118" s="111" t="s">
        <v>2724</v>
      </c>
      <c r="AB118" s="111" t="s">
        <v>2725</v>
      </c>
      <c r="AC118" s="111" t="s">
        <v>2726</v>
      </c>
      <c r="AD118" s="111" t="s">
        <v>2727</v>
      </c>
      <c r="AE118" s="111" t="s">
        <v>2728</v>
      </c>
      <c r="AF118" s="111" t="s">
        <v>2729</v>
      </c>
      <c r="AG118" s="111" t="s">
        <v>2730</v>
      </c>
      <c r="AH118" s="111" t="s">
        <v>2731</v>
      </c>
      <c r="AI118" s="111" t="s">
        <v>2732</v>
      </c>
      <c r="AJ118" s="111" t="s">
        <v>2733</v>
      </c>
      <c r="AK118" s="111" t="s">
        <v>2734</v>
      </c>
      <c r="AL118" s="111" t="s">
        <v>2735</v>
      </c>
      <c r="AM118" s="111" t="s">
        <v>2736</v>
      </c>
      <c r="AN118" s="111" t="s">
        <v>2737</v>
      </c>
      <c r="AO118" s="111" t="s">
        <v>2738</v>
      </c>
      <c r="AP118" s="111" t="s">
        <v>2739</v>
      </c>
      <c r="AQ118" s="111" t="s">
        <v>2740</v>
      </c>
      <c r="AR118" s="111" t="s">
        <v>2798</v>
      </c>
      <c r="AS118" s="111" t="s">
        <v>2798</v>
      </c>
      <c r="AT118" s="111" t="s">
        <v>2798</v>
      </c>
      <c r="AU118" s="111" t="s">
        <v>2798</v>
      </c>
      <c r="AV118" s="111" t="s">
        <v>2798</v>
      </c>
      <c r="AW118" s="111" t="s">
        <v>2798</v>
      </c>
      <c r="AX118" s="111" t="s">
        <v>2798</v>
      </c>
      <c r="AY118" s="111" t="s">
        <v>2798</v>
      </c>
      <c r="AZ118" s="111" t="s">
        <v>2798</v>
      </c>
      <c r="BA118" s="111" t="s">
        <v>2798</v>
      </c>
      <c r="BB118" s="111" t="s">
        <v>2798</v>
      </c>
      <c r="BC118" s="111" t="s">
        <v>2798</v>
      </c>
      <c r="BD118" s="111" t="s">
        <v>2798</v>
      </c>
      <c r="BE118" s="111" t="s">
        <v>2798</v>
      </c>
      <c r="BF118" s="111" t="s">
        <v>2798</v>
      </c>
      <c r="BG118" s="111" t="s">
        <v>2798</v>
      </c>
      <c r="BH118" s="111" t="s">
        <v>2798</v>
      </c>
      <c r="BI118" s="111" t="s">
        <v>2798</v>
      </c>
      <c r="BJ118" s="111" t="s">
        <v>2798</v>
      </c>
      <c r="BK118" s="111" t="s">
        <v>2798</v>
      </c>
      <c r="BL118" s="111" t="s">
        <v>2798</v>
      </c>
      <c r="BM118" s="111" t="s">
        <v>2798</v>
      </c>
      <c r="BN118" s="111" t="s">
        <v>2798</v>
      </c>
      <c r="BO118" s="111" t="s">
        <v>2798</v>
      </c>
      <c r="BP118" s="111" t="s">
        <v>2798</v>
      </c>
      <c r="BQ118" s="111" t="s">
        <v>2798</v>
      </c>
      <c r="BR118" s="111" t="s">
        <v>2798</v>
      </c>
      <c r="BS118" s="111" t="s">
        <v>2798</v>
      </c>
      <c r="BT118" s="111" t="s">
        <v>2798</v>
      </c>
      <c r="BU118" s="111" t="s">
        <v>2798</v>
      </c>
      <c r="BV118" s="111" t="s">
        <v>2798</v>
      </c>
      <c r="BW118" s="111" t="s">
        <v>2798</v>
      </c>
      <c r="BX118" s="111" t="s">
        <v>2798</v>
      </c>
      <c r="BY118" s="111" t="s">
        <v>2798</v>
      </c>
      <c r="BZ118" s="111" t="s">
        <v>2798</v>
      </c>
      <c r="CA118" s="111" t="s">
        <v>2798</v>
      </c>
      <c r="CB118" s="111" t="s">
        <v>2798</v>
      </c>
      <c r="CC118" s="111" t="s">
        <v>2798</v>
      </c>
      <c r="CD118" s="111" t="s">
        <v>2798</v>
      </c>
      <c r="CE118" s="111" t="s">
        <v>2798</v>
      </c>
      <c r="CF118" s="111" t="s">
        <v>2798</v>
      </c>
      <c r="CG118" s="111" t="s">
        <v>2798</v>
      </c>
      <c r="CH118" s="111" t="s">
        <v>2798</v>
      </c>
      <c r="CI118" s="111" t="s">
        <v>2798</v>
      </c>
      <c r="CJ118" s="111" t="s">
        <v>2798</v>
      </c>
      <c r="CK118" s="111" t="s">
        <v>2798</v>
      </c>
      <c r="CL118" s="111" t="s">
        <v>2798</v>
      </c>
      <c r="CM118" s="111" t="s">
        <v>2798</v>
      </c>
      <c r="CN118" s="111" t="s">
        <v>2798</v>
      </c>
      <c r="CO118" s="111" t="s">
        <v>2798</v>
      </c>
      <c r="CP118" s="111" t="s">
        <v>2798</v>
      </c>
      <c r="CQ118" s="111" t="s">
        <v>2798</v>
      </c>
    </row>
    <row r="119" spans="2:95" ht="14.25" customHeight="1">
      <c r="B119" s="106" t="s">
        <v>826</v>
      </c>
      <c r="C119" s="106" t="s">
        <v>2908</v>
      </c>
      <c r="D119" s="109">
        <v>12339.114</v>
      </c>
      <c r="E119" s="106" t="s">
        <v>2331</v>
      </c>
      <c r="F119" s="110">
        <v>49.582000000000335</v>
      </c>
      <c r="G119" s="106" t="s">
        <v>2795</v>
      </c>
      <c r="H119" s="102">
        <v>0</v>
      </c>
      <c r="I119" s="102">
        <v>0</v>
      </c>
      <c r="J119" s="111" t="s">
        <v>2798</v>
      </c>
      <c r="K119" s="111" t="s">
        <v>2798</v>
      </c>
      <c r="L119" s="111" t="s">
        <v>2798</v>
      </c>
      <c r="M119" s="111" t="s">
        <v>2798</v>
      </c>
      <c r="N119" s="111" t="s">
        <v>2798</v>
      </c>
      <c r="O119" s="111" t="s">
        <v>2798</v>
      </c>
      <c r="P119" s="111" t="s">
        <v>2798</v>
      </c>
      <c r="Q119" s="111" t="s">
        <v>2798</v>
      </c>
      <c r="R119" s="111" t="s">
        <v>2798</v>
      </c>
      <c r="S119" s="111" t="s">
        <v>2798</v>
      </c>
      <c r="T119" s="111" t="s">
        <v>2798</v>
      </c>
      <c r="U119" s="111" t="s">
        <v>2798</v>
      </c>
      <c r="V119" s="111" t="s">
        <v>2798</v>
      </c>
      <c r="W119" s="111" t="s">
        <v>2798</v>
      </c>
      <c r="X119" s="111" t="s">
        <v>2798</v>
      </c>
      <c r="Y119" s="111" t="s">
        <v>2798</v>
      </c>
      <c r="Z119" s="111" t="s">
        <v>2798</v>
      </c>
      <c r="AA119" s="111" t="s">
        <v>2798</v>
      </c>
      <c r="AB119" s="111" t="s">
        <v>2798</v>
      </c>
      <c r="AC119" s="111" t="s">
        <v>2798</v>
      </c>
      <c r="AD119" s="111" t="s">
        <v>2798</v>
      </c>
      <c r="AE119" s="111" t="s">
        <v>2798</v>
      </c>
      <c r="AF119" s="111" t="s">
        <v>2798</v>
      </c>
      <c r="AG119" s="111" t="s">
        <v>2798</v>
      </c>
      <c r="AH119" s="111" t="s">
        <v>2798</v>
      </c>
      <c r="AI119" s="111" t="s">
        <v>2798</v>
      </c>
      <c r="AJ119" s="111" t="s">
        <v>2798</v>
      </c>
      <c r="AK119" s="111" t="s">
        <v>2798</v>
      </c>
      <c r="AL119" s="111" t="s">
        <v>2798</v>
      </c>
      <c r="AM119" s="111" t="s">
        <v>2798</v>
      </c>
      <c r="AN119" s="111" t="s">
        <v>2798</v>
      </c>
      <c r="AO119" s="111" t="s">
        <v>2798</v>
      </c>
      <c r="AP119" s="111" t="s">
        <v>2798</v>
      </c>
      <c r="AQ119" s="111" t="s">
        <v>2798</v>
      </c>
      <c r="AR119" s="111" t="s">
        <v>2741</v>
      </c>
      <c r="AS119" s="111" t="s">
        <v>2742</v>
      </c>
      <c r="AT119" s="111" t="s">
        <v>2743</v>
      </c>
      <c r="AU119" s="111" t="s">
        <v>2744</v>
      </c>
      <c r="AV119" s="111" t="s">
        <v>2745</v>
      </c>
      <c r="AW119" s="111" t="s">
        <v>2746</v>
      </c>
      <c r="AX119" s="111" t="s">
        <v>2747</v>
      </c>
      <c r="AY119" s="111" t="s">
        <v>2748</v>
      </c>
      <c r="AZ119" s="111" t="s">
        <v>2749</v>
      </c>
      <c r="BA119" s="111" t="s">
        <v>2750</v>
      </c>
      <c r="BB119" s="111" t="s">
        <v>2751</v>
      </c>
      <c r="BC119" s="111" t="s">
        <v>2752</v>
      </c>
      <c r="BD119" s="111" t="s">
        <v>2753</v>
      </c>
      <c r="BE119" s="111" t="s">
        <v>2754</v>
      </c>
      <c r="BF119" s="111" t="s">
        <v>2755</v>
      </c>
      <c r="BG119" s="111" t="s">
        <v>2756</v>
      </c>
      <c r="BH119" s="111" t="s">
        <v>2757</v>
      </c>
      <c r="BI119" s="111" t="s">
        <v>2798</v>
      </c>
      <c r="BJ119" s="111" t="s">
        <v>2798</v>
      </c>
      <c r="BK119" s="111" t="s">
        <v>2798</v>
      </c>
      <c r="BL119" s="111" t="s">
        <v>2798</v>
      </c>
      <c r="BM119" s="111" t="s">
        <v>2798</v>
      </c>
      <c r="BN119" s="111" t="s">
        <v>2798</v>
      </c>
      <c r="BO119" s="111" t="s">
        <v>2798</v>
      </c>
      <c r="BP119" s="111" t="s">
        <v>2798</v>
      </c>
      <c r="BQ119" s="111" t="s">
        <v>2798</v>
      </c>
      <c r="BR119" s="111" t="s">
        <v>2798</v>
      </c>
      <c r="BS119" s="111" t="s">
        <v>2798</v>
      </c>
      <c r="BT119" s="111" t="s">
        <v>2798</v>
      </c>
      <c r="BU119" s="111" t="s">
        <v>2798</v>
      </c>
      <c r="BV119" s="111" t="s">
        <v>2798</v>
      </c>
      <c r="BW119" s="111" t="s">
        <v>2798</v>
      </c>
      <c r="BX119" s="111" t="s">
        <v>2798</v>
      </c>
      <c r="BY119" s="111" t="s">
        <v>2798</v>
      </c>
      <c r="BZ119" s="111" t="s">
        <v>2798</v>
      </c>
      <c r="CA119" s="111" t="s">
        <v>2798</v>
      </c>
      <c r="CB119" s="111" t="s">
        <v>2798</v>
      </c>
      <c r="CC119" s="111" t="s">
        <v>2798</v>
      </c>
      <c r="CD119" s="111" t="s">
        <v>2798</v>
      </c>
      <c r="CE119" s="111" t="s">
        <v>2798</v>
      </c>
      <c r="CF119" s="111" t="s">
        <v>2798</v>
      </c>
      <c r="CG119" s="111" t="s">
        <v>2798</v>
      </c>
      <c r="CH119" s="111" t="s">
        <v>2798</v>
      </c>
      <c r="CI119" s="111" t="s">
        <v>2798</v>
      </c>
      <c r="CJ119" s="111" t="s">
        <v>2798</v>
      </c>
      <c r="CK119" s="111" t="s">
        <v>2798</v>
      </c>
      <c r="CL119" s="111" t="s">
        <v>2798</v>
      </c>
      <c r="CM119" s="111" t="s">
        <v>2798</v>
      </c>
      <c r="CN119" s="111" t="s">
        <v>2798</v>
      </c>
      <c r="CO119" s="111" t="s">
        <v>2798</v>
      </c>
      <c r="CP119" s="111" t="s">
        <v>2798</v>
      </c>
      <c r="CQ119" s="111" t="s">
        <v>2798</v>
      </c>
    </row>
    <row r="120" spans="2:95" ht="14.25" customHeight="1">
      <c r="B120" s="106" t="s">
        <v>827</v>
      </c>
      <c r="C120" s="106" t="s">
        <v>2909</v>
      </c>
      <c r="D120" s="109">
        <v>12388.825000000001</v>
      </c>
      <c r="E120" s="106" t="s">
        <v>2331</v>
      </c>
      <c r="F120" s="110">
        <v>49.71100000000115</v>
      </c>
      <c r="G120" s="106" t="s">
        <v>2795</v>
      </c>
      <c r="H120" s="102">
        <v>0</v>
      </c>
      <c r="I120" s="102">
        <v>0</v>
      </c>
      <c r="J120" s="111" t="s">
        <v>2798</v>
      </c>
      <c r="K120" s="111" t="s">
        <v>2798</v>
      </c>
      <c r="L120" s="111" t="s">
        <v>2798</v>
      </c>
      <c r="M120" s="111" t="s">
        <v>2798</v>
      </c>
      <c r="N120" s="111" t="s">
        <v>2798</v>
      </c>
      <c r="O120" s="111" t="s">
        <v>2798</v>
      </c>
      <c r="P120" s="111" t="s">
        <v>2798</v>
      </c>
      <c r="Q120" s="111" t="s">
        <v>2798</v>
      </c>
      <c r="R120" s="111" t="s">
        <v>2798</v>
      </c>
      <c r="S120" s="111" t="s">
        <v>2798</v>
      </c>
      <c r="T120" s="111" t="s">
        <v>2798</v>
      </c>
      <c r="U120" s="111" t="s">
        <v>2798</v>
      </c>
      <c r="V120" s="111" t="s">
        <v>2798</v>
      </c>
      <c r="W120" s="111" t="s">
        <v>2798</v>
      </c>
      <c r="X120" s="111" t="s">
        <v>2798</v>
      </c>
      <c r="Y120" s="111" t="s">
        <v>2798</v>
      </c>
      <c r="Z120" s="111" t="s">
        <v>2798</v>
      </c>
      <c r="AA120" s="111" t="s">
        <v>2798</v>
      </c>
      <c r="AB120" s="111" t="s">
        <v>2798</v>
      </c>
      <c r="AC120" s="111" t="s">
        <v>2798</v>
      </c>
      <c r="AD120" s="111" t="s">
        <v>2798</v>
      </c>
      <c r="AE120" s="111" t="s">
        <v>2798</v>
      </c>
      <c r="AF120" s="111" t="s">
        <v>2798</v>
      </c>
      <c r="AG120" s="111" t="s">
        <v>2798</v>
      </c>
      <c r="AH120" s="111" t="s">
        <v>2798</v>
      </c>
      <c r="AI120" s="111" t="s">
        <v>2798</v>
      </c>
      <c r="AJ120" s="111" t="s">
        <v>2798</v>
      </c>
      <c r="AK120" s="111" t="s">
        <v>2798</v>
      </c>
      <c r="AL120" s="111" t="s">
        <v>2798</v>
      </c>
      <c r="AM120" s="111" t="s">
        <v>2798</v>
      </c>
      <c r="AN120" s="111" t="s">
        <v>2798</v>
      </c>
      <c r="AO120" s="111" t="s">
        <v>2798</v>
      </c>
      <c r="AP120" s="111" t="s">
        <v>2798</v>
      </c>
      <c r="AQ120" s="111" t="s">
        <v>2798</v>
      </c>
      <c r="AR120" s="111" t="s">
        <v>2798</v>
      </c>
      <c r="AS120" s="111" t="s">
        <v>2798</v>
      </c>
      <c r="AT120" s="111" t="s">
        <v>2798</v>
      </c>
      <c r="AU120" s="111" t="s">
        <v>2798</v>
      </c>
      <c r="AV120" s="111" t="s">
        <v>2798</v>
      </c>
      <c r="AW120" s="111" t="s">
        <v>2798</v>
      </c>
      <c r="AX120" s="111" t="s">
        <v>2798</v>
      </c>
      <c r="AY120" s="111" t="s">
        <v>2798</v>
      </c>
      <c r="AZ120" s="111" t="s">
        <v>2798</v>
      </c>
      <c r="BA120" s="111" t="s">
        <v>2798</v>
      </c>
      <c r="BB120" s="111" t="s">
        <v>2798</v>
      </c>
      <c r="BC120" s="111" t="s">
        <v>2798</v>
      </c>
      <c r="BD120" s="111" t="s">
        <v>2798</v>
      </c>
      <c r="BE120" s="111" t="s">
        <v>2798</v>
      </c>
      <c r="BF120" s="111" t="s">
        <v>2798</v>
      </c>
      <c r="BG120" s="111" t="s">
        <v>2798</v>
      </c>
      <c r="BH120" s="111" t="s">
        <v>2798</v>
      </c>
      <c r="BI120" s="111" t="s">
        <v>2758</v>
      </c>
      <c r="BJ120" s="111" t="s">
        <v>2759</v>
      </c>
      <c r="BK120" s="111" t="s">
        <v>2760</v>
      </c>
      <c r="BL120" s="111" t="s">
        <v>2761</v>
      </c>
      <c r="BM120" s="111" t="s">
        <v>2762</v>
      </c>
      <c r="BN120" s="111" t="s">
        <v>2763</v>
      </c>
      <c r="BO120" s="111" t="s">
        <v>2764</v>
      </c>
      <c r="BP120" s="111" t="s">
        <v>2765</v>
      </c>
      <c r="BQ120" s="111" t="s">
        <v>2766</v>
      </c>
      <c r="BR120" s="111" t="s">
        <v>2767</v>
      </c>
      <c r="BS120" s="111" t="s">
        <v>2768</v>
      </c>
      <c r="BT120" s="111" t="s">
        <v>2769</v>
      </c>
      <c r="BU120" s="111" t="s">
        <v>2770</v>
      </c>
      <c r="BV120" s="111" t="s">
        <v>2771</v>
      </c>
      <c r="BW120" s="111" t="s">
        <v>2772</v>
      </c>
      <c r="BX120" s="111" t="s">
        <v>2773</v>
      </c>
      <c r="BY120" s="111" t="s">
        <v>2774</v>
      </c>
      <c r="BZ120" s="111" t="s">
        <v>2798</v>
      </c>
      <c r="CA120" s="111" t="s">
        <v>2798</v>
      </c>
      <c r="CB120" s="111" t="s">
        <v>2798</v>
      </c>
      <c r="CC120" s="111" t="s">
        <v>2798</v>
      </c>
      <c r="CD120" s="111" t="s">
        <v>2798</v>
      </c>
      <c r="CE120" s="111" t="s">
        <v>2798</v>
      </c>
      <c r="CF120" s="111" t="s">
        <v>2798</v>
      </c>
      <c r="CG120" s="111" t="s">
        <v>2798</v>
      </c>
      <c r="CH120" s="111" t="s">
        <v>2798</v>
      </c>
      <c r="CI120" s="111" t="s">
        <v>2798</v>
      </c>
      <c r="CJ120" s="111" t="s">
        <v>2798</v>
      </c>
      <c r="CK120" s="111" t="s">
        <v>2798</v>
      </c>
      <c r="CL120" s="111" t="s">
        <v>2798</v>
      </c>
      <c r="CM120" s="111" t="s">
        <v>2798</v>
      </c>
      <c r="CN120" s="111" t="s">
        <v>2798</v>
      </c>
      <c r="CO120" s="111" t="s">
        <v>2798</v>
      </c>
      <c r="CP120" s="111" t="s">
        <v>2798</v>
      </c>
      <c r="CQ120" s="111" t="s">
        <v>2798</v>
      </c>
    </row>
    <row r="121" spans="2:95" ht="14.25" customHeight="1">
      <c r="B121" s="106" t="s">
        <v>828</v>
      </c>
      <c r="C121" s="106" t="s">
        <v>2910</v>
      </c>
      <c r="D121" s="109">
        <v>12438.772999999999</v>
      </c>
      <c r="E121" s="106" t="s">
        <v>2331</v>
      </c>
      <c r="F121" s="110">
        <v>49.947999999998501</v>
      </c>
      <c r="G121" s="106" t="s">
        <v>2793</v>
      </c>
      <c r="H121" s="102">
        <v>0</v>
      </c>
      <c r="I121" s="102">
        <v>0</v>
      </c>
      <c r="J121" s="111" t="s">
        <v>2798</v>
      </c>
      <c r="K121" s="111" t="s">
        <v>2798</v>
      </c>
      <c r="L121" s="111" t="s">
        <v>2798</v>
      </c>
      <c r="M121" s="111" t="s">
        <v>2798</v>
      </c>
      <c r="N121" s="111" t="s">
        <v>2798</v>
      </c>
      <c r="O121" s="111" t="s">
        <v>2798</v>
      </c>
      <c r="P121" s="111" t="s">
        <v>2798</v>
      </c>
      <c r="Q121" s="111" t="s">
        <v>2798</v>
      </c>
      <c r="R121" s="111" t="s">
        <v>2798</v>
      </c>
      <c r="S121" s="111" t="s">
        <v>2798</v>
      </c>
      <c r="T121" s="111" t="s">
        <v>2798</v>
      </c>
      <c r="U121" s="111" t="s">
        <v>2798</v>
      </c>
      <c r="V121" s="111" t="s">
        <v>2798</v>
      </c>
      <c r="W121" s="111" t="s">
        <v>2798</v>
      </c>
      <c r="X121" s="111" t="s">
        <v>2798</v>
      </c>
      <c r="Y121" s="111" t="s">
        <v>2798</v>
      </c>
      <c r="Z121" s="111" t="s">
        <v>2798</v>
      </c>
      <c r="AA121" s="111" t="s">
        <v>2798</v>
      </c>
      <c r="AB121" s="111" t="s">
        <v>2798</v>
      </c>
      <c r="AC121" s="111" t="s">
        <v>2798</v>
      </c>
      <c r="AD121" s="111" t="s">
        <v>2798</v>
      </c>
      <c r="AE121" s="111" t="s">
        <v>2798</v>
      </c>
      <c r="AF121" s="111" t="s">
        <v>2798</v>
      </c>
      <c r="AG121" s="111" t="s">
        <v>2798</v>
      </c>
      <c r="AH121" s="111" t="s">
        <v>2798</v>
      </c>
      <c r="AI121" s="111" t="s">
        <v>2798</v>
      </c>
      <c r="AJ121" s="111" t="s">
        <v>2798</v>
      </c>
      <c r="AK121" s="111" t="s">
        <v>2798</v>
      </c>
      <c r="AL121" s="111" t="s">
        <v>2798</v>
      </c>
      <c r="AM121" s="111" t="s">
        <v>2798</v>
      </c>
      <c r="AN121" s="111" t="s">
        <v>2798</v>
      </c>
      <c r="AO121" s="111" t="s">
        <v>2798</v>
      </c>
      <c r="AP121" s="111" t="s">
        <v>2798</v>
      </c>
      <c r="AQ121" s="111" t="s">
        <v>2798</v>
      </c>
      <c r="AR121" s="111" t="s">
        <v>2798</v>
      </c>
      <c r="AS121" s="111" t="s">
        <v>2798</v>
      </c>
      <c r="AT121" s="111" t="s">
        <v>2798</v>
      </c>
      <c r="AU121" s="111" t="s">
        <v>2798</v>
      </c>
      <c r="AV121" s="111" t="s">
        <v>2798</v>
      </c>
      <c r="AW121" s="111" t="s">
        <v>2798</v>
      </c>
      <c r="AX121" s="111" t="s">
        <v>2798</v>
      </c>
      <c r="AY121" s="111" t="s">
        <v>2798</v>
      </c>
      <c r="AZ121" s="111" t="s">
        <v>2798</v>
      </c>
      <c r="BA121" s="111" t="s">
        <v>2798</v>
      </c>
      <c r="BB121" s="111" t="s">
        <v>2798</v>
      </c>
      <c r="BC121" s="111" t="s">
        <v>2798</v>
      </c>
      <c r="BD121" s="111" t="s">
        <v>2798</v>
      </c>
      <c r="BE121" s="111" t="s">
        <v>2798</v>
      </c>
      <c r="BF121" s="111" t="s">
        <v>2798</v>
      </c>
      <c r="BG121" s="111" t="s">
        <v>2798</v>
      </c>
      <c r="BH121" s="111" t="s">
        <v>2798</v>
      </c>
      <c r="BI121" s="111" t="s">
        <v>2798</v>
      </c>
      <c r="BJ121" s="111" t="s">
        <v>2798</v>
      </c>
      <c r="BK121" s="111" t="s">
        <v>2798</v>
      </c>
      <c r="BL121" s="111" t="s">
        <v>2798</v>
      </c>
      <c r="BM121" s="111" t="s">
        <v>2798</v>
      </c>
      <c r="BN121" s="111" t="s">
        <v>2798</v>
      </c>
      <c r="BO121" s="111" t="s">
        <v>2798</v>
      </c>
      <c r="BP121" s="111" t="s">
        <v>2798</v>
      </c>
      <c r="BQ121" s="111" t="s">
        <v>2798</v>
      </c>
      <c r="BR121" s="111" t="s">
        <v>2798</v>
      </c>
      <c r="BS121" s="111" t="s">
        <v>2798</v>
      </c>
      <c r="BT121" s="111" t="s">
        <v>2798</v>
      </c>
      <c r="BU121" s="111" t="s">
        <v>2798</v>
      </c>
      <c r="BV121" s="111" t="s">
        <v>2798</v>
      </c>
      <c r="BW121" s="111" t="s">
        <v>2798</v>
      </c>
      <c r="BX121" s="111" t="s">
        <v>2798</v>
      </c>
      <c r="BY121" s="111" t="s">
        <v>2798</v>
      </c>
      <c r="BZ121" s="111" t="s">
        <v>2775</v>
      </c>
      <c r="CA121" s="111" t="s">
        <v>2776</v>
      </c>
      <c r="CB121" s="111" t="s">
        <v>2777</v>
      </c>
      <c r="CC121" s="111" t="s">
        <v>2778</v>
      </c>
      <c r="CD121" s="111" t="s">
        <v>2779</v>
      </c>
      <c r="CE121" s="111" t="s">
        <v>2780</v>
      </c>
      <c r="CF121" s="111" t="s">
        <v>2781</v>
      </c>
      <c r="CG121" s="111" t="s">
        <v>2782</v>
      </c>
      <c r="CH121" s="111" t="s">
        <v>2783</v>
      </c>
      <c r="CI121" s="111" t="s">
        <v>2798</v>
      </c>
      <c r="CJ121" s="111" t="s">
        <v>2785</v>
      </c>
      <c r="CK121" s="111" t="s">
        <v>2786</v>
      </c>
      <c r="CL121" s="111" t="s">
        <v>2787</v>
      </c>
      <c r="CM121" s="111" t="s">
        <v>2788</v>
      </c>
      <c r="CN121" s="111" t="s">
        <v>2789</v>
      </c>
      <c r="CO121" s="111" t="s">
        <v>2790</v>
      </c>
      <c r="CP121" s="111" t="s">
        <v>2791</v>
      </c>
      <c r="CQ121" s="111" t="s">
        <v>2792</v>
      </c>
    </row>
    <row r="122" spans="2:95" ht="14.25" customHeight="1">
      <c r="B122" s="106" t="s">
        <v>829</v>
      </c>
      <c r="C122" s="106" t="s">
        <v>2911</v>
      </c>
      <c r="D122" s="109">
        <v>12473.723</v>
      </c>
      <c r="E122" s="106" t="s">
        <v>2348</v>
      </c>
      <c r="F122" s="110">
        <v>34.950000000000728</v>
      </c>
      <c r="G122" s="106" t="s">
        <v>2795</v>
      </c>
      <c r="H122" s="102">
        <v>0</v>
      </c>
      <c r="I122" s="102">
        <v>0</v>
      </c>
      <c r="J122" s="111" t="s">
        <v>87</v>
      </c>
      <c r="K122" s="111" t="s">
        <v>2708</v>
      </c>
      <c r="L122" s="111" t="s">
        <v>2709</v>
      </c>
      <c r="M122" s="111" t="s">
        <v>2710</v>
      </c>
      <c r="N122" s="111" t="s">
        <v>2711</v>
      </c>
      <c r="O122" s="111" t="s">
        <v>2712</v>
      </c>
      <c r="P122" s="111" t="s">
        <v>2713</v>
      </c>
      <c r="Q122" s="111" t="s">
        <v>2714</v>
      </c>
      <c r="R122" s="111" t="s">
        <v>2715</v>
      </c>
      <c r="S122" s="111" t="s">
        <v>2716</v>
      </c>
      <c r="T122" s="111" t="s">
        <v>2717</v>
      </c>
      <c r="U122" s="111" t="s">
        <v>2718</v>
      </c>
      <c r="V122" s="111" t="s">
        <v>2798</v>
      </c>
      <c r="W122" s="111" t="s">
        <v>2798</v>
      </c>
      <c r="X122" s="111" t="s">
        <v>2798</v>
      </c>
      <c r="Y122" s="111" t="s">
        <v>2798</v>
      </c>
      <c r="Z122" s="111" t="s">
        <v>2798</v>
      </c>
      <c r="AA122" s="111" t="s">
        <v>2798</v>
      </c>
      <c r="AB122" s="111" t="s">
        <v>2798</v>
      </c>
      <c r="AC122" s="111" t="s">
        <v>2798</v>
      </c>
      <c r="AD122" s="111" t="s">
        <v>2798</v>
      </c>
      <c r="AE122" s="111" t="s">
        <v>2798</v>
      </c>
      <c r="AF122" s="111" t="s">
        <v>2798</v>
      </c>
      <c r="AG122" s="111" t="s">
        <v>2798</v>
      </c>
      <c r="AH122" s="111" t="s">
        <v>2798</v>
      </c>
      <c r="AI122" s="111" t="s">
        <v>2798</v>
      </c>
      <c r="AJ122" s="111" t="s">
        <v>2798</v>
      </c>
      <c r="AK122" s="111" t="s">
        <v>2798</v>
      </c>
      <c r="AL122" s="111" t="s">
        <v>2798</v>
      </c>
      <c r="AM122" s="111" t="s">
        <v>2798</v>
      </c>
      <c r="AN122" s="111" t="s">
        <v>2798</v>
      </c>
      <c r="AO122" s="111" t="s">
        <v>2798</v>
      </c>
      <c r="AP122" s="111" t="s">
        <v>2798</v>
      </c>
      <c r="AQ122" s="111" t="s">
        <v>2798</v>
      </c>
      <c r="AR122" s="111" t="s">
        <v>2798</v>
      </c>
      <c r="AS122" s="111" t="s">
        <v>2798</v>
      </c>
      <c r="AT122" s="111" t="s">
        <v>2798</v>
      </c>
      <c r="AU122" s="111" t="s">
        <v>2798</v>
      </c>
      <c r="AV122" s="111" t="s">
        <v>2798</v>
      </c>
      <c r="AW122" s="111" t="s">
        <v>2798</v>
      </c>
      <c r="AX122" s="111" t="s">
        <v>2798</v>
      </c>
      <c r="AY122" s="111" t="s">
        <v>2798</v>
      </c>
      <c r="AZ122" s="111" t="s">
        <v>2798</v>
      </c>
      <c r="BA122" s="111" t="s">
        <v>2798</v>
      </c>
      <c r="BB122" s="111" t="s">
        <v>2798</v>
      </c>
      <c r="BC122" s="111" t="s">
        <v>2798</v>
      </c>
      <c r="BD122" s="111" t="s">
        <v>2798</v>
      </c>
      <c r="BE122" s="111" t="s">
        <v>2798</v>
      </c>
      <c r="BF122" s="111" t="s">
        <v>2798</v>
      </c>
      <c r="BG122" s="111" t="s">
        <v>2798</v>
      </c>
      <c r="BH122" s="111" t="s">
        <v>2798</v>
      </c>
      <c r="BI122" s="111" t="s">
        <v>2798</v>
      </c>
      <c r="BJ122" s="111" t="s">
        <v>2798</v>
      </c>
      <c r="BK122" s="111" t="s">
        <v>2798</v>
      </c>
      <c r="BL122" s="111" t="s">
        <v>2798</v>
      </c>
      <c r="BM122" s="111" t="s">
        <v>2798</v>
      </c>
      <c r="BN122" s="111" t="s">
        <v>2798</v>
      </c>
      <c r="BO122" s="111" t="s">
        <v>2798</v>
      </c>
      <c r="BP122" s="111" t="s">
        <v>2798</v>
      </c>
      <c r="BQ122" s="111" t="s">
        <v>2798</v>
      </c>
      <c r="BR122" s="111" t="s">
        <v>2798</v>
      </c>
      <c r="BS122" s="111" t="s">
        <v>2798</v>
      </c>
      <c r="BT122" s="111" t="s">
        <v>2798</v>
      </c>
      <c r="BU122" s="111" t="s">
        <v>2798</v>
      </c>
      <c r="BV122" s="111" t="s">
        <v>2798</v>
      </c>
      <c r="BW122" s="111" t="s">
        <v>2798</v>
      </c>
      <c r="BX122" s="111" t="s">
        <v>2798</v>
      </c>
      <c r="BY122" s="111" t="s">
        <v>2798</v>
      </c>
      <c r="BZ122" s="111" t="s">
        <v>2798</v>
      </c>
      <c r="CA122" s="111" t="s">
        <v>2798</v>
      </c>
      <c r="CB122" s="111" t="s">
        <v>2798</v>
      </c>
      <c r="CC122" s="111" t="s">
        <v>2798</v>
      </c>
      <c r="CD122" s="111" t="s">
        <v>2798</v>
      </c>
      <c r="CE122" s="111" t="s">
        <v>2798</v>
      </c>
      <c r="CF122" s="111" t="s">
        <v>2798</v>
      </c>
      <c r="CG122" s="111" t="s">
        <v>2798</v>
      </c>
      <c r="CH122" s="111" t="s">
        <v>2798</v>
      </c>
      <c r="CI122" s="111" t="s">
        <v>2798</v>
      </c>
      <c r="CJ122" s="111" t="s">
        <v>2798</v>
      </c>
      <c r="CK122" s="111" t="s">
        <v>2798</v>
      </c>
      <c r="CL122" s="111" t="s">
        <v>2798</v>
      </c>
      <c r="CM122" s="111" t="s">
        <v>2798</v>
      </c>
      <c r="CN122" s="111" t="s">
        <v>2798</v>
      </c>
      <c r="CO122" s="111" t="s">
        <v>2798</v>
      </c>
      <c r="CP122" s="111" t="s">
        <v>2798</v>
      </c>
      <c r="CQ122" s="111" t="s">
        <v>2798</v>
      </c>
    </row>
    <row r="123" spans="2:95" ht="14.25" customHeight="1">
      <c r="B123" s="106" t="s">
        <v>830</v>
      </c>
      <c r="C123" s="106" t="s">
        <v>2912</v>
      </c>
      <c r="D123" s="109">
        <v>12508.673000000001</v>
      </c>
      <c r="E123" s="106" t="s">
        <v>2348</v>
      </c>
      <c r="F123" s="110">
        <v>34.950000000000728</v>
      </c>
      <c r="G123" s="106" t="s">
        <v>2793</v>
      </c>
      <c r="H123" s="102">
        <v>0</v>
      </c>
      <c r="I123" s="102">
        <v>0</v>
      </c>
      <c r="J123" s="111" t="s">
        <v>2798</v>
      </c>
      <c r="K123" s="111" t="s">
        <v>2798</v>
      </c>
      <c r="L123" s="111" t="s">
        <v>2798</v>
      </c>
      <c r="M123" s="111" t="s">
        <v>2798</v>
      </c>
      <c r="N123" s="111" t="s">
        <v>2798</v>
      </c>
      <c r="O123" s="111" t="s">
        <v>2798</v>
      </c>
      <c r="P123" s="111" t="s">
        <v>2798</v>
      </c>
      <c r="Q123" s="111" t="s">
        <v>2798</v>
      </c>
      <c r="R123" s="111" t="s">
        <v>2798</v>
      </c>
      <c r="S123" s="111" t="s">
        <v>2798</v>
      </c>
      <c r="T123" s="111" t="s">
        <v>2798</v>
      </c>
      <c r="U123" s="111" t="s">
        <v>2798</v>
      </c>
      <c r="V123" s="111" t="s">
        <v>2798</v>
      </c>
      <c r="W123" s="111" t="s">
        <v>2798</v>
      </c>
      <c r="X123" s="111" t="s">
        <v>2798</v>
      </c>
      <c r="Y123" s="111" t="s">
        <v>2798</v>
      </c>
      <c r="Z123" s="111" t="s">
        <v>2798</v>
      </c>
      <c r="AA123" s="111" t="s">
        <v>2798</v>
      </c>
      <c r="AB123" s="111" t="s">
        <v>2798</v>
      </c>
      <c r="AC123" s="111" t="s">
        <v>2798</v>
      </c>
      <c r="AD123" s="111" t="s">
        <v>2798</v>
      </c>
      <c r="AE123" s="111" t="s">
        <v>2798</v>
      </c>
      <c r="AF123" s="111" t="s">
        <v>2798</v>
      </c>
      <c r="AG123" s="111" t="s">
        <v>2798</v>
      </c>
      <c r="AH123" s="111" t="s">
        <v>2798</v>
      </c>
      <c r="AI123" s="111" t="s">
        <v>2798</v>
      </c>
      <c r="AJ123" s="111" t="s">
        <v>2798</v>
      </c>
      <c r="AK123" s="111" t="s">
        <v>2798</v>
      </c>
      <c r="AL123" s="111" t="s">
        <v>2798</v>
      </c>
      <c r="AM123" s="111" t="s">
        <v>2798</v>
      </c>
      <c r="AN123" s="111" t="s">
        <v>2798</v>
      </c>
      <c r="AO123" s="111" t="s">
        <v>2798</v>
      </c>
      <c r="AP123" s="111" t="s">
        <v>2798</v>
      </c>
      <c r="AQ123" s="111" t="s">
        <v>2798</v>
      </c>
      <c r="AR123" s="111" t="s">
        <v>2798</v>
      </c>
      <c r="AS123" s="111" t="s">
        <v>2798</v>
      </c>
      <c r="AT123" s="111" t="s">
        <v>2798</v>
      </c>
      <c r="AU123" s="111" t="s">
        <v>2798</v>
      </c>
      <c r="AV123" s="111" t="s">
        <v>2798</v>
      </c>
      <c r="AW123" s="111" t="s">
        <v>2798</v>
      </c>
      <c r="AX123" s="111" t="s">
        <v>2798</v>
      </c>
      <c r="AY123" s="111" t="s">
        <v>2798</v>
      </c>
      <c r="AZ123" s="111" t="s">
        <v>2798</v>
      </c>
      <c r="BA123" s="111" t="s">
        <v>2798</v>
      </c>
      <c r="BB123" s="111" t="s">
        <v>2798</v>
      </c>
      <c r="BC123" s="111" t="s">
        <v>2798</v>
      </c>
      <c r="BD123" s="111" t="s">
        <v>2798</v>
      </c>
      <c r="BE123" s="111" t="s">
        <v>2798</v>
      </c>
      <c r="BF123" s="111" t="s">
        <v>2798</v>
      </c>
      <c r="BG123" s="111" t="s">
        <v>2798</v>
      </c>
      <c r="BH123" s="111" t="s">
        <v>2798</v>
      </c>
      <c r="BI123" s="111" t="s">
        <v>2798</v>
      </c>
      <c r="BJ123" s="111" t="s">
        <v>2798</v>
      </c>
      <c r="BK123" s="111" t="s">
        <v>2798</v>
      </c>
      <c r="BL123" s="111" t="s">
        <v>2798</v>
      </c>
      <c r="BM123" s="111" t="s">
        <v>2798</v>
      </c>
      <c r="BN123" s="111" t="s">
        <v>2798</v>
      </c>
      <c r="BO123" s="111" t="s">
        <v>2798</v>
      </c>
      <c r="BP123" s="111" t="s">
        <v>2798</v>
      </c>
      <c r="BQ123" s="111" t="s">
        <v>2798</v>
      </c>
      <c r="BR123" s="111" t="s">
        <v>2798</v>
      </c>
      <c r="BS123" s="111" t="s">
        <v>2798</v>
      </c>
      <c r="BT123" s="111" t="s">
        <v>2798</v>
      </c>
      <c r="BU123" s="111" t="s">
        <v>2798</v>
      </c>
      <c r="BV123" s="111" t="s">
        <v>2798</v>
      </c>
      <c r="BW123" s="111" t="s">
        <v>2798</v>
      </c>
      <c r="BX123" s="111" t="s">
        <v>2798</v>
      </c>
      <c r="BY123" s="111" t="s">
        <v>2798</v>
      </c>
      <c r="BZ123" s="111" t="s">
        <v>2798</v>
      </c>
      <c r="CA123" s="111" t="s">
        <v>2798</v>
      </c>
      <c r="CB123" s="111" t="s">
        <v>2798</v>
      </c>
      <c r="CC123" s="111" t="s">
        <v>2798</v>
      </c>
      <c r="CD123" s="111" t="s">
        <v>2798</v>
      </c>
      <c r="CE123" s="111" t="s">
        <v>2780</v>
      </c>
      <c r="CF123" s="111" t="s">
        <v>2781</v>
      </c>
      <c r="CG123" s="111" t="s">
        <v>2782</v>
      </c>
      <c r="CH123" s="111" t="s">
        <v>2783</v>
      </c>
      <c r="CI123" s="111" t="s">
        <v>2798</v>
      </c>
      <c r="CJ123" s="111" t="s">
        <v>2785</v>
      </c>
      <c r="CK123" s="111" t="s">
        <v>2786</v>
      </c>
      <c r="CL123" s="111" t="s">
        <v>2787</v>
      </c>
      <c r="CM123" s="111" t="s">
        <v>2788</v>
      </c>
      <c r="CN123" s="111" t="s">
        <v>2789</v>
      </c>
      <c r="CO123" s="111" t="s">
        <v>2790</v>
      </c>
      <c r="CP123" s="111" t="s">
        <v>2791</v>
      </c>
      <c r="CQ123" s="111" t="s">
        <v>2792</v>
      </c>
    </row>
    <row r="124" spans="2:95" ht="14.25" customHeight="1">
      <c r="B124" s="106" t="s">
        <v>831</v>
      </c>
      <c r="C124" s="106" t="s">
        <v>2913</v>
      </c>
      <c r="D124" s="109">
        <v>12552.653</v>
      </c>
      <c r="E124" s="106" t="s">
        <v>2361</v>
      </c>
      <c r="F124" s="110">
        <v>43.979999999999563</v>
      </c>
      <c r="G124" s="106" t="s">
        <v>2793</v>
      </c>
      <c r="H124" s="102">
        <v>0</v>
      </c>
      <c r="I124" s="102">
        <v>0</v>
      </c>
      <c r="J124" s="111" t="s">
        <v>87</v>
      </c>
      <c r="K124" s="111" t="s">
        <v>2708</v>
      </c>
      <c r="L124" s="111" t="s">
        <v>2709</v>
      </c>
      <c r="M124" s="111" t="s">
        <v>2710</v>
      </c>
      <c r="N124" s="111" t="s">
        <v>2711</v>
      </c>
      <c r="O124" s="111" t="s">
        <v>2712</v>
      </c>
      <c r="P124" s="111" t="s">
        <v>2713</v>
      </c>
      <c r="Q124" s="111" t="s">
        <v>2714</v>
      </c>
      <c r="R124" s="111" t="s">
        <v>2798</v>
      </c>
      <c r="S124" s="111" t="s">
        <v>2798</v>
      </c>
      <c r="T124" s="111" t="s">
        <v>2798</v>
      </c>
      <c r="U124" s="111" t="s">
        <v>2798</v>
      </c>
      <c r="V124" s="111" t="s">
        <v>2798</v>
      </c>
      <c r="W124" s="111" t="s">
        <v>2798</v>
      </c>
      <c r="X124" s="111" t="s">
        <v>2798</v>
      </c>
      <c r="Y124" s="111" t="s">
        <v>2798</v>
      </c>
      <c r="Z124" s="111" t="s">
        <v>2798</v>
      </c>
      <c r="AA124" s="111" t="s">
        <v>2798</v>
      </c>
      <c r="AB124" s="111" t="s">
        <v>2798</v>
      </c>
      <c r="AC124" s="111" t="s">
        <v>2798</v>
      </c>
      <c r="AD124" s="111" t="s">
        <v>2798</v>
      </c>
      <c r="AE124" s="111" t="s">
        <v>2798</v>
      </c>
      <c r="AF124" s="111" t="s">
        <v>2798</v>
      </c>
      <c r="AG124" s="111" t="s">
        <v>2798</v>
      </c>
      <c r="AH124" s="111" t="s">
        <v>2798</v>
      </c>
      <c r="AI124" s="111" t="s">
        <v>2798</v>
      </c>
      <c r="AJ124" s="111" t="s">
        <v>2798</v>
      </c>
      <c r="AK124" s="111" t="s">
        <v>2798</v>
      </c>
      <c r="AL124" s="111" t="s">
        <v>2798</v>
      </c>
      <c r="AM124" s="111" t="s">
        <v>2798</v>
      </c>
      <c r="AN124" s="111" t="s">
        <v>2798</v>
      </c>
      <c r="AO124" s="111" t="s">
        <v>2798</v>
      </c>
      <c r="AP124" s="111" t="s">
        <v>2798</v>
      </c>
      <c r="AQ124" s="111" t="s">
        <v>2798</v>
      </c>
      <c r="AR124" s="111" t="s">
        <v>2798</v>
      </c>
      <c r="AS124" s="111" t="s">
        <v>2798</v>
      </c>
      <c r="AT124" s="111" t="s">
        <v>2798</v>
      </c>
      <c r="AU124" s="111" t="s">
        <v>2798</v>
      </c>
      <c r="AV124" s="111" t="s">
        <v>2798</v>
      </c>
      <c r="AW124" s="111" t="s">
        <v>2798</v>
      </c>
      <c r="AX124" s="111" t="s">
        <v>2798</v>
      </c>
      <c r="AY124" s="111" t="s">
        <v>2798</v>
      </c>
      <c r="AZ124" s="111" t="s">
        <v>2798</v>
      </c>
      <c r="BA124" s="111" t="s">
        <v>2798</v>
      </c>
      <c r="BB124" s="111" t="s">
        <v>2798</v>
      </c>
      <c r="BC124" s="111" t="s">
        <v>2798</v>
      </c>
      <c r="BD124" s="111" t="s">
        <v>2798</v>
      </c>
      <c r="BE124" s="111" t="s">
        <v>2798</v>
      </c>
      <c r="BF124" s="111" t="s">
        <v>2798</v>
      </c>
      <c r="BG124" s="111" t="s">
        <v>2798</v>
      </c>
      <c r="BH124" s="111" t="s">
        <v>2798</v>
      </c>
      <c r="BI124" s="111" t="s">
        <v>2798</v>
      </c>
      <c r="BJ124" s="111" t="s">
        <v>2798</v>
      </c>
      <c r="BK124" s="111" t="s">
        <v>2798</v>
      </c>
      <c r="BL124" s="111" t="s">
        <v>2798</v>
      </c>
      <c r="BM124" s="111" t="s">
        <v>2798</v>
      </c>
      <c r="BN124" s="111" t="s">
        <v>2798</v>
      </c>
      <c r="BO124" s="111" t="s">
        <v>2798</v>
      </c>
      <c r="BP124" s="111" t="s">
        <v>2798</v>
      </c>
      <c r="BQ124" s="111" t="s">
        <v>2798</v>
      </c>
      <c r="BR124" s="111" t="s">
        <v>2798</v>
      </c>
      <c r="BS124" s="111" t="s">
        <v>2798</v>
      </c>
      <c r="BT124" s="111" t="s">
        <v>2798</v>
      </c>
      <c r="BU124" s="111" t="s">
        <v>2798</v>
      </c>
      <c r="BV124" s="111" t="s">
        <v>2798</v>
      </c>
      <c r="BW124" s="111" t="s">
        <v>2798</v>
      </c>
      <c r="BX124" s="111" t="s">
        <v>2798</v>
      </c>
      <c r="BY124" s="111" t="s">
        <v>2798</v>
      </c>
      <c r="BZ124" s="111" t="s">
        <v>2798</v>
      </c>
      <c r="CA124" s="111" t="s">
        <v>2798</v>
      </c>
      <c r="CB124" s="111" t="s">
        <v>2798</v>
      </c>
      <c r="CC124" s="111" t="s">
        <v>2798</v>
      </c>
      <c r="CD124" s="111" t="s">
        <v>2798</v>
      </c>
      <c r="CE124" s="111" t="s">
        <v>2798</v>
      </c>
      <c r="CF124" s="111" t="s">
        <v>2798</v>
      </c>
      <c r="CG124" s="111" t="s">
        <v>2798</v>
      </c>
      <c r="CH124" s="111" t="s">
        <v>2798</v>
      </c>
      <c r="CI124" s="111" t="s">
        <v>2798</v>
      </c>
      <c r="CJ124" s="111" t="s">
        <v>2798</v>
      </c>
      <c r="CK124" s="111" t="s">
        <v>2786</v>
      </c>
      <c r="CL124" s="111" t="s">
        <v>2787</v>
      </c>
      <c r="CM124" s="111" t="s">
        <v>2788</v>
      </c>
      <c r="CN124" s="111" t="s">
        <v>2789</v>
      </c>
      <c r="CO124" s="111" t="s">
        <v>2790</v>
      </c>
      <c r="CP124" s="111" t="s">
        <v>2791</v>
      </c>
      <c r="CQ124" s="111" t="s">
        <v>2792</v>
      </c>
    </row>
    <row r="125" spans="2:95" ht="14.25" customHeight="1">
      <c r="B125" s="106" t="s">
        <v>832</v>
      </c>
      <c r="C125" s="106" t="s">
        <v>2914</v>
      </c>
      <c r="D125" s="109">
        <v>12652.653</v>
      </c>
      <c r="E125" s="106" t="s">
        <v>2368</v>
      </c>
      <c r="F125" s="110">
        <v>100</v>
      </c>
      <c r="G125" s="106" t="s">
        <v>2793</v>
      </c>
      <c r="H125" s="102">
        <v>0</v>
      </c>
      <c r="I125" s="102">
        <v>0</v>
      </c>
      <c r="J125" s="111" t="s">
        <v>2798</v>
      </c>
      <c r="K125" s="111" t="s">
        <v>2798</v>
      </c>
      <c r="L125" s="111" t="s">
        <v>2798</v>
      </c>
      <c r="M125" s="111" t="s">
        <v>2798</v>
      </c>
      <c r="N125" s="111" t="s">
        <v>2798</v>
      </c>
      <c r="O125" s="111" t="s">
        <v>2798</v>
      </c>
      <c r="P125" s="111" t="s">
        <v>2798</v>
      </c>
      <c r="Q125" s="111" t="s">
        <v>2798</v>
      </c>
      <c r="R125" s="111" t="s">
        <v>2798</v>
      </c>
      <c r="S125" s="111" t="s">
        <v>2798</v>
      </c>
      <c r="T125" s="111" t="s">
        <v>2798</v>
      </c>
      <c r="U125" s="111" t="s">
        <v>2798</v>
      </c>
      <c r="V125" s="111" t="s">
        <v>2798</v>
      </c>
      <c r="W125" s="111" t="s">
        <v>2798</v>
      </c>
      <c r="X125" s="111" t="s">
        <v>2798</v>
      </c>
      <c r="Y125" s="111" t="s">
        <v>2798</v>
      </c>
      <c r="Z125" s="111" t="s">
        <v>2798</v>
      </c>
      <c r="AA125" s="111" t="s">
        <v>2798</v>
      </c>
      <c r="AB125" s="111" t="s">
        <v>2798</v>
      </c>
      <c r="AC125" s="111" t="s">
        <v>2798</v>
      </c>
      <c r="AD125" s="111" t="s">
        <v>2798</v>
      </c>
      <c r="AE125" s="111" t="s">
        <v>2798</v>
      </c>
      <c r="AF125" s="111" t="s">
        <v>2798</v>
      </c>
      <c r="AG125" s="111" t="s">
        <v>2798</v>
      </c>
      <c r="AH125" s="111" t="s">
        <v>2798</v>
      </c>
      <c r="AI125" s="111" t="s">
        <v>2798</v>
      </c>
      <c r="AJ125" s="111" t="s">
        <v>2798</v>
      </c>
      <c r="AK125" s="111" t="s">
        <v>2798</v>
      </c>
      <c r="AL125" s="111" t="s">
        <v>2798</v>
      </c>
      <c r="AM125" s="111" t="s">
        <v>2798</v>
      </c>
      <c r="AN125" s="111" t="s">
        <v>2798</v>
      </c>
      <c r="AO125" s="111" t="s">
        <v>2798</v>
      </c>
      <c r="AP125" s="111" t="s">
        <v>2798</v>
      </c>
      <c r="AQ125" s="111" t="s">
        <v>2798</v>
      </c>
      <c r="AR125" s="111" t="s">
        <v>2798</v>
      </c>
      <c r="AS125" s="111" t="s">
        <v>2798</v>
      </c>
      <c r="AT125" s="111" t="s">
        <v>2798</v>
      </c>
      <c r="AU125" s="111" t="s">
        <v>2798</v>
      </c>
      <c r="AV125" s="111" t="s">
        <v>2798</v>
      </c>
      <c r="AW125" s="111" t="s">
        <v>2798</v>
      </c>
      <c r="AX125" s="111" t="s">
        <v>2798</v>
      </c>
      <c r="AY125" s="111" t="s">
        <v>2798</v>
      </c>
      <c r="AZ125" s="111" t="s">
        <v>2798</v>
      </c>
      <c r="BA125" s="111" t="s">
        <v>2798</v>
      </c>
      <c r="BB125" s="111" t="s">
        <v>2798</v>
      </c>
      <c r="BC125" s="111" t="s">
        <v>2798</v>
      </c>
      <c r="BD125" s="111" t="s">
        <v>2798</v>
      </c>
      <c r="BE125" s="111" t="s">
        <v>2798</v>
      </c>
      <c r="BF125" s="111" t="s">
        <v>2798</v>
      </c>
      <c r="BG125" s="111" t="s">
        <v>2798</v>
      </c>
      <c r="BH125" s="111" t="s">
        <v>2798</v>
      </c>
      <c r="BI125" s="111" t="s">
        <v>2798</v>
      </c>
      <c r="BJ125" s="111" t="s">
        <v>2798</v>
      </c>
      <c r="BK125" s="111" t="s">
        <v>2798</v>
      </c>
      <c r="BL125" s="111" t="s">
        <v>2798</v>
      </c>
      <c r="BM125" s="111" t="s">
        <v>2798</v>
      </c>
      <c r="BN125" s="111" t="s">
        <v>2798</v>
      </c>
      <c r="BO125" s="111" t="s">
        <v>2798</v>
      </c>
      <c r="BP125" s="111" t="s">
        <v>2798</v>
      </c>
      <c r="BQ125" s="111" t="s">
        <v>2798</v>
      </c>
      <c r="BR125" s="111" t="s">
        <v>2798</v>
      </c>
      <c r="BS125" s="111" t="s">
        <v>2798</v>
      </c>
      <c r="BT125" s="111" t="s">
        <v>2798</v>
      </c>
      <c r="BU125" s="111" t="s">
        <v>2798</v>
      </c>
      <c r="BV125" s="111" t="s">
        <v>2798</v>
      </c>
      <c r="BW125" s="111" t="s">
        <v>2798</v>
      </c>
      <c r="BX125" s="111" t="s">
        <v>2798</v>
      </c>
      <c r="BY125" s="111" t="s">
        <v>2798</v>
      </c>
      <c r="BZ125" s="111" t="s">
        <v>2798</v>
      </c>
      <c r="CA125" s="111" t="s">
        <v>2798</v>
      </c>
      <c r="CB125" s="111" t="s">
        <v>2798</v>
      </c>
      <c r="CC125" s="111" t="s">
        <v>2798</v>
      </c>
      <c r="CD125" s="111" t="s">
        <v>2798</v>
      </c>
      <c r="CE125" s="111" t="s">
        <v>2798</v>
      </c>
      <c r="CF125" s="111" t="s">
        <v>2798</v>
      </c>
      <c r="CG125" s="111" t="s">
        <v>2798</v>
      </c>
      <c r="CH125" s="111" t="s">
        <v>2798</v>
      </c>
      <c r="CI125" s="111" t="s">
        <v>2798</v>
      </c>
      <c r="CJ125" s="111" t="s">
        <v>2798</v>
      </c>
      <c r="CK125" s="111" t="s">
        <v>2798</v>
      </c>
      <c r="CL125" s="111" t="s">
        <v>2798</v>
      </c>
      <c r="CM125" s="111" t="s">
        <v>2798</v>
      </c>
      <c r="CN125" s="111" t="s">
        <v>2798</v>
      </c>
      <c r="CO125" s="111" t="s">
        <v>2798</v>
      </c>
      <c r="CP125" s="111" t="s">
        <v>2798</v>
      </c>
      <c r="CQ125" s="111" t="s">
        <v>2798</v>
      </c>
    </row>
    <row r="126" spans="2:95" ht="14.25" customHeight="1">
      <c r="B126" s="106" t="s">
        <v>833</v>
      </c>
      <c r="C126" s="106" t="s">
        <v>2915</v>
      </c>
      <c r="D126" s="109">
        <v>12693.919</v>
      </c>
      <c r="E126" s="106" t="s">
        <v>2375</v>
      </c>
      <c r="F126" s="110">
        <v>41.265999999999622</v>
      </c>
      <c r="G126" s="106" t="s">
        <v>2795</v>
      </c>
      <c r="H126" s="102">
        <v>0</v>
      </c>
      <c r="I126" s="102">
        <v>0</v>
      </c>
      <c r="J126" s="111" t="s">
        <v>87</v>
      </c>
      <c r="K126" s="111" t="s">
        <v>2708</v>
      </c>
      <c r="L126" s="111" t="s">
        <v>2709</v>
      </c>
      <c r="M126" s="111" t="s">
        <v>2710</v>
      </c>
      <c r="N126" s="111" t="s">
        <v>2711</v>
      </c>
      <c r="O126" s="111" t="s">
        <v>2712</v>
      </c>
      <c r="P126" s="111" t="s">
        <v>2713</v>
      </c>
      <c r="Q126" s="111" t="s">
        <v>2714</v>
      </c>
      <c r="R126" s="111" t="s">
        <v>2715</v>
      </c>
      <c r="S126" s="111" t="s">
        <v>2716</v>
      </c>
      <c r="T126" s="111" t="s">
        <v>2717</v>
      </c>
      <c r="U126" s="111" t="s">
        <v>2718</v>
      </c>
      <c r="V126" s="111" t="s">
        <v>2719</v>
      </c>
      <c r="W126" s="111" t="s">
        <v>2720</v>
      </c>
      <c r="X126" s="111" t="s">
        <v>2798</v>
      </c>
      <c r="Y126" s="111" t="s">
        <v>2798</v>
      </c>
      <c r="Z126" s="111" t="s">
        <v>2798</v>
      </c>
      <c r="AA126" s="111" t="s">
        <v>2798</v>
      </c>
      <c r="AB126" s="111" t="s">
        <v>2798</v>
      </c>
      <c r="AC126" s="111" t="s">
        <v>2798</v>
      </c>
      <c r="AD126" s="111" t="s">
        <v>2798</v>
      </c>
      <c r="AE126" s="111" t="s">
        <v>2798</v>
      </c>
      <c r="AF126" s="111" t="s">
        <v>2798</v>
      </c>
      <c r="AG126" s="111" t="s">
        <v>2798</v>
      </c>
      <c r="AH126" s="111" t="s">
        <v>2798</v>
      </c>
      <c r="AI126" s="111" t="s">
        <v>2798</v>
      </c>
      <c r="AJ126" s="111" t="s">
        <v>2798</v>
      </c>
      <c r="AK126" s="111" t="s">
        <v>2798</v>
      </c>
      <c r="AL126" s="111" t="s">
        <v>2798</v>
      </c>
      <c r="AM126" s="111" t="s">
        <v>2798</v>
      </c>
      <c r="AN126" s="111" t="s">
        <v>2798</v>
      </c>
      <c r="AO126" s="111" t="s">
        <v>2798</v>
      </c>
      <c r="AP126" s="111" t="s">
        <v>2798</v>
      </c>
      <c r="AQ126" s="111" t="s">
        <v>2798</v>
      </c>
      <c r="AR126" s="111" t="s">
        <v>2798</v>
      </c>
      <c r="AS126" s="111" t="s">
        <v>2798</v>
      </c>
      <c r="AT126" s="111" t="s">
        <v>2798</v>
      </c>
      <c r="AU126" s="111" t="s">
        <v>2798</v>
      </c>
      <c r="AV126" s="111" t="s">
        <v>2798</v>
      </c>
      <c r="AW126" s="111" t="s">
        <v>2798</v>
      </c>
      <c r="AX126" s="111" t="s">
        <v>2798</v>
      </c>
      <c r="AY126" s="111" t="s">
        <v>2798</v>
      </c>
      <c r="AZ126" s="111" t="s">
        <v>2798</v>
      </c>
      <c r="BA126" s="111" t="s">
        <v>2798</v>
      </c>
      <c r="BB126" s="111" t="s">
        <v>2798</v>
      </c>
      <c r="BC126" s="111" t="s">
        <v>2798</v>
      </c>
      <c r="BD126" s="111" t="s">
        <v>2798</v>
      </c>
      <c r="BE126" s="111" t="s">
        <v>2798</v>
      </c>
      <c r="BF126" s="111" t="s">
        <v>2798</v>
      </c>
      <c r="BG126" s="111" t="s">
        <v>2798</v>
      </c>
      <c r="BH126" s="111" t="s">
        <v>2798</v>
      </c>
      <c r="BI126" s="111" t="s">
        <v>2798</v>
      </c>
      <c r="BJ126" s="111" t="s">
        <v>2798</v>
      </c>
      <c r="BK126" s="111" t="s">
        <v>2798</v>
      </c>
      <c r="BL126" s="111" t="s">
        <v>2798</v>
      </c>
      <c r="BM126" s="111" t="s">
        <v>2798</v>
      </c>
      <c r="BN126" s="111" t="s">
        <v>2798</v>
      </c>
      <c r="BO126" s="111" t="s">
        <v>2798</v>
      </c>
      <c r="BP126" s="111" t="s">
        <v>2798</v>
      </c>
      <c r="BQ126" s="111" t="s">
        <v>2798</v>
      </c>
      <c r="BR126" s="111" t="s">
        <v>2798</v>
      </c>
      <c r="BS126" s="111" t="s">
        <v>2798</v>
      </c>
      <c r="BT126" s="111" t="s">
        <v>2798</v>
      </c>
      <c r="BU126" s="111" t="s">
        <v>2798</v>
      </c>
      <c r="BV126" s="111" t="s">
        <v>2798</v>
      </c>
      <c r="BW126" s="111" t="s">
        <v>2798</v>
      </c>
      <c r="BX126" s="111" t="s">
        <v>2798</v>
      </c>
      <c r="BY126" s="111" t="s">
        <v>2798</v>
      </c>
      <c r="BZ126" s="111" t="s">
        <v>2798</v>
      </c>
      <c r="CA126" s="111" t="s">
        <v>2798</v>
      </c>
      <c r="CB126" s="111" t="s">
        <v>2798</v>
      </c>
      <c r="CC126" s="111" t="s">
        <v>2798</v>
      </c>
      <c r="CD126" s="111" t="s">
        <v>2798</v>
      </c>
      <c r="CE126" s="111" t="s">
        <v>2798</v>
      </c>
      <c r="CF126" s="111" t="s">
        <v>2798</v>
      </c>
      <c r="CG126" s="111" t="s">
        <v>2798</v>
      </c>
      <c r="CH126" s="111" t="s">
        <v>2798</v>
      </c>
      <c r="CI126" s="111" t="s">
        <v>2798</v>
      </c>
      <c r="CJ126" s="111" t="s">
        <v>2798</v>
      </c>
      <c r="CK126" s="111" t="s">
        <v>2798</v>
      </c>
      <c r="CL126" s="111" t="s">
        <v>2798</v>
      </c>
      <c r="CM126" s="111" t="s">
        <v>2798</v>
      </c>
      <c r="CN126" s="111" t="s">
        <v>2798</v>
      </c>
      <c r="CO126" s="111" t="s">
        <v>2798</v>
      </c>
      <c r="CP126" s="111" t="s">
        <v>2798</v>
      </c>
      <c r="CQ126" s="111" t="s">
        <v>2798</v>
      </c>
    </row>
    <row r="127" spans="2:95" ht="14.25" customHeight="1">
      <c r="B127" s="106" t="s">
        <v>834</v>
      </c>
      <c r="C127" s="106" t="s">
        <v>2916</v>
      </c>
      <c r="D127" s="109">
        <v>12734.905000000001</v>
      </c>
      <c r="E127" s="106" t="s">
        <v>2375</v>
      </c>
      <c r="F127" s="110">
        <v>40.986000000000786</v>
      </c>
      <c r="G127" s="106" t="s">
        <v>2795</v>
      </c>
      <c r="H127" s="102">
        <v>0</v>
      </c>
      <c r="I127" s="102">
        <v>0</v>
      </c>
      <c r="J127" s="111" t="s">
        <v>2798</v>
      </c>
      <c r="K127" s="111" t="s">
        <v>2798</v>
      </c>
      <c r="L127" s="111" t="s">
        <v>2798</v>
      </c>
      <c r="M127" s="111" t="s">
        <v>2798</v>
      </c>
      <c r="N127" s="111" t="s">
        <v>2798</v>
      </c>
      <c r="O127" s="111" t="s">
        <v>2798</v>
      </c>
      <c r="P127" s="111" t="s">
        <v>2798</v>
      </c>
      <c r="Q127" s="111" t="s">
        <v>2798</v>
      </c>
      <c r="R127" s="111" t="s">
        <v>2798</v>
      </c>
      <c r="S127" s="111" t="s">
        <v>2798</v>
      </c>
      <c r="T127" s="111" t="s">
        <v>2798</v>
      </c>
      <c r="U127" s="111" t="s">
        <v>2798</v>
      </c>
      <c r="V127" s="111" t="s">
        <v>2798</v>
      </c>
      <c r="W127" s="111" t="s">
        <v>2798</v>
      </c>
      <c r="X127" s="111" t="s">
        <v>2721</v>
      </c>
      <c r="Y127" s="111" t="s">
        <v>2722</v>
      </c>
      <c r="Z127" s="111" t="s">
        <v>2723</v>
      </c>
      <c r="AA127" s="111" t="s">
        <v>2724</v>
      </c>
      <c r="AB127" s="111" t="s">
        <v>2725</v>
      </c>
      <c r="AC127" s="111" t="s">
        <v>2726</v>
      </c>
      <c r="AD127" s="111" t="s">
        <v>2727</v>
      </c>
      <c r="AE127" s="111" t="s">
        <v>2728</v>
      </c>
      <c r="AF127" s="111" t="s">
        <v>2729</v>
      </c>
      <c r="AG127" s="111" t="s">
        <v>2730</v>
      </c>
      <c r="AH127" s="111" t="s">
        <v>2731</v>
      </c>
      <c r="AI127" s="111" t="s">
        <v>2732</v>
      </c>
      <c r="AJ127" s="111" t="s">
        <v>2733</v>
      </c>
      <c r="AK127" s="111" t="s">
        <v>2734</v>
      </c>
      <c r="AL127" s="111" t="s">
        <v>2798</v>
      </c>
      <c r="AM127" s="111" t="s">
        <v>2798</v>
      </c>
      <c r="AN127" s="111" t="s">
        <v>2798</v>
      </c>
      <c r="AO127" s="111" t="s">
        <v>2798</v>
      </c>
      <c r="AP127" s="111" t="s">
        <v>2798</v>
      </c>
      <c r="AQ127" s="111" t="s">
        <v>2798</v>
      </c>
      <c r="AR127" s="111" t="s">
        <v>2798</v>
      </c>
      <c r="AS127" s="111" t="s">
        <v>2798</v>
      </c>
      <c r="AT127" s="111" t="s">
        <v>2798</v>
      </c>
      <c r="AU127" s="111" t="s">
        <v>2798</v>
      </c>
      <c r="AV127" s="111" t="s">
        <v>2798</v>
      </c>
      <c r="AW127" s="111" t="s">
        <v>2798</v>
      </c>
      <c r="AX127" s="111" t="s">
        <v>2798</v>
      </c>
      <c r="AY127" s="111" t="s">
        <v>2798</v>
      </c>
      <c r="AZ127" s="111" t="s">
        <v>2798</v>
      </c>
      <c r="BA127" s="111" t="s">
        <v>2798</v>
      </c>
      <c r="BB127" s="111" t="s">
        <v>2798</v>
      </c>
      <c r="BC127" s="111" t="s">
        <v>2798</v>
      </c>
      <c r="BD127" s="111" t="s">
        <v>2798</v>
      </c>
      <c r="BE127" s="111" t="s">
        <v>2798</v>
      </c>
      <c r="BF127" s="111" t="s">
        <v>2798</v>
      </c>
      <c r="BG127" s="111" t="s">
        <v>2798</v>
      </c>
      <c r="BH127" s="111" t="s">
        <v>2798</v>
      </c>
      <c r="BI127" s="111" t="s">
        <v>2798</v>
      </c>
      <c r="BJ127" s="111" t="s">
        <v>2798</v>
      </c>
      <c r="BK127" s="111" t="s">
        <v>2798</v>
      </c>
      <c r="BL127" s="111" t="s">
        <v>2798</v>
      </c>
      <c r="BM127" s="111" t="s">
        <v>2798</v>
      </c>
      <c r="BN127" s="111" t="s">
        <v>2798</v>
      </c>
      <c r="BO127" s="111" t="s">
        <v>2798</v>
      </c>
      <c r="BP127" s="111" t="s">
        <v>2798</v>
      </c>
      <c r="BQ127" s="111" t="s">
        <v>2798</v>
      </c>
      <c r="BR127" s="111" t="s">
        <v>2798</v>
      </c>
      <c r="BS127" s="111" t="s">
        <v>2798</v>
      </c>
      <c r="BT127" s="111" t="s">
        <v>2798</v>
      </c>
      <c r="BU127" s="111" t="s">
        <v>2798</v>
      </c>
      <c r="BV127" s="111" t="s">
        <v>2798</v>
      </c>
      <c r="BW127" s="111" t="s">
        <v>2798</v>
      </c>
      <c r="BX127" s="111" t="s">
        <v>2798</v>
      </c>
      <c r="BY127" s="111" t="s">
        <v>2798</v>
      </c>
      <c r="BZ127" s="111" t="s">
        <v>2798</v>
      </c>
      <c r="CA127" s="111" t="s">
        <v>2798</v>
      </c>
      <c r="CB127" s="111" t="s">
        <v>2798</v>
      </c>
      <c r="CC127" s="111" t="s">
        <v>2798</v>
      </c>
      <c r="CD127" s="111" t="s">
        <v>2798</v>
      </c>
      <c r="CE127" s="111" t="s">
        <v>2798</v>
      </c>
      <c r="CF127" s="111" t="s">
        <v>2798</v>
      </c>
      <c r="CG127" s="111" t="s">
        <v>2798</v>
      </c>
      <c r="CH127" s="111" t="s">
        <v>2798</v>
      </c>
      <c r="CI127" s="111" t="s">
        <v>2798</v>
      </c>
      <c r="CJ127" s="111" t="s">
        <v>2798</v>
      </c>
      <c r="CK127" s="111" t="s">
        <v>2798</v>
      </c>
      <c r="CL127" s="111" t="s">
        <v>2798</v>
      </c>
      <c r="CM127" s="111" t="s">
        <v>2798</v>
      </c>
      <c r="CN127" s="111" t="s">
        <v>2798</v>
      </c>
      <c r="CO127" s="111" t="s">
        <v>2798</v>
      </c>
      <c r="CP127" s="111" t="s">
        <v>2798</v>
      </c>
      <c r="CQ127" s="111" t="s">
        <v>2798</v>
      </c>
    </row>
    <row r="128" spans="2:95" ht="14.25" customHeight="1">
      <c r="B128" s="106" t="s">
        <v>835</v>
      </c>
      <c r="C128" s="106" t="s">
        <v>2917</v>
      </c>
      <c r="D128" s="109">
        <v>12775.199000000001</v>
      </c>
      <c r="E128" s="106" t="s">
        <v>2375</v>
      </c>
      <c r="F128" s="110">
        <v>40.293999999999869</v>
      </c>
      <c r="G128" s="106" t="s">
        <v>2795</v>
      </c>
      <c r="H128" s="102">
        <v>0</v>
      </c>
      <c r="I128" s="102">
        <v>0</v>
      </c>
      <c r="J128" s="111" t="s">
        <v>2798</v>
      </c>
      <c r="K128" s="111" t="s">
        <v>2798</v>
      </c>
      <c r="L128" s="111" t="s">
        <v>2798</v>
      </c>
      <c r="M128" s="111" t="s">
        <v>2798</v>
      </c>
      <c r="N128" s="111" t="s">
        <v>2798</v>
      </c>
      <c r="O128" s="111" t="s">
        <v>2798</v>
      </c>
      <c r="P128" s="111" t="s">
        <v>2798</v>
      </c>
      <c r="Q128" s="111" t="s">
        <v>2798</v>
      </c>
      <c r="R128" s="111" t="s">
        <v>2798</v>
      </c>
      <c r="S128" s="111" t="s">
        <v>2798</v>
      </c>
      <c r="T128" s="111" t="s">
        <v>2798</v>
      </c>
      <c r="U128" s="111" t="s">
        <v>2798</v>
      </c>
      <c r="V128" s="111" t="s">
        <v>2798</v>
      </c>
      <c r="W128" s="111" t="s">
        <v>2798</v>
      </c>
      <c r="X128" s="111" t="s">
        <v>2798</v>
      </c>
      <c r="Y128" s="111" t="s">
        <v>2798</v>
      </c>
      <c r="Z128" s="111" t="s">
        <v>2798</v>
      </c>
      <c r="AA128" s="111" t="s">
        <v>2798</v>
      </c>
      <c r="AB128" s="111" t="s">
        <v>2798</v>
      </c>
      <c r="AC128" s="111" t="s">
        <v>2798</v>
      </c>
      <c r="AD128" s="111" t="s">
        <v>2798</v>
      </c>
      <c r="AE128" s="111" t="s">
        <v>2798</v>
      </c>
      <c r="AF128" s="111" t="s">
        <v>2798</v>
      </c>
      <c r="AG128" s="111" t="s">
        <v>2798</v>
      </c>
      <c r="AH128" s="111" t="s">
        <v>2798</v>
      </c>
      <c r="AI128" s="111" t="s">
        <v>2798</v>
      </c>
      <c r="AJ128" s="111" t="s">
        <v>2798</v>
      </c>
      <c r="AK128" s="111" t="s">
        <v>2798</v>
      </c>
      <c r="AL128" s="111" t="s">
        <v>2735</v>
      </c>
      <c r="AM128" s="111" t="s">
        <v>2736</v>
      </c>
      <c r="AN128" s="111" t="s">
        <v>2737</v>
      </c>
      <c r="AO128" s="111" t="s">
        <v>2738</v>
      </c>
      <c r="AP128" s="111" t="s">
        <v>2739</v>
      </c>
      <c r="AQ128" s="111" t="s">
        <v>2740</v>
      </c>
      <c r="AR128" s="111" t="s">
        <v>2741</v>
      </c>
      <c r="AS128" s="111" t="s">
        <v>2798</v>
      </c>
      <c r="AT128" s="111" t="s">
        <v>2798</v>
      </c>
      <c r="AU128" s="111" t="s">
        <v>2798</v>
      </c>
      <c r="AV128" s="111" t="s">
        <v>2798</v>
      </c>
      <c r="AW128" s="111" t="s">
        <v>2798</v>
      </c>
      <c r="AX128" s="111" t="s">
        <v>2798</v>
      </c>
      <c r="AY128" s="111" t="s">
        <v>2798</v>
      </c>
      <c r="AZ128" s="111" t="s">
        <v>2798</v>
      </c>
      <c r="BA128" s="111" t="s">
        <v>2798</v>
      </c>
      <c r="BB128" s="111" t="s">
        <v>2798</v>
      </c>
      <c r="BC128" s="111" t="s">
        <v>2798</v>
      </c>
      <c r="BD128" s="111" t="s">
        <v>2798</v>
      </c>
      <c r="BE128" s="111" t="s">
        <v>2798</v>
      </c>
      <c r="BF128" s="111" t="s">
        <v>2798</v>
      </c>
      <c r="BG128" s="111" t="s">
        <v>2798</v>
      </c>
      <c r="BH128" s="111" t="s">
        <v>2757</v>
      </c>
      <c r="BI128" s="111" t="s">
        <v>2758</v>
      </c>
      <c r="BJ128" s="111" t="s">
        <v>2759</v>
      </c>
      <c r="BK128" s="111" t="s">
        <v>2760</v>
      </c>
      <c r="BL128" s="111" t="s">
        <v>2761</v>
      </c>
      <c r="BM128" s="111" t="s">
        <v>2762</v>
      </c>
      <c r="BN128" s="111" t="s">
        <v>2763</v>
      </c>
      <c r="BO128" s="111" t="s">
        <v>2798</v>
      </c>
      <c r="BP128" s="111" t="s">
        <v>2798</v>
      </c>
      <c r="BQ128" s="111" t="s">
        <v>2798</v>
      </c>
      <c r="BR128" s="111" t="s">
        <v>2798</v>
      </c>
      <c r="BS128" s="111" t="s">
        <v>2798</v>
      </c>
      <c r="BT128" s="111" t="s">
        <v>2798</v>
      </c>
      <c r="BU128" s="111" t="s">
        <v>2798</v>
      </c>
      <c r="BV128" s="111" t="s">
        <v>2798</v>
      </c>
      <c r="BW128" s="111" t="s">
        <v>2798</v>
      </c>
      <c r="BX128" s="111" t="s">
        <v>2798</v>
      </c>
      <c r="BY128" s="111" t="s">
        <v>2798</v>
      </c>
      <c r="BZ128" s="111" t="s">
        <v>2798</v>
      </c>
      <c r="CA128" s="111" t="s">
        <v>2798</v>
      </c>
      <c r="CB128" s="111" t="s">
        <v>2798</v>
      </c>
      <c r="CC128" s="111" t="s">
        <v>2798</v>
      </c>
      <c r="CD128" s="111" t="s">
        <v>2798</v>
      </c>
      <c r="CE128" s="111" t="s">
        <v>2798</v>
      </c>
      <c r="CF128" s="111" t="s">
        <v>2798</v>
      </c>
      <c r="CG128" s="111" t="s">
        <v>2798</v>
      </c>
      <c r="CH128" s="111" t="s">
        <v>2798</v>
      </c>
      <c r="CI128" s="111" t="s">
        <v>2798</v>
      </c>
      <c r="CJ128" s="111" t="s">
        <v>2798</v>
      </c>
      <c r="CK128" s="111" t="s">
        <v>2798</v>
      </c>
      <c r="CL128" s="111" t="s">
        <v>2798</v>
      </c>
      <c r="CM128" s="111" t="s">
        <v>2798</v>
      </c>
      <c r="CN128" s="111" t="s">
        <v>2798</v>
      </c>
      <c r="CO128" s="111" t="s">
        <v>2798</v>
      </c>
      <c r="CP128" s="111" t="s">
        <v>2798</v>
      </c>
      <c r="CQ128" s="111" t="s">
        <v>2798</v>
      </c>
    </row>
    <row r="129" spans="2:95" ht="14.25" customHeight="1">
      <c r="B129" s="106" t="s">
        <v>836</v>
      </c>
      <c r="C129" s="106" t="s">
        <v>2918</v>
      </c>
      <c r="D129" s="109">
        <v>12816.182000000001</v>
      </c>
      <c r="E129" s="106" t="s">
        <v>2375</v>
      </c>
      <c r="F129" s="110">
        <v>40.983000000000175</v>
      </c>
      <c r="G129" s="106" t="s">
        <v>2795</v>
      </c>
      <c r="H129" s="102">
        <v>0</v>
      </c>
      <c r="I129" s="102">
        <v>0</v>
      </c>
      <c r="J129" s="111" t="s">
        <v>2798</v>
      </c>
      <c r="K129" s="111" t="s">
        <v>2798</v>
      </c>
      <c r="L129" s="111" t="s">
        <v>2798</v>
      </c>
      <c r="M129" s="111" t="s">
        <v>2798</v>
      </c>
      <c r="N129" s="111" t="s">
        <v>2798</v>
      </c>
      <c r="O129" s="111" t="s">
        <v>2798</v>
      </c>
      <c r="P129" s="111" t="s">
        <v>2798</v>
      </c>
      <c r="Q129" s="111" t="s">
        <v>2798</v>
      </c>
      <c r="R129" s="111" t="s">
        <v>2798</v>
      </c>
      <c r="S129" s="111" t="s">
        <v>2798</v>
      </c>
      <c r="T129" s="111" t="s">
        <v>2798</v>
      </c>
      <c r="U129" s="111" t="s">
        <v>2798</v>
      </c>
      <c r="V129" s="111" t="s">
        <v>2798</v>
      </c>
      <c r="W129" s="111" t="s">
        <v>2798</v>
      </c>
      <c r="X129" s="111" t="s">
        <v>2798</v>
      </c>
      <c r="Y129" s="111" t="s">
        <v>2798</v>
      </c>
      <c r="Z129" s="111" t="s">
        <v>2798</v>
      </c>
      <c r="AA129" s="111" t="s">
        <v>2798</v>
      </c>
      <c r="AB129" s="111" t="s">
        <v>2798</v>
      </c>
      <c r="AC129" s="111" t="s">
        <v>2798</v>
      </c>
      <c r="AD129" s="111" t="s">
        <v>2798</v>
      </c>
      <c r="AE129" s="111" t="s">
        <v>2798</v>
      </c>
      <c r="AF129" s="111" t="s">
        <v>2798</v>
      </c>
      <c r="AG129" s="111" t="s">
        <v>2798</v>
      </c>
      <c r="AH129" s="111" t="s">
        <v>2798</v>
      </c>
      <c r="AI129" s="111" t="s">
        <v>2798</v>
      </c>
      <c r="AJ129" s="111" t="s">
        <v>2798</v>
      </c>
      <c r="AK129" s="111" t="s">
        <v>2798</v>
      </c>
      <c r="AL129" s="111" t="s">
        <v>2798</v>
      </c>
      <c r="AM129" s="111" t="s">
        <v>2798</v>
      </c>
      <c r="AN129" s="111" t="s">
        <v>2798</v>
      </c>
      <c r="AO129" s="111" t="s">
        <v>2798</v>
      </c>
      <c r="AP129" s="111" t="s">
        <v>2798</v>
      </c>
      <c r="AQ129" s="111" t="s">
        <v>2798</v>
      </c>
      <c r="AR129" s="111" t="s">
        <v>2798</v>
      </c>
      <c r="AS129" s="111" t="s">
        <v>2798</v>
      </c>
      <c r="AT129" s="111" t="s">
        <v>2798</v>
      </c>
      <c r="AU129" s="111" t="s">
        <v>2798</v>
      </c>
      <c r="AV129" s="111" t="s">
        <v>2798</v>
      </c>
      <c r="AW129" s="111" t="s">
        <v>2798</v>
      </c>
      <c r="AX129" s="111" t="s">
        <v>2798</v>
      </c>
      <c r="AY129" s="111" t="s">
        <v>2798</v>
      </c>
      <c r="AZ129" s="111" t="s">
        <v>2798</v>
      </c>
      <c r="BA129" s="111" t="s">
        <v>2798</v>
      </c>
      <c r="BB129" s="111" t="s">
        <v>2798</v>
      </c>
      <c r="BC129" s="111" t="s">
        <v>2798</v>
      </c>
      <c r="BD129" s="111" t="s">
        <v>2798</v>
      </c>
      <c r="BE129" s="111" t="s">
        <v>2798</v>
      </c>
      <c r="BF129" s="111" t="s">
        <v>2798</v>
      </c>
      <c r="BG129" s="111" t="s">
        <v>2798</v>
      </c>
      <c r="BH129" s="111" t="s">
        <v>2798</v>
      </c>
      <c r="BI129" s="111" t="s">
        <v>2798</v>
      </c>
      <c r="BJ129" s="111" t="s">
        <v>2798</v>
      </c>
      <c r="BK129" s="111" t="s">
        <v>2798</v>
      </c>
      <c r="BL129" s="111" t="s">
        <v>2798</v>
      </c>
      <c r="BM129" s="111" t="s">
        <v>2798</v>
      </c>
      <c r="BN129" s="111" t="s">
        <v>2798</v>
      </c>
      <c r="BO129" s="111" t="s">
        <v>2764</v>
      </c>
      <c r="BP129" s="111" t="s">
        <v>2765</v>
      </c>
      <c r="BQ129" s="111" t="s">
        <v>2766</v>
      </c>
      <c r="BR129" s="111" t="s">
        <v>2767</v>
      </c>
      <c r="BS129" s="111" t="s">
        <v>2768</v>
      </c>
      <c r="BT129" s="111" t="s">
        <v>2769</v>
      </c>
      <c r="BU129" s="111" t="s">
        <v>2770</v>
      </c>
      <c r="BV129" s="111" t="s">
        <v>2771</v>
      </c>
      <c r="BW129" s="111" t="s">
        <v>2772</v>
      </c>
      <c r="BX129" s="111" t="s">
        <v>2773</v>
      </c>
      <c r="BY129" s="111" t="s">
        <v>2774</v>
      </c>
      <c r="BZ129" s="111" t="s">
        <v>2775</v>
      </c>
      <c r="CA129" s="111" t="s">
        <v>2776</v>
      </c>
      <c r="CB129" s="111" t="s">
        <v>2777</v>
      </c>
      <c r="CC129" s="111" t="s">
        <v>2798</v>
      </c>
      <c r="CD129" s="111" t="s">
        <v>2798</v>
      </c>
      <c r="CE129" s="111" t="s">
        <v>2798</v>
      </c>
      <c r="CF129" s="111" t="s">
        <v>2798</v>
      </c>
      <c r="CG129" s="111" t="s">
        <v>2798</v>
      </c>
      <c r="CH129" s="111" t="s">
        <v>2798</v>
      </c>
      <c r="CI129" s="111" t="s">
        <v>2798</v>
      </c>
      <c r="CJ129" s="111" t="s">
        <v>2798</v>
      </c>
      <c r="CK129" s="111" t="s">
        <v>2798</v>
      </c>
      <c r="CL129" s="111" t="s">
        <v>2798</v>
      </c>
      <c r="CM129" s="111" t="s">
        <v>2798</v>
      </c>
      <c r="CN129" s="111" t="s">
        <v>2798</v>
      </c>
      <c r="CO129" s="111" t="s">
        <v>2798</v>
      </c>
      <c r="CP129" s="111" t="s">
        <v>2798</v>
      </c>
      <c r="CQ129" s="111" t="s">
        <v>2798</v>
      </c>
    </row>
    <row r="130" spans="2:95" ht="14.25" customHeight="1">
      <c r="B130" s="106" t="s">
        <v>837</v>
      </c>
      <c r="C130" s="106" t="s">
        <v>2919</v>
      </c>
      <c r="D130" s="109">
        <v>12857.449000000001</v>
      </c>
      <c r="E130" s="106" t="s">
        <v>2375</v>
      </c>
      <c r="F130" s="110">
        <v>41.266999999999825</v>
      </c>
      <c r="G130" s="106" t="s">
        <v>2793</v>
      </c>
      <c r="H130" s="102">
        <v>0</v>
      </c>
      <c r="I130" s="102">
        <v>0</v>
      </c>
      <c r="J130" s="111" t="s">
        <v>2798</v>
      </c>
      <c r="K130" s="111" t="s">
        <v>2798</v>
      </c>
      <c r="L130" s="111" t="s">
        <v>2798</v>
      </c>
      <c r="M130" s="111" t="s">
        <v>2798</v>
      </c>
      <c r="N130" s="111" t="s">
        <v>2798</v>
      </c>
      <c r="O130" s="111" t="s">
        <v>2798</v>
      </c>
      <c r="P130" s="111" t="s">
        <v>2798</v>
      </c>
      <c r="Q130" s="111" t="s">
        <v>2798</v>
      </c>
      <c r="R130" s="111" t="s">
        <v>2798</v>
      </c>
      <c r="S130" s="111" t="s">
        <v>2798</v>
      </c>
      <c r="T130" s="111" t="s">
        <v>2798</v>
      </c>
      <c r="U130" s="111" t="s">
        <v>2798</v>
      </c>
      <c r="V130" s="111" t="s">
        <v>2798</v>
      </c>
      <c r="W130" s="111" t="s">
        <v>2798</v>
      </c>
      <c r="X130" s="111" t="s">
        <v>2798</v>
      </c>
      <c r="Y130" s="111" t="s">
        <v>2798</v>
      </c>
      <c r="Z130" s="111" t="s">
        <v>2798</v>
      </c>
      <c r="AA130" s="111" t="s">
        <v>2798</v>
      </c>
      <c r="AB130" s="111" t="s">
        <v>2798</v>
      </c>
      <c r="AC130" s="111" t="s">
        <v>2798</v>
      </c>
      <c r="AD130" s="111" t="s">
        <v>2798</v>
      </c>
      <c r="AE130" s="111" t="s">
        <v>2798</v>
      </c>
      <c r="AF130" s="111" t="s">
        <v>2798</v>
      </c>
      <c r="AG130" s="111" t="s">
        <v>2798</v>
      </c>
      <c r="AH130" s="111" t="s">
        <v>2798</v>
      </c>
      <c r="AI130" s="111" t="s">
        <v>2798</v>
      </c>
      <c r="AJ130" s="111" t="s">
        <v>2798</v>
      </c>
      <c r="AK130" s="111" t="s">
        <v>2798</v>
      </c>
      <c r="AL130" s="111" t="s">
        <v>2798</v>
      </c>
      <c r="AM130" s="111" t="s">
        <v>2798</v>
      </c>
      <c r="AN130" s="111" t="s">
        <v>2798</v>
      </c>
      <c r="AO130" s="111" t="s">
        <v>2798</v>
      </c>
      <c r="AP130" s="111" t="s">
        <v>2798</v>
      </c>
      <c r="AQ130" s="111" t="s">
        <v>2798</v>
      </c>
      <c r="AR130" s="111" t="s">
        <v>2798</v>
      </c>
      <c r="AS130" s="111" t="s">
        <v>2798</v>
      </c>
      <c r="AT130" s="111" t="s">
        <v>2798</v>
      </c>
      <c r="AU130" s="111" t="s">
        <v>2798</v>
      </c>
      <c r="AV130" s="111" t="s">
        <v>2798</v>
      </c>
      <c r="AW130" s="111" t="s">
        <v>2798</v>
      </c>
      <c r="AX130" s="111" t="s">
        <v>2798</v>
      </c>
      <c r="AY130" s="111" t="s">
        <v>2798</v>
      </c>
      <c r="AZ130" s="111" t="s">
        <v>2798</v>
      </c>
      <c r="BA130" s="111" t="s">
        <v>2798</v>
      </c>
      <c r="BB130" s="111" t="s">
        <v>2798</v>
      </c>
      <c r="BC130" s="111" t="s">
        <v>2798</v>
      </c>
      <c r="BD130" s="111" t="s">
        <v>2798</v>
      </c>
      <c r="BE130" s="111" t="s">
        <v>2798</v>
      </c>
      <c r="BF130" s="111" t="s">
        <v>2798</v>
      </c>
      <c r="BG130" s="111" t="s">
        <v>2798</v>
      </c>
      <c r="BH130" s="111" t="s">
        <v>2798</v>
      </c>
      <c r="BI130" s="111" t="s">
        <v>2798</v>
      </c>
      <c r="BJ130" s="111" t="s">
        <v>2798</v>
      </c>
      <c r="BK130" s="111" t="s">
        <v>2798</v>
      </c>
      <c r="BL130" s="111" t="s">
        <v>2798</v>
      </c>
      <c r="BM130" s="111" t="s">
        <v>2798</v>
      </c>
      <c r="BN130" s="111" t="s">
        <v>2798</v>
      </c>
      <c r="BO130" s="111" t="s">
        <v>2798</v>
      </c>
      <c r="BP130" s="111" t="s">
        <v>2798</v>
      </c>
      <c r="BQ130" s="111" t="s">
        <v>2798</v>
      </c>
      <c r="BR130" s="111" t="s">
        <v>2798</v>
      </c>
      <c r="BS130" s="111" t="s">
        <v>2798</v>
      </c>
      <c r="BT130" s="111" t="s">
        <v>2798</v>
      </c>
      <c r="BU130" s="111" t="s">
        <v>2798</v>
      </c>
      <c r="BV130" s="111" t="s">
        <v>2798</v>
      </c>
      <c r="BW130" s="111" t="s">
        <v>2798</v>
      </c>
      <c r="BX130" s="111" t="s">
        <v>2798</v>
      </c>
      <c r="BY130" s="111" t="s">
        <v>2798</v>
      </c>
      <c r="BZ130" s="111" t="s">
        <v>2798</v>
      </c>
      <c r="CA130" s="111" t="s">
        <v>2798</v>
      </c>
      <c r="CB130" s="111" t="s">
        <v>2798</v>
      </c>
      <c r="CC130" s="111" t="s">
        <v>2778</v>
      </c>
      <c r="CD130" s="111" t="s">
        <v>2779</v>
      </c>
      <c r="CE130" s="111" t="s">
        <v>2780</v>
      </c>
      <c r="CF130" s="111" t="s">
        <v>2781</v>
      </c>
      <c r="CG130" s="111" t="s">
        <v>2782</v>
      </c>
      <c r="CH130" s="111" t="s">
        <v>2783</v>
      </c>
      <c r="CI130" s="111" t="s">
        <v>2798</v>
      </c>
      <c r="CJ130" s="111" t="s">
        <v>2785</v>
      </c>
      <c r="CK130" s="111" t="s">
        <v>2786</v>
      </c>
      <c r="CL130" s="111" t="s">
        <v>2787</v>
      </c>
      <c r="CM130" s="111" t="s">
        <v>2788</v>
      </c>
      <c r="CN130" s="111" t="s">
        <v>2789</v>
      </c>
      <c r="CO130" s="111" t="s">
        <v>2790</v>
      </c>
      <c r="CP130" s="111" t="s">
        <v>2791</v>
      </c>
      <c r="CQ130" s="111" t="s">
        <v>2792</v>
      </c>
    </row>
    <row r="131" spans="2:95" ht="14.25" customHeight="1">
      <c r="B131" s="106" t="s">
        <v>838</v>
      </c>
      <c r="C131" s="106" t="s">
        <v>2920</v>
      </c>
      <c r="D131" s="109">
        <v>12907.449000000001</v>
      </c>
      <c r="E131" s="106" t="s">
        <v>2396</v>
      </c>
      <c r="F131" s="110">
        <v>50</v>
      </c>
      <c r="G131" s="106" t="s">
        <v>2795</v>
      </c>
      <c r="H131" s="102">
        <v>0</v>
      </c>
      <c r="I131" s="102">
        <v>0</v>
      </c>
      <c r="J131" s="111" t="s">
        <v>87</v>
      </c>
      <c r="K131" s="111" t="s">
        <v>2708</v>
      </c>
      <c r="L131" s="111" t="s">
        <v>2709</v>
      </c>
      <c r="M131" s="111" t="s">
        <v>2710</v>
      </c>
      <c r="N131" s="111" t="s">
        <v>2711</v>
      </c>
      <c r="O131" s="111" t="s">
        <v>2712</v>
      </c>
      <c r="P131" s="111" t="s">
        <v>2713</v>
      </c>
      <c r="Q131" s="111" t="s">
        <v>2714</v>
      </c>
      <c r="R131" s="111" t="s">
        <v>2715</v>
      </c>
      <c r="S131" s="111" t="s">
        <v>2716</v>
      </c>
      <c r="T131" s="111" t="s">
        <v>2717</v>
      </c>
      <c r="U131" s="111" t="s">
        <v>2718</v>
      </c>
      <c r="V131" s="111" t="s">
        <v>2719</v>
      </c>
      <c r="W131" s="111" t="s">
        <v>2720</v>
      </c>
      <c r="X131" s="111" t="s">
        <v>2721</v>
      </c>
      <c r="Y131" s="111" t="s">
        <v>2722</v>
      </c>
      <c r="Z131" s="111" t="s">
        <v>2723</v>
      </c>
      <c r="AA131" s="111" t="s">
        <v>2798</v>
      </c>
      <c r="AB131" s="111" t="s">
        <v>2798</v>
      </c>
      <c r="AC131" s="111" t="s">
        <v>2798</v>
      </c>
      <c r="AD131" s="111" t="s">
        <v>2798</v>
      </c>
      <c r="AE131" s="111" t="s">
        <v>2798</v>
      </c>
      <c r="AF131" s="111" t="s">
        <v>2798</v>
      </c>
      <c r="AG131" s="111" t="s">
        <v>2798</v>
      </c>
      <c r="AH131" s="111" t="s">
        <v>2798</v>
      </c>
      <c r="AI131" s="111" t="s">
        <v>2798</v>
      </c>
      <c r="AJ131" s="111" t="s">
        <v>2798</v>
      </c>
      <c r="AK131" s="111" t="s">
        <v>2798</v>
      </c>
      <c r="AL131" s="111" t="s">
        <v>2798</v>
      </c>
      <c r="AM131" s="111" t="s">
        <v>2798</v>
      </c>
      <c r="AN131" s="111" t="s">
        <v>2798</v>
      </c>
      <c r="AO131" s="111" t="s">
        <v>2798</v>
      </c>
      <c r="AP131" s="111" t="s">
        <v>2798</v>
      </c>
      <c r="AQ131" s="111" t="s">
        <v>2798</v>
      </c>
      <c r="AR131" s="111" t="s">
        <v>2798</v>
      </c>
      <c r="AS131" s="111" t="s">
        <v>2798</v>
      </c>
      <c r="AT131" s="111" t="s">
        <v>2798</v>
      </c>
      <c r="AU131" s="111" t="s">
        <v>2798</v>
      </c>
      <c r="AV131" s="111" t="s">
        <v>2798</v>
      </c>
      <c r="AW131" s="111" t="s">
        <v>2798</v>
      </c>
      <c r="AX131" s="111" t="s">
        <v>2798</v>
      </c>
      <c r="AY131" s="111" t="s">
        <v>2798</v>
      </c>
      <c r="AZ131" s="111" t="s">
        <v>2798</v>
      </c>
      <c r="BA131" s="111" t="s">
        <v>2798</v>
      </c>
      <c r="BB131" s="111" t="s">
        <v>2798</v>
      </c>
      <c r="BC131" s="111" t="s">
        <v>2798</v>
      </c>
      <c r="BD131" s="111" t="s">
        <v>2798</v>
      </c>
      <c r="BE131" s="111" t="s">
        <v>2798</v>
      </c>
      <c r="BF131" s="111" t="s">
        <v>2798</v>
      </c>
      <c r="BG131" s="111" t="s">
        <v>2798</v>
      </c>
      <c r="BH131" s="111" t="s">
        <v>2798</v>
      </c>
      <c r="BI131" s="111" t="s">
        <v>2798</v>
      </c>
      <c r="BJ131" s="111" t="s">
        <v>2798</v>
      </c>
      <c r="BK131" s="111" t="s">
        <v>2798</v>
      </c>
      <c r="BL131" s="111" t="s">
        <v>2798</v>
      </c>
      <c r="BM131" s="111" t="s">
        <v>2798</v>
      </c>
      <c r="BN131" s="111" t="s">
        <v>2798</v>
      </c>
      <c r="BO131" s="111" t="s">
        <v>2798</v>
      </c>
      <c r="BP131" s="111" t="s">
        <v>2798</v>
      </c>
      <c r="BQ131" s="111" t="s">
        <v>2798</v>
      </c>
      <c r="BR131" s="111" t="s">
        <v>2798</v>
      </c>
      <c r="BS131" s="111" t="s">
        <v>2798</v>
      </c>
      <c r="BT131" s="111" t="s">
        <v>2798</v>
      </c>
      <c r="BU131" s="111" t="s">
        <v>2798</v>
      </c>
      <c r="BV131" s="111" t="s">
        <v>2798</v>
      </c>
      <c r="BW131" s="111" t="s">
        <v>2798</v>
      </c>
      <c r="BX131" s="111" t="s">
        <v>2798</v>
      </c>
      <c r="BY131" s="111" t="s">
        <v>2798</v>
      </c>
      <c r="BZ131" s="111" t="s">
        <v>2798</v>
      </c>
      <c r="CA131" s="111" t="s">
        <v>2798</v>
      </c>
      <c r="CB131" s="111" t="s">
        <v>2798</v>
      </c>
      <c r="CC131" s="111" t="s">
        <v>2798</v>
      </c>
      <c r="CD131" s="111" t="s">
        <v>2798</v>
      </c>
      <c r="CE131" s="111" t="s">
        <v>2798</v>
      </c>
      <c r="CF131" s="111" t="s">
        <v>2798</v>
      </c>
      <c r="CG131" s="111" t="s">
        <v>2798</v>
      </c>
      <c r="CH131" s="111" t="s">
        <v>2798</v>
      </c>
      <c r="CI131" s="111" t="s">
        <v>2798</v>
      </c>
      <c r="CJ131" s="111" t="s">
        <v>2798</v>
      </c>
      <c r="CK131" s="111" t="s">
        <v>2798</v>
      </c>
      <c r="CL131" s="111" t="s">
        <v>2798</v>
      </c>
      <c r="CM131" s="111" t="s">
        <v>2798</v>
      </c>
      <c r="CN131" s="111" t="s">
        <v>2798</v>
      </c>
      <c r="CO131" s="111" t="s">
        <v>2798</v>
      </c>
      <c r="CP131" s="111" t="s">
        <v>2798</v>
      </c>
      <c r="CQ131" s="111" t="s">
        <v>2798</v>
      </c>
    </row>
    <row r="132" spans="2:95" ht="14.25" customHeight="1">
      <c r="B132" s="106" t="s">
        <v>839</v>
      </c>
      <c r="C132" s="106" t="s">
        <v>2921</v>
      </c>
      <c r="D132" s="109">
        <v>12957.449000000001</v>
      </c>
      <c r="E132" s="106" t="s">
        <v>2396</v>
      </c>
      <c r="F132" s="110">
        <v>50</v>
      </c>
      <c r="G132" s="106" t="s">
        <v>2795</v>
      </c>
      <c r="H132" s="102">
        <v>0</v>
      </c>
      <c r="I132" s="102">
        <v>0</v>
      </c>
      <c r="J132" s="111" t="s">
        <v>2798</v>
      </c>
      <c r="K132" s="111" t="s">
        <v>2798</v>
      </c>
      <c r="L132" s="111" t="s">
        <v>2798</v>
      </c>
      <c r="M132" s="111" t="s">
        <v>2798</v>
      </c>
      <c r="N132" s="111" t="s">
        <v>2798</v>
      </c>
      <c r="O132" s="111" t="s">
        <v>2798</v>
      </c>
      <c r="P132" s="111" t="s">
        <v>2798</v>
      </c>
      <c r="Q132" s="111" t="s">
        <v>2798</v>
      </c>
      <c r="R132" s="111" t="s">
        <v>2798</v>
      </c>
      <c r="S132" s="111" t="s">
        <v>2798</v>
      </c>
      <c r="T132" s="111" t="s">
        <v>2798</v>
      </c>
      <c r="U132" s="111" t="s">
        <v>2798</v>
      </c>
      <c r="V132" s="111" t="s">
        <v>2798</v>
      </c>
      <c r="W132" s="111" t="s">
        <v>2798</v>
      </c>
      <c r="X132" s="111" t="s">
        <v>2798</v>
      </c>
      <c r="Y132" s="111" t="s">
        <v>2798</v>
      </c>
      <c r="Z132" s="111" t="s">
        <v>2798</v>
      </c>
      <c r="AA132" s="111" t="s">
        <v>2724</v>
      </c>
      <c r="AB132" s="111" t="s">
        <v>2725</v>
      </c>
      <c r="AC132" s="111" t="s">
        <v>2726</v>
      </c>
      <c r="AD132" s="111" t="s">
        <v>2727</v>
      </c>
      <c r="AE132" s="111" t="s">
        <v>2728</v>
      </c>
      <c r="AF132" s="111" t="s">
        <v>2729</v>
      </c>
      <c r="AG132" s="111" t="s">
        <v>2730</v>
      </c>
      <c r="AH132" s="111" t="s">
        <v>2731</v>
      </c>
      <c r="AI132" s="111" t="s">
        <v>2732</v>
      </c>
      <c r="AJ132" s="111" t="s">
        <v>2733</v>
      </c>
      <c r="AK132" s="111" t="s">
        <v>2734</v>
      </c>
      <c r="AL132" s="111" t="s">
        <v>2735</v>
      </c>
      <c r="AM132" s="111" t="s">
        <v>2736</v>
      </c>
      <c r="AN132" s="111" t="s">
        <v>2737</v>
      </c>
      <c r="AO132" s="111" t="s">
        <v>2738</v>
      </c>
      <c r="AP132" s="111" t="s">
        <v>2739</v>
      </c>
      <c r="AQ132" s="111" t="s">
        <v>2740</v>
      </c>
      <c r="AR132" s="111" t="s">
        <v>2798</v>
      </c>
      <c r="AS132" s="111" t="s">
        <v>2798</v>
      </c>
      <c r="AT132" s="111" t="s">
        <v>2798</v>
      </c>
      <c r="AU132" s="111" t="s">
        <v>2798</v>
      </c>
      <c r="AV132" s="111" t="s">
        <v>2798</v>
      </c>
      <c r="AW132" s="111" t="s">
        <v>2798</v>
      </c>
      <c r="AX132" s="111" t="s">
        <v>2798</v>
      </c>
      <c r="AY132" s="111" t="s">
        <v>2798</v>
      </c>
      <c r="AZ132" s="111" t="s">
        <v>2798</v>
      </c>
      <c r="BA132" s="111" t="s">
        <v>2798</v>
      </c>
      <c r="BB132" s="111" t="s">
        <v>2798</v>
      </c>
      <c r="BC132" s="111" t="s">
        <v>2798</v>
      </c>
      <c r="BD132" s="111" t="s">
        <v>2798</v>
      </c>
      <c r="BE132" s="111" t="s">
        <v>2798</v>
      </c>
      <c r="BF132" s="111" t="s">
        <v>2798</v>
      </c>
      <c r="BG132" s="111" t="s">
        <v>2798</v>
      </c>
      <c r="BH132" s="111" t="s">
        <v>2798</v>
      </c>
      <c r="BI132" s="111" t="s">
        <v>2798</v>
      </c>
      <c r="BJ132" s="111" t="s">
        <v>2798</v>
      </c>
      <c r="BK132" s="111" t="s">
        <v>2798</v>
      </c>
      <c r="BL132" s="111" t="s">
        <v>2798</v>
      </c>
      <c r="BM132" s="111" t="s">
        <v>2798</v>
      </c>
      <c r="BN132" s="111" t="s">
        <v>2798</v>
      </c>
      <c r="BO132" s="111" t="s">
        <v>2798</v>
      </c>
      <c r="BP132" s="111" t="s">
        <v>2798</v>
      </c>
      <c r="BQ132" s="111" t="s">
        <v>2798</v>
      </c>
      <c r="BR132" s="111" t="s">
        <v>2798</v>
      </c>
      <c r="BS132" s="111" t="s">
        <v>2798</v>
      </c>
      <c r="BT132" s="111" t="s">
        <v>2798</v>
      </c>
      <c r="BU132" s="111" t="s">
        <v>2798</v>
      </c>
      <c r="BV132" s="111" t="s">
        <v>2798</v>
      </c>
      <c r="BW132" s="111" t="s">
        <v>2798</v>
      </c>
      <c r="BX132" s="111" t="s">
        <v>2798</v>
      </c>
      <c r="BY132" s="111" t="s">
        <v>2798</v>
      </c>
      <c r="BZ132" s="111" t="s">
        <v>2798</v>
      </c>
      <c r="CA132" s="111" t="s">
        <v>2798</v>
      </c>
      <c r="CB132" s="111" t="s">
        <v>2798</v>
      </c>
      <c r="CC132" s="111" t="s">
        <v>2798</v>
      </c>
      <c r="CD132" s="111" t="s">
        <v>2798</v>
      </c>
      <c r="CE132" s="111" t="s">
        <v>2798</v>
      </c>
      <c r="CF132" s="111" t="s">
        <v>2798</v>
      </c>
      <c r="CG132" s="111" t="s">
        <v>2798</v>
      </c>
      <c r="CH132" s="111" t="s">
        <v>2798</v>
      </c>
      <c r="CI132" s="111" t="s">
        <v>2798</v>
      </c>
      <c r="CJ132" s="111" t="s">
        <v>2798</v>
      </c>
      <c r="CK132" s="111" t="s">
        <v>2798</v>
      </c>
      <c r="CL132" s="111" t="s">
        <v>2798</v>
      </c>
      <c r="CM132" s="111" t="s">
        <v>2798</v>
      </c>
      <c r="CN132" s="111" t="s">
        <v>2798</v>
      </c>
      <c r="CO132" s="111" t="s">
        <v>2798</v>
      </c>
      <c r="CP132" s="111" t="s">
        <v>2798</v>
      </c>
      <c r="CQ132" s="111" t="s">
        <v>2798</v>
      </c>
    </row>
    <row r="133" spans="2:95" ht="14.25" customHeight="1">
      <c r="B133" s="106" t="s">
        <v>840</v>
      </c>
      <c r="C133" s="106" t="s">
        <v>2922</v>
      </c>
      <c r="D133" s="109">
        <v>13007.449000000001</v>
      </c>
      <c r="E133" s="106" t="s">
        <v>2396</v>
      </c>
      <c r="F133" s="110">
        <v>50</v>
      </c>
      <c r="G133" s="106" t="s">
        <v>2795</v>
      </c>
      <c r="H133" s="102">
        <v>0</v>
      </c>
      <c r="I133" s="102">
        <v>0</v>
      </c>
      <c r="J133" s="111" t="s">
        <v>2798</v>
      </c>
      <c r="K133" s="111" t="s">
        <v>2798</v>
      </c>
      <c r="L133" s="111" t="s">
        <v>2798</v>
      </c>
      <c r="M133" s="111" t="s">
        <v>2798</v>
      </c>
      <c r="N133" s="111" t="s">
        <v>2798</v>
      </c>
      <c r="O133" s="111" t="s">
        <v>2798</v>
      </c>
      <c r="P133" s="111" t="s">
        <v>2798</v>
      </c>
      <c r="Q133" s="111" t="s">
        <v>2798</v>
      </c>
      <c r="R133" s="111" t="s">
        <v>2798</v>
      </c>
      <c r="S133" s="111" t="s">
        <v>2798</v>
      </c>
      <c r="T133" s="111" t="s">
        <v>2798</v>
      </c>
      <c r="U133" s="111" t="s">
        <v>2798</v>
      </c>
      <c r="V133" s="111" t="s">
        <v>2798</v>
      </c>
      <c r="W133" s="111" t="s">
        <v>2798</v>
      </c>
      <c r="X133" s="111" t="s">
        <v>2798</v>
      </c>
      <c r="Y133" s="111" t="s">
        <v>2798</v>
      </c>
      <c r="Z133" s="111" t="s">
        <v>2798</v>
      </c>
      <c r="AA133" s="111" t="s">
        <v>2798</v>
      </c>
      <c r="AB133" s="111" t="s">
        <v>2798</v>
      </c>
      <c r="AC133" s="111" t="s">
        <v>2798</v>
      </c>
      <c r="AD133" s="111" t="s">
        <v>2798</v>
      </c>
      <c r="AE133" s="111" t="s">
        <v>2798</v>
      </c>
      <c r="AF133" s="111" t="s">
        <v>2798</v>
      </c>
      <c r="AG133" s="111" t="s">
        <v>2798</v>
      </c>
      <c r="AH133" s="111" t="s">
        <v>2798</v>
      </c>
      <c r="AI133" s="111" t="s">
        <v>2798</v>
      </c>
      <c r="AJ133" s="111" t="s">
        <v>2798</v>
      </c>
      <c r="AK133" s="111" t="s">
        <v>2798</v>
      </c>
      <c r="AL133" s="111" t="s">
        <v>2798</v>
      </c>
      <c r="AM133" s="111" t="s">
        <v>2798</v>
      </c>
      <c r="AN133" s="111" t="s">
        <v>2798</v>
      </c>
      <c r="AO133" s="111" t="s">
        <v>2798</v>
      </c>
      <c r="AP133" s="111" t="s">
        <v>2798</v>
      </c>
      <c r="AQ133" s="111" t="s">
        <v>2798</v>
      </c>
      <c r="AR133" s="111" t="s">
        <v>2741</v>
      </c>
      <c r="AS133" s="111" t="s">
        <v>2742</v>
      </c>
      <c r="AT133" s="111" t="s">
        <v>2743</v>
      </c>
      <c r="AU133" s="111" t="s">
        <v>2744</v>
      </c>
      <c r="AV133" s="111" t="s">
        <v>2745</v>
      </c>
      <c r="AW133" s="111" t="s">
        <v>2746</v>
      </c>
      <c r="AX133" s="111" t="s">
        <v>2747</v>
      </c>
      <c r="AY133" s="111" t="s">
        <v>2748</v>
      </c>
      <c r="AZ133" s="111" t="s">
        <v>2749</v>
      </c>
      <c r="BA133" s="111" t="s">
        <v>2750</v>
      </c>
      <c r="BB133" s="111" t="s">
        <v>2751</v>
      </c>
      <c r="BC133" s="111" t="s">
        <v>2752</v>
      </c>
      <c r="BD133" s="111" t="s">
        <v>2753</v>
      </c>
      <c r="BE133" s="111" t="s">
        <v>2754</v>
      </c>
      <c r="BF133" s="111" t="s">
        <v>2755</v>
      </c>
      <c r="BG133" s="111" t="s">
        <v>2756</v>
      </c>
      <c r="BH133" s="111" t="s">
        <v>2757</v>
      </c>
      <c r="BI133" s="111" t="s">
        <v>2798</v>
      </c>
      <c r="BJ133" s="111" t="s">
        <v>2798</v>
      </c>
      <c r="BK133" s="111" t="s">
        <v>2798</v>
      </c>
      <c r="BL133" s="111" t="s">
        <v>2798</v>
      </c>
      <c r="BM133" s="111" t="s">
        <v>2798</v>
      </c>
      <c r="BN133" s="111" t="s">
        <v>2798</v>
      </c>
      <c r="BO133" s="111" t="s">
        <v>2798</v>
      </c>
      <c r="BP133" s="111" t="s">
        <v>2798</v>
      </c>
      <c r="BQ133" s="111" t="s">
        <v>2798</v>
      </c>
      <c r="BR133" s="111" t="s">
        <v>2798</v>
      </c>
      <c r="BS133" s="111" t="s">
        <v>2798</v>
      </c>
      <c r="BT133" s="111" t="s">
        <v>2798</v>
      </c>
      <c r="BU133" s="111" t="s">
        <v>2798</v>
      </c>
      <c r="BV133" s="111" t="s">
        <v>2798</v>
      </c>
      <c r="BW133" s="111" t="s">
        <v>2798</v>
      </c>
      <c r="BX133" s="111" t="s">
        <v>2798</v>
      </c>
      <c r="BY133" s="111" t="s">
        <v>2798</v>
      </c>
      <c r="BZ133" s="111" t="s">
        <v>2798</v>
      </c>
      <c r="CA133" s="111" t="s">
        <v>2798</v>
      </c>
      <c r="CB133" s="111" t="s">
        <v>2798</v>
      </c>
      <c r="CC133" s="111" t="s">
        <v>2798</v>
      </c>
      <c r="CD133" s="111" t="s">
        <v>2798</v>
      </c>
      <c r="CE133" s="111" t="s">
        <v>2798</v>
      </c>
      <c r="CF133" s="111" t="s">
        <v>2798</v>
      </c>
      <c r="CG133" s="111" t="s">
        <v>2798</v>
      </c>
      <c r="CH133" s="111" t="s">
        <v>2798</v>
      </c>
      <c r="CI133" s="111" t="s">
        <v>2798</v>
      </c>
      <c r="CJ133" s="111" t="s">
        <v>2798</v>
      </c>
      <c r="CK133" s="111" t="s">
        <v>2798</v>
      </c>
      <c r="CL133" s="111" t="s">
        <v>2798</v>
      </c>
      <c r="CM133" s="111" t="s">
        <v>2798</v>
      </c>
      <c r="CN133" s="111" t="s">
        <v>2798</v>
      </c>
      <c r="CO133" s="111" t="s">
        <v>2798</v>
      </c>
      <c r="CP133" s="111" t="s">
        <v>2798</v>
      </c>
      <c r="CQ133" s="111" t="s">
        <v>2798</v>
      </c>
    </row>
    <row r="134" spans="2:95" ht="14.25" customHeight="1">
      <c r="B134" s="106" t="s">
        <v>841</v>
      </c>
      <c r="C134" s="106" t="s">
        <v>2923</v>
      </c>
      <c r="D134" s="109">
        <v>13057.449000000001</v>
      </c>
      <c r="E134" s="106" t="s">
        <v>2396</v>
      </c>
      <c r="F134" s="110">
        <v>50</v>
      </c>
      <c r="G134" s="106" t="s">
        <v>2795</v>
      </c>
      <c r="H134" s="102">
        <v>0</v>
      </c>
      <c r="I134" s="102">
        <v>0</v>
      </c>
      <c r="J134" s="111" t="s">
        <v>2798</v>
      </c>
      <c r="K134" s="111" t="s">
        <v>2798</v>
      </c>
      <c r="L134" s="111" t="s">
        <v>2798</v>
      </c>
      <c r="M134" s="111" t="s">
        <v>2798</v>
      </c>
      <c r="N134" s="111" t="s">
        <v>2798</v>
      </c>
      <c r="O134" s="111" t="s">
        <v>2798</v>
      </c>
      <c r="P134" s="111" t="s">
        <v>2798</v>
      </c>
      <c r="Q134" s="111" t="s">
        <v>2798</v>
      </c>
      <c r="R134" s="111" t="s">
        <v>2798</v>
      </c>
      <c r="S134" s="111" t="s">
        <v>2798</v>
      </c>
      <c r="T134" s="111" t="s">
        <v>2798</v>
      </c>
      <c r="U134" s="111" t="s">
        <v>2798</v>
      </c>
      <c r="V134" s="111" t="s">
        <v>2798</v>
      </c>
      <c r="W134" s="111" t="s">
        <v>2798</v>
      </c>
      <c r="X134" s="111" t="s">
        <v>2798</v>
      </c>
      <c r="Y134" s="111" t="s">
        <v>2798</v>
      </c>
      <c r="Z134" s="111" t="s">
        <v>2798</v>
      </c>
      <c r="AA134" s="111" t="s">
        <v>2798</v>
      </c>
      <c r="AB134" s="111" t="s">
        <v>2798</v>
      </c>
      <c r="AC134" s="111" t="s">
        <v>2798</v>
      </c>
      <c r="AD134" s="111" t="s">
        <v>2798</v>
      </c>
      <c r="AE134" s="111" t="s">
        <v>2798</v>
      </c>
      <c r="AF134" s="111" t="s">
        <v>2798</v>
      </c>
      <c r="AG134" s="111" t="s">
        <v>2798</v>
      </c>
      <c r="AH134" s="111" t="s">
        <v>2798</v>
      </c>
      <c r="AI134" s="111" t="s">
        <v>2798</v>
      </c>
      <c r="AJ134" s="111" t="s">
        <v>2798</v>
      </c>
      <c r="AK134" s="111" t="s">
        <v>2798</v>
      </c>
      <c r="AL134" s="111" t="s">
        <v>2798</v>
      </c>
      <c r="AM134" s="111" t="s">
        <v>2798</v>
      </c>
      <c r="AN134" s="111" t="s">
        <v>2798</v>
      </c>
      <c r="AO134" s="111" t="s">
        <v>2798</v>
      </c>
      <c r="AP134" s="111" t="s">
        <v>2798</v>
      </c>
      <c r="AQ134" s="111" t="s">
        <v>2798</v>
      </c>
      <c r="AR134" s="111" t="s">
        <v>2798</v>
      </c>
      <c r="AS134" s="111" t="s">
        <v>2798</v>
      </c>
      <c r="AT134" s="111" t="s">
        <v>2798</v>
      </c>
      <c r="AU134" s="111" t="s">
        <v>2798</v>
      </c>
      <c r="AV134" s="111" t="s">
        <v>2798</v>
      </c>
      <c r="AW134" s="111" t="s">
        <v>2798</v>
      </c>
      <c r="AX134" s="111" t="s">
        <v>2798</v>
      </c>
      <c r="AY134" s="111" t="s">
        <v>2798</v>
      </c>
      <c r="AZ134" s="111" t="s">
        <v>2798</v>
      </c>
      <c r="BA134" s="111" t="s">
        <v>2798</v>
      </c>
      <c r="BB134" s="111" t="s">
        <v>2798</v>
      </c>
      <c r="BC134" s="111" t="s">
        <v>2798</v>
      </c>
      <c r="BD134" s="111" t="s">
        <v>2798</v>
      </c>
      <c r="BE134" s="111" t="s">
        <v>2798</v>
      </c>
      <c r="BF134" s="111" t="s">
        <v>2798</v>
      </c>
      <c r="BG134" s="111" t="s">
        <v>2798</v>
      </c>
      <c r="BH134" s="111" t="s">
        <v>2798</v>
      </c>
      <c r="BI134" s="111" t="s">
        <v>2758</v>
      </c>
      <c r="BJ134" s="111" t="s">
        <v>2759</v>
      </c>
      <c r="BK134" s="111" t="s">
        <v>2760</v>
      </c>
      <c r="BL134" s="111" t="s">
        <v>2761</v>
      </c>
      <c r="BM134" s="111" t="s">
        <v>2762</v>
      </c>
      <c r="BN134" s="111" t="s">
        <v>2763</v>
      </c>
      <c r="BO134" s="111" t="s">
        <v>2764</v>
      </c>
      <c r="BP134" s="111" t="s">
        <v>2765</v>
      </c>
      <c r="BQ134" s="111" t="s">
        <v>2766</v>
      </c>
      <c r="BR134" s="111" t="s">
        <v>2767</v>
      </c>
      <c r="BS134" s="111" t="s">
        <v>2768</v>
      </c>
      <c r="BT134" s="111" t="s">
        <v>2769</v>
      </c>
      <c r="BU134" s="111" t="s">
        <v>2770</v>
      </c>
      <c r="BV134" s="111" t="s">
        <v>2771</v>
      </c>
      <c r="BW134" s="111" t="s">
        <v>2772</v>
      </c>
      <c r="BX134" s="111" t="s">
        <v>2773</v>
      </c>
      <c r="BY134" s="111" t="s">
        <v>2774</v>
      </c>
      <c r="BZ134" s="111" t="s">
        <v>2798</v>
      </c>
      <c r="CA134" s="111" t="s">
        <v>2798</v>
      </c>
      <c r="CB134" s="111" t="s">
        <v>2798</v>
      </c>
      <c r="CC134" s="111" t="s">
        <v>2798</v>
      </c>
      <c r="CD134" s="111" t="s">
        <v>2798</v>
      </c>
      <c r="CE134" s="111" t="s">
        <v>2798</v>
      </c>
      <c r="CF134" s="111" t="s">
        <v>2798</v>
      </c>
      <c r="CG134" s="111" t="s">
        <v>2798</v>
      </c>
      <c r="CH134" s="111" t="s">
        <v>2798</v>
      </c>
      <c r="CI134" s="111" t="s">
        <v>2798</v>
      </c>
      <c r="CJ134" s="111" t="s">
        <v>2798</v>
      </c>
      <c r="CK134" s="111" t="s">
        <v>2798</v>
      </c>
      <c r="CL134" s="111" t="s">
        <v>2798</v>
      </c>
      <c r="CM134" s="111" t="s">
        <v>2798</v>
      </c>
      <c r="CN134" s="111" t="s">
        <v>2798</v>
      </c>
      <c r="CO134" s="111" t="s">
        <v>2798</v>
      </c>
      <c r="CP134" s="111" t="s">
        <v>2798</v>
      </c>
      <c r="CQ134" s="111" t="s">
        <v>2798</v>
      </c>
    </row>
    <row r="135" spans="2:95" ht="14.25" customHeight="1">
      <c r="B135" s="106" t="s">
        <v>842</v>
      </c>
      <c r="C135" s="106" t="s">
        <v>2924</v>
      </c>
      <c r="D135" s="109">
        <v>13107.449000000001</v>
      </c>
      <c r="E135" s="106" t="s">
        <v>2396</v>
      </c>
      <c r="F135" s="110">
        <v>50</v>
      </c>
      <c r="G135" s="106" t="s">
        <v>2793</v>
      </c>
      <c r="H135" s="102">
        <v>0</v>
      </c>
      <c r="I135" s="102">
        <v>0</v>
      </c>
      <c r="J135" s="111" t="s">
        <v>2798</v>
      </c>
      <c r="K135" s="111" t="s">
        <v>2798</v>
      </c>
      <c r="L135" s="111" t="s">
        <v>2798</v>
      </c>
      <c r="M135" s="111" t="s">
        <v>2798</v>
      </c>
      <c r="N135" s="111" t="s">
        <v>2798</v>
      </c>
      <c r="O135" s="111" t="s">
        <v>2798</v>
      </c>
      <c r="P135" s="111" t="s">
        <v>2798</v>
      </c>
      <c r="Q135" s="111" t="s">
        <v>2798</v>
      </c>
      <c r="R135" s="111" t="s">
        <v>2798</v>
      </c>
      <c r="S135" s="111" t="s">
        <v>2798</v>
      </c>
      <c r="T135" s="111" t="s">
        <v>2798</v>
      </c>
      <c r="U135" s="111" t="s">
        <v>2798</v>
      </c>
      <c r="V135" s="111" t="s">
        <v>2798</v>
      </c>
      <c r="W135" s="111" t="s">
        <v>2798</v>
      </c>
      <c r="X135" s="111" t="s">
        <v>2798</v>
      </c>
      <c r="Y135" s="111" t="s">
        <v>2798</v>
      </c>
      <c r="Z135" s="111" t="s">
        <v>2798</v>
      </c>
      <c r="AA135" s="111" t="s">
        <v>2798</v>
      </c>
      <c r="AB135" s="111" t="s">
        <v>2798</v>
      </c>
      <c r="AC135" s="111" t="s">
        <v>2798</v>
      </c>
      <c r="AD135" s="111" t="s">
        <v>2798</v>
      </c>
      <c r="AE135" s="111" t="s">
        <v>2798</v>
      </c>
      <c r="AF135" s="111" t="s">
        <v>2798</v>
      </c>
      <c r="AG135" s="111" t="s">
        <v>2798</v>
      </c>
      <c r="AH135" s="111" t="s">
        <v>2798</v>
      </c>
      <c r="AI135" s="111" t="s">
        <v>2798</v>
      </c>
      <c r="AJ135" s="111" t="s">
        <v>2798</v>
      </c>
      <c r="AK135" s="111" t="s">
        <v>2798</v>
      </c>
      <c r="AL135" s="111" t="s">
        <v>2798</v>
      </c>
      <c r="AM135" s="111" t="s">
        <v>2798</v>
      </c>
      <c r="AN135" s="111" t="s">
        <v>2798</v>
      </c>
      <c r="AO135" s="111" t="s">
        <v>2798</v>
      </c>
      <c r="AP135" s="111" t="s">
        <v>2798</v>
      </c>
      <c r="AQ135" s="111" t="s">
        <v>2798</v>
      </c>
      <c r="AR135" s="111" t="s">
        <v>2798</v>
      </c>
      <c r="AS135" s="111" t="s">
        <v>2798</v>
      </c>
      <c r="AT135" s="111" t="s">
        <v>2798</v>
      </c>
      <c r="AU135" s="111" t="s">
        <v>2798</v>
      </c>
      <c r="AV135" s="111" t="s">
        <v>2798</v>
      </c>
      <c r="AW135" s="111" t="s">
        <v>2798</v>
      </c>
      <c r="AX135" s="111" t="s">
        <v>2798</v>
      </c>
      <c r="AY135" s="111" t="s">
        <v>2798</v>
      </c>
      <c r="AZ135" s="111" t="s">
        <v>2798</v>
      </c>
      <c r="BA135" s="111" t="s">
        <v>2798</v>
      </c>
      <c r="BB135" s="111" t="s">
        <v>2798</v>
      </c>
      <c r="BC135" s="111" t="s">
        <v>2798</v>
      </c>
      <c r="BD135" s="111" t="s">
        <v>2798</v>
      </c>
      <c r="BE135" s="111" t="s">
        <v>2798</v>
      </c>
      <c r="BF135" s="111" t="s">
        <v>2798</v>
      </c>
      <c r="BG135" s="111" t="s">
        <v>2798</v>
      </c>
      <c r="BH135" s="111" t="s">
        <v>2798</v>
      </c>
      <c r="BI135" s="111" t="s">
        <v>2798</v>
      </c>
      <c r="BJ135" s="111" t="s">
        <v>2798</v>
      </c>
      <c r="BK135" s="111" t="s">
        <v>2798</v>
      </c>
      <c r="BL135" s="111" t="s">
        <v>2798</v>
      </c>
      <c r="BM135" s="111" t="s">
        <v>2798</v>
      </c>
      <c r="BN135" s="111" t="s">
        <v>2798</v>
      </c>
      <c r="BO135" s="111" t="s">
        <v>2798</v>
      </c>
      <c r="BP135" s="111" t="s">
        <v>2798</v>
      </c>
      <c r="BQ135" s="111" t="s">
        <v>2798</v>
      </c>
      <c r="BR135" s="111" t="s">
        <v>2798</v>
      </c>
      <c r="BS135" s="111" t="s">
        <v>2798</v>
      </c>
      <c r="BT135" s="111" t="s">
        <v>2798</v>
      </c>
      <c r="BU135" s="111" t="s">
        <v>2798</v>
      </c>
      <c r="BV135" s="111" t="s">
        <v>2798</v>
      </c>
      <c r="BW135" s="111" t="s">
        <v>2798</v>
      </c>
      <c r="BX135" s="111" t="s">
        <v>2798</v>
      </c>
      <c r="BY135" s="111" t="s">
        <v>2798</v>
      </c>
      <c r="BZ135" s="111" t="s">
        <v>2775</v>
      </c>
      <c r="CA135" s="111" t="s">
        <v>2776</v>
      </c>
      <c r="CB135" s="111" t="s">
        <v>2777</v>
      </c>
      <c r="CC135" s="111" t="s">
        <v>2778</v>
      </c>
      <c r="CD135" s="111" t="s">
        <v>2779</v>
      </c>
      <c r="CE135" s="111" t="s">
        <v>2780</v>
      </c>
      <c r="CF135" s="111" t="s">
        <v>2781</v>
      </c>
      <c r="CG135" s="111" t="s">
        <v>2782</v>
      </c>
      <c r="CH135" s="111" t="s">
        <v>2783</v>
      </c>
      <c r="CI135" s="111" t="s">
        <v>2798</v>
      </c>
      <c r="CJ135" s="111" t="s">
        <v>2785</v>
      </c>
      <c r="CK135" s="111" t="s">
        <v>2786</v>
      </c>
      <c r="CL135" s="111" t="s">
        <v>2787</v>
      </c>
      <c r="CM135" s="111" t="s">
        <v>2788</v>
      </c>
      <c r="CN135" s="111" t="s">
        <v>2789</v>
      </c>
      <c r="CO135" s="111" t="s">
        <v>2790</v>
      </c>
      <c r="CP135" s="111" t="s">
        <v>2791</v>
      </c>
      <c r="CQ135" s="111" t="s">
        <v>2792</v>
      </c>
    </row>
    <row r="136" spans="2:95" ht="14.25" customHeight="1">
      <c r="B136" s="106" t="s">
        <v>843</v>
      </c>
      <c r="C136" s="106" t="s">
        <v>2925</v>
      </c>
      <c r="D136" s="109">
        <v>13157.449000000001</v>
      </c>
      <c r="E136" s="106" t="s">
        <v>2413</v>
      </c>
      <c r="F136" s="110">
        <v>50</v>
      </c>
      <c r="G136" s="106" t="s">
        <v>2795</v>
      </c>
      <c r="H136" s="102">
        <v>0</v>
      </c>
      <c r="I136" s="102">
        <v>0</v>
      </c>
      <c r="J136" s="111" t="s">
        <v>87</v>
      </c>
      <c r="K136" s="111" t="s">
        <v>2708</v>
      </c>
      <c r="L136" s="111" t="s">
        <v>2709</v>
      </c>
      <c r="M136" s="111" t="s">
        <v>2710</v>
      </c>
      <c r="N136" s="111" t="s">
        <v>2711</v>
      </c>
      <c r="O136" s="111" t="s">
        <v>2712</v>
      </c>
      <c r="P136" s="111" t="s">
        <v>2713</v>
      </c>
      <c r="Q136" s="111" t="s">
        <v>2714</v>
      </c>
      <c r="R136" s="111" t="s">
        <v>2715</v>
      </c>
      <c r="S136" s="111" t="s">
        <v>2716</v>
      </c>
      <c r="T136" s="111" t="s">
        <v>2717</v>
      </c>
      <c r="U136" s="111" t="s">
        <v>2718</v>
      </c>
      <c r="V136" s="111" t="s">
        <v>2719</v>
      </c>
      <c r="W136" s="111" t="s">
        <v>2720</v>
      </c>
      <c r="X136" s="111" t="s">
        <v>2721</v>
      </c>
      <c r="Y136" s="111" t="s">
        <v>2722</v>
      </c>
      <c r="Z136" s="111" t="s">
        <v>2723</v>
      </c>
      <c r="AA136" s="111" t="s">
        <v>2798</v>
      </c>
      <c r="AB136" s="111" t="s">
        <v>2798</v>
      </c>
      <c r="AC136" s="111" t="s">
        <v>2798</v>
      </c>
      <c r="AD136" s="111" t="s">
        <v>2798</v>
      </c>
      <c r="AE136" s="111" t="s">
        <v>2798</v>
      </c>
      <c r="AF136" s="111" t="s">
        <v>2798</v>
      </c>
      <c r="AG136" s="111" t="s">
        <v>2798</v>
      </c>
      <c r="AH136" s="111" t="s">
        <v>2798</v>
      </c>
      <c r="AI136" s="111" t="s">
        <v>2798</v>
      </c>
      <c r="AJ136" s="111" t="s">
        <v>2798</v>
      </c>
      <c r="AK136" s="111" t="s">
        <v>2798</v>
      </c>
      <c r="AL136" s="111" t="s">
        <v>2798</v>
      </c>
      <c r="AM136" s="111" t="s">
        <v>2798</v>
      </c>
      <c r="AN136" s="111" t="s">
        <v>2798</v>
      </c>
      <c r="AO136" s="111" t="s">
        <v>2798</v>
      </c>
      <c r="AP136" s="111" t="s">
        <v>2798</v>
      </c>
      <c r="AQ136" s="111" t="s">
        <v>2798</v>
      </c>
      <c r="AR136" s="111" t="s">
        <v>2798</v>
      </c>
      <c r="AS136" s="111" t="s">
        <v>2798</v>
      </c>
      <c r="AT136" s="111" t="s">
        <v>2798</v>
      </c>
      <c r="AU136" s="111" t="s">
        <v>2798</v>
      </c>
      <c r="AV136" s="111" t="s">
        <v>2798</v>
      </c>
      <c r="AW136" s="111" t="s">
        <v>2798</v>
      </c>
      <c r="AX136" s="111" t="s">
        <v>2798</v>
      </c>
      <c r="AY136" s="111" t="s">
        <v>2798</v>
      </c>
      <c r="AZ136" s="111" t="s">
        <v>2798</v>
      </c>
      <c r="BA136" s="111" t="s">
        <v>2798</v>
      </c>
      <c r="BB136" s="111" t="s">
        <v>2798</v>
      </c>
      <c r="BC136" s="111" t="s">
        <v>2798</v>
      </c>
      <c r="BD136" s="111" t="s">
        <v>2798</v>
      </c>
      <c r="BE136" s="111" t="s">
        <v>2798</v>
      </c>
      <c r="BF136" s="111" t="s">
        <v>2798</v>
      </c>
      <c r="BG136" s="111" t="s">
        <v>2798</v>
      </c>
      <c r="BH136" s="111" t="s">
        <v>2798</v>
      </c>
      <c r="BI136" s="111" t="s">
        <v>2798</v>
      </c>
      <c r="BJ136" s="111" t="s">
        <v>2798</v>
      </c>
      <c r="BK136" s="111" t="s">
        <v>2798</v>
      </c>
      <c r="BL136" s="111" t="s">
        <v>2798</v>
      </c>
      <c r="BM136" s="111" t="s">
        <v>2798</v>
      </c>
      <c r="BN136" s="111" t="s">
        <v>2798</v>
      </c>
      <c r="BO136" s="111" t="s">
        <v>2798</v>
      </c>
      <c r="BP136" s="111" t="s">
        <v>2798</v>
      </c>
      <c r="BQ136" s="111" t="s">
        <v>2798</v>
      </c>
      <c r="BR136" s="111" t="s">
        <v>2798</v>
      </c>
      <c r="BS136" s="111" t="s">
        <v>2798</v>
      </c>
      <c r="BT136" s="111" t="s">
        <v>2798</v>
      </c>
      <c r="BU136" s="111" t="s">
        <v>2798</v>
      </c>
      <c r="BV136" s="111" t="s">
        <v>2798</v>
      </c>
      <c r="BW136" s="111" t="s">
        <v>2798</v>
      </c>
      <c r="BX136" s="111" t="s">
        <v>2798</v>
      </c>
      <c r="BY136" s="111" t="s">
        <v>2798</v>
      </c>
      <c r="BZ136" s="111" t="s">
        <v>2798</v>
      </c>
      <c r="CA136" s="111" t="s">
        <v>2798</v>
      </c>
      <c r="CB136" s="111" t="s">
        <v>2798</v>
      </c>
      <c r="CC136" s="111" t="s">
        <v>2798</v>
      </c>
      <c r="CD136" s="111" t="s">
        <v>2798</v>
      </c>
      <c r="CE136" s="111" t="s">
        <v>2798</v>
      </c>
      <c r="CF136" s="111" t="s">
        <v>2798</v>
      </c>
      <c r="CG136" s="111" t="s">
        <v>2798</v>
      </c>
      <c r="CH136" s="111" t="s">
        <v>2798</v>
      </c>
      <c r="CI136" s="111" t="s">
        <v>2798</v>
      </c>
      <c r="CJ136" s="111" t="s">
        <v>2798</v>
      </c>
      <c r="CK136" s="111" t="s">
        <v>2798</v>
      </c>
      <c r="CL136" s="111" t="s">
        <v>2798</v>
      </c>
      <c r="CM136" s="111" t="s">
        <v>2798</v>
      </c>
      <c r="CN136" s="111" t="s">
        <v>2798</v>
      </c>
      <c r="CO136" s="111" t="s">
        <v>2798</v>
      </c>
      <c r="CP136" s="111" t="s">
        <v>2798</v>
      </c>
      <c r="CQ136" s="111" t="s">
        <v>2798</v>
      </c>
    </row>
    <row r="137" spans="2:95" ht="14.25" customHeight="1">
      <c r="B137" s="106" t="s">
        <v>844</v>
      </c>
      <c r="C137" s="106" t="s">
        <v>2926</v>
      </c>
      <c r="D137" s="109">
        <v>13207.449000000001</v>
      </c>
      <c r="E137" s="106" t="s">
        <v>2413</v>
      </c>
      <c r="F137" s="110">
        <v>50</v>
      </c>
      <c r="G137" s="106" t="s">
        <v>2795</v>
      </c>
      <c r="H137" s="102">
        <v>0</v>
      </c>
      <c r="I137" s="102">
        <v>0</v>
      </c>
      <c r="J137" s="111" t="s">
        <v>2798</v>
      </c>
      <c r="K137" s="111" t="s">
        <v>2798</v>
      </c>
      <c r="L137" s="111" t="s">
        <v>2798</v>
      </c>
      <c r="M137" s="111" t="s">
        <v>2798</v>
      </c>
      <c r="N137" s="111" t="s">
        <v>2798</v>
      </c>
      <c r="O137" s="111" t="s">
        <v>2798</v>
      </c>
      <c r="P137" s="111" t="s">
        <v>2798</v>
      </c>
      <c r="Q137" s="111" t="s">
        <v>2798</v>
      </c>
      <c r="R137" s="111" t="s">
        <v>2798</v>
      </c>
      <c r="S137" s="111" t="s">
        <v>2798</v>
      </c>
      <c r="T137" s="111" t="s">
        <v>2798</v>
      </c>
      <c r="U137" s="111" t="s">
        <v>2798</v>
      </c>
      <c r="V137" s="111" t="s">
        <v>2798</v>
      </c>
      <c r="W137" s="111" t="s">
        <v>2798</v>
      </c>
      <c r="X137" s="111" t="s">
        <v>2798</v>
      </c>
      <c r="Y137" s="111" t="s">
        <v>2798</v>
      </c>
      <c r="Z137" s="111" t="s">
        <v>2798</v>
      </c>
      <c r="AA137" s="111" t="s">
        <v>2724</v>
      </c>
      <c r="AB137" s="111" t="s">
        <v>2725</v>
      </c>
      <c r="AC137" s="111" t="s">
        <v>2726</v>
      </c>
      <c r="AD137" s="111" t="s">
        <v>2727</v>
      </c>
      <c r="AE137" s="111" t="s">
        <v>2728</v>
      </c>
      <c r="AF137" s="111" t="s">
        <v>2729</v>
      </c>
      <c r="AG137" s="111" t="s">
        <v>2730</v>
      </c>
      <c r="AH137" s="111" t="s">
        <v>2731</v>
      </c>
      <c r="AI137" s="111" t="s">
        <v>2732</v>
      </c>
      <c r="AJ137" s="111" t="s">
        <v>2733</v>
      </c>
      <c r="AK137" s="111" t="s">
        <v>2734</v>
      </c>
      <c r="AL137" s="111" t="s">
        <v>2735</v>
      </c>
      <c r="AM137" s="111" t="s">
        <v>2736</v>
      </c>
      <c r="AN137" s="111" t="s">
        <v>2737</v>
      </c>
      <c r="AO137" s="111" t="s">
        <v>2738</v>
      </c>
      <c r="AP137" s="111" t="s">
        <v>2739</v>
      </c>
      <c r="AQ137" s="111" t="s">
        <v>2740</v>
      </c>
      <c r="AR137" s="111" t="s">
        <v>2798</v>
      </c>
      <c r="AS137" s="111" t="s">
        <v>2798</v>
      </c>
      <c r="AT137" s="111" t="s">
        <v>2798</v>
      </c>
      <c r="AU137" s="111" t="s">
        <v>2798</v>
      </c>
      <c r="AV137" s="111" t="s">
        <v>2798</v>
      </c>
      <c r="AW137" s="111" t="s">
        <v>2798</v>
      </c>
      <c r="AX137" s="111" t="s">
        <v>2798</v>
      </c>
      <c r="AY137" s="111" t="s">
        <v>2798</v>
      </c>
      <c r="AZ137" s="111" t="s">
        <v>2798</v>
      </c>
      <c r="BA137" s="111" t="s">
        <v>2798</v>
      </c>
      <c r="BB137" s="111" t="s">
        <v>2798</v>
      </c>
      <c r="BC137" s="111" t="s">
        <v>2798</v>
      </c>
      <c r="BD137" s="111" t="s">
        <v>2798</v>
      </c>
      <c r="BE137" s="111" t="s">
        <v>2798</v>
      </c>
      <c r="BF137" s="111" t="s">
        <v>2798</v>
      </c>
      <c r="BG137" s="111" t="s">
        <v>2798</v>
      </c>
      <c r="BH137" s="111" t="s">
        <v>2798</v>
      </c>
      <c r="BI137" s="111" t="s">
        <v>2798</v>
      </c>
      <c r="BJ137" s="111" t="s">
        <v>2798</v>
      </c>
      <c r="BK137" s="111" t="s">
        <v>2798</v>
      </c>
      <c r="BL137" s="111" t="s">
        <v>2798</v>
      </c>
      <c r="BM137" s="111" t="s">
        <v>2798</v>
      </c>
      <c r="BN137" s="111" t="s">
        <v>2798</v>
      </c>
      <c r="BO137" s="111" t="s">
        <v>2798</v>
      </c>
      <c r="BP137" s="111" t="s">
        <v>2798</v>
      </c>
      <c r="BQ137" s="111" t="s">
        <v>2798</v>
      </c>
      <c r="BR137" s="111" t="s">
        <v>2798</v>
      </c>
      <c r="BS137" s="111" t="s">
        <v>2798</v>
      </c>
      <c r="BT137" s="111" t="s">
        <v>2798</v>
      </c>
      <c r="BU137" s="111" t="s">
        <v>2798</v>
      </c>
      <c r="BV137" s="111" t="s">
        <v>2798</v>
      </c>
      <c r="BW137" s="111" t="s">
        <v>2798</v>
      </c>
      <c r="BX137" s="111" t="s">
        <v>2798</v>
      </c>
      <c r="BY137" s="111" t="s">
        <v>2798</v>
      </c>
      <c r="BZ137" s="111" t="s">
        <v>2798</v>
      </c>
      <c r="CA137" s="111" t="s">
        <v>2798</v>
      </c>
      <c r="CB137" s="111" t="s">
        <v>2798</v>
      </c>
      <c r="CC137" s="111" t="s">
        <v>2798</v>
      </c>
      <c r="CD137" s="111" t="s">
        <v>2798</v>
      </c>
      <c r="CE137" s="111" t="s">
        <v>2798</v>
      </c>
      <c r="CF137" s="111" t="s">
        <v>2798</v>
      </c>
      <c r="CG137" s="111" t="s">
        <v>2798</v>
      </c>
      <c r="CH137" s="111" t="s">
        <v>2798</v>
      </c>
      <c r="CI137" s="111" t="s">
        <v>2798</v>
      </c>
      <c r="CJ137" s="111" t="s">
        <v>2798</v>
      </c>
      <c r="CK137" s="111" t="s">
        <v>2798</v>
      </c>
      <c r="CL137" s="111" t="s">
        <v>2798</v>
      </c>
      <c r="CM137" s="111" t="s">
        <v>2798</v>
      </c>
      <c r="CN137" s="111" t="s">
        <v>2798</v>
      </c>
      <c r="CO137" s="111" t="s">
        <v>2798</v>
      </c>
      <c r="CP137" s="111" t="s">
        <v>2798</v>
      </c>
      <c r="CQ137" s="111" t="s">
        <v>2798</v>
      </c>
    </row>
    <row r="138" spans="2:95" ht="14.25" customHeight="1">
      <c r="B138" s="106" t="s">
        <v>845</v>
      </c>
      <c r="C138" s="106" t="s">
        <v>2927</v>
      </c>
      <c r="D138" s="109">
        <v>13257.449000000001</v>
      </c>
      <c r="E138" s="106" t="s">
        <v>2413</v>
      </c>
      <c r="F138" s="110">
        <v>50</v>
      </c>
      <c r="G138" s="106" t="s">
        <v>2795</v>
      </c>
      <c r="H138" s="102">
        <v>0</v>
      </c>
      <c r="I138" s="102">
        <v>0</v>
      </c>
      <c r="J138" s="111" t="s">
        <v>2798</v>
      </c>
      <c r="K138" s="111" t="s">
        <v>2798</v>
      </c>
      <c r="L138" s="111" t="s">
        <v>2798</v>
      </c>
      <c r="M138" s="111" t="s">
        <v>2798</v>
      </c>
      <c r="N138" s="111" t="s">
        <v>2798</v>
      </c>
      <c r="O138" s="111" t="s">
        <v>2798</v>
      </c>
      <c r="P138" s="111" t="s">
        <v>2798</v>
      </c>
      <c r="Q138" s="111" t="s">
        <v>2798</v>
      </c>
      <c r="R138" s="111" t="s">
        <v>2798</v>
      </c>
      <c r="S138" s="111" t="s">
        <v>2798</v>
      </c>
      <c r="T138" s="111" t="s">
        <v>2798</v>
      </c>
      <c r="U138" s="111" t="s">
        <v>2798</v>
      </c>
      <c r="V138" s="111" t="s">
        <v>2798</v>
      </c>
      <c r="W138" s="111" t="s">
        <v>2798</v>
      </c>
      <c r="X138" s="111" t="s">
        <v>2798</v>
      </c>
      <c r="Y138" s="111" t="s">
        <v>2798</v>
      </c>
      <c r="Z138" s="111" t="s">
        <v>2798</v>
      </c>
      <c r="AA138" s="111" t="s">
        <v>2798</v>
      </c>
      <c r="AB138" s="111" t="s">
        <v>2798</v>
      </c>
      <c r="AC138" s="111" t="s">
        <v>2798</v>
      </c>
      <c r="AD138" s="111" t="s">
        <v>2798</v>
      </c>
      <c r="AE138" s="111" t="s">
        <v>2798</v>
      </c>
      <c r="AF138" s="111" t="s">
        <v>2798</v>
      </c>
      <c r="AG138" s="111" t="s">
        <v>2798</v>
      </c>
      <c r="AH138" s="111" t="s">
        <v>2798</v>
      </c>
      <c r="AI138" s="111" t="s">
        <v>2798</v>
      </c>
      <c r="AJ138" s="111" t="s">
        <v>2798</v>
      </c>
      <c r="AK138" s="111" t="s">
        <v>2798</v>
      </c>
      <c r="AL138" s="111" t="s">
        <v>2798</v>
      </c>
      <c r="AM138" s="111" t="s">
        <v>2798</v>
      </c>
      <c r="AN138" s="111" t="s">
        <v>2798</v>
      </c>
      <c r="AO138" s="111" t="s">
        <v>2798</v>
      </c>
      <c r="AP138" s="111" t="s">
        <v>2798</v>
      </c>
      <c r="AQ138" s="111" t="s">
        <v>2798</v>
      </c>
      <c r="AR138" s="111" t="s">
        <v>2798</v>
      </c>
      <c r="AS138" s="111" t="s">
        <v>2798</v>
      </c>
      <c r="AT138" s="111" t="s">
        <v>2798</v>
      </c>
      <c r="AU138" s="111" t="s">
        <v>2798</v>
      </c>
      <c r="AV138" s="111" t="s">
        <v>2798</v>
      </c>
      <c r="AW138" s="111" t="s">
        <v>2798</v>
      </c>
      <c r="AX138" s="111" t="s">
        <v>2798</v>
      </c>
      <c r="AY138" s="111" t="s">
        <v>2798</v>
      </c>
      <c r="AZ138" s="111" t="s">
        <v>2798</v>
      </c>
      <c r="BA138" s="111" t="s">
        <v>2798</v>
      </c>
      <c r="BB138" s="111" t="s">
        <v>2798</v>
      </c>
      <c r="BC138" s="111" t="s">
        <v>2798</v>
      </c>
      <c r="BD138" s="111" t="s">
        <v>2798</v>
      </c>
      <c r="BE138" s="111" t="s">
        <v>2798</v>
      </c>
      <c r="BF138" s="111" t="s">
        <v>2798</v>
      </c>
      <c r="BG138" s="111" t="s">
        <v>2798</v>
      </c>
      <c r="BH138" s="111" t="s">
        <v>2798</v>
      </c>
      <c r="BI138" s="111" t="s">
        <v>2758</v>
      </c>
      <c r="BJ138" s="111" t="s">
        <v>2759</v>
      </c>
      <c r="BK138" s="111" t="s">
        <v>2760</v>
      </c>
      <c r="BL138" s="111" t="s">
        <v>2761</v>
      </c>
      <c r="BM138" s="111" t="s">
        <v>2762</v>
      </c>
      <c r="BN138" s="111" t="s">
        <v>2763</v>
      </c>
      <c r="BO138" s="111" t="s">
        <v>2764</v>
      </c>
      <c r="BP138" s="111" t="s">
        <v>2765</v>
      </c>
      <c r="BQ138" s="111" t="s">
        <v>2766</v>
      </c>
      <c r="BR138" s="111" t="s">
        <v>2767</v>
      </c>
      <c r="BS138" s="111" t="s">
        <v>2768</v>
      </c>
      <c r="BT138" s="111" t="s">
        <v>2769</v>
      </c>
      <c r="BU138" s="111" t="s">
        <v>2770</v>
      </c>
      <c r="BV138" s="111" t="s">
        <v>2771</v>
      </c>
      <c r="BW138" s="111" t="s">
        <v>2772</v>
      </c>
      <c r="BX138" s="111" t="s">
        <v>2773</v>
      </c>
      <c r="BY138" s="111" t="s">
        <v>2774</v>
      </c>
      <c r="BZ138" s="111" t="s">
        <v>2798</v>
      </c>
      <c r="CA138" s="111" t="s">
        <v>2798</v>
      </c>
      <c r="CB138" s="111" t="s">
        <v>2798</v>
      </c>
      <c r="CC138" s="111" t="s">
        <v>2798</v>
      </c>
      <c r="CD138" s="111" t="s">
        <v>2798</v>
      </c>
      <c r="CE138" s="111" t="s">
        <v>2798</v>
      </c>
      <c r="CF138" s="111" t="s">
        <v>2798</v>
      </c>
      <c r="CG138" s="111" t="s">
        <v>2798</v>
      </c>
      <c r="CH138" s="111" t="s">
        <v>2798</v>
      </c>
      <c r="CI138" s="111" t="s">
        <v>2798</v>
      </c>
      <c r="CJ138" s="111" t="s">
        <v>2798</v>
      </c>
      <c r="CK138" s="111" t="s">
        <v>2798</v>
      </c>
      <c r="CL138" s="111" t="s">
        <v>2798</v>
      </c>
      <c r="CM138" s="111" t="s">
        <v>2798</v>
      </c>
      <c r="CN138" s="111" t="s">
        <v>2798</v>
      </c>
      <c r="CO138" s="111" t="s">
        <v>2798</v>
      </c>
      <c r="CP138" s="111" t="s">
        <v>2798</v>
      </c>
      <c r="CQ138" s="111" t="s">
        <v>2798</v>
      </c>
    </row>
    <row r="139" spans="2:95" ht="14.25" customHeight="1">
      <c r="B139" s="106" t="s">
        <v>846</v>
      </c>
      <c r="C139" s="106" t="s">
        <v>2928</v>
      </c>
      <c r="D139" s="109">
        <v>13307.449000000001</v>
      </c>
      <c r="E139" s="106" t="s">
        <v>2413</v>
      </c>
      <c r="F139" s="110">
        <v>50</v>
      </c>
      <c r="G139" s="106" t="s">
        <v>2793</v>
      </c>
      <c r="H139" s="102">
        <v>0</v>
      </c>
      <c r="I139" s="102">
        <v>0</v>
      </c>
      <c r="J139" s="111" t="s">
        <v>2798</v>
      </c>
      <c r="K139" s="111" t="s">
        <v>2798</v>
      </c>
      <c r="L139" s="111" t="s">
        <v>2798</v>
      </c>
      <c r="M139" s="111" t="s">
        <v>2798</v>
      </c>
      <c r="N139" s="111" t="s">
        <v>2798</v>
      </c>
      <c r="O139" s="111" t="s">
        <v>2798</v>
      </c>
      <c r="P139" s="111" t="s">
        <v>2798</v>
      </c>
      <c r="Q139" s="111" t="s">
        <v>2798</v>
      </c>
      <c r="R139" s="111" t="s">
        <v>2798</v>
      </c>
      <c r="S139" s="111" t="s">
        <v>2798</v>
      </c>
      <c r="T139" s="111" t="s">
        <v>2798</v>
      </c>
      <c r="U139" s="111" t="s">
        <v>2798</v>
      </c>
      <c r="V139" s="111" t="s">
        <v>2798</v>
      </c>
      <c r="W139" s="111" t="s">
        <v>2798</v>
      </c>
      <c r="X139" s="111" t="s">
        <v>2798</v>
      </c>
      <c r="Y139" s="111" t="s">
        <v>2798</v>
      </c>
      <c r="Z139" s="111" t="s">
        <v>2798</v>
      </c>
      <c r="AA139" s="111" t="s">
        <v>2798</v>
      </c>
      <c r="AB139" s="111" t="s">
        <v>2798</v>
      </c>
      <c r="AC139" s="111" t="s">
        <v>2798</v>
      </c>
      <c r="AD139" s="111" t="s">
        <v>2798</v>
      </c>
      <c r="AE139" s="111" t="s">
        <v>2798</v>
      </c>
      <c r="AF139" s="111" t="s">
        <v>2798</v>
      </c>
      <c r="AG139" s="111" t="s">
        <v>2798</v>
      </c>
      <c r="AH139" s="111" t="s">
        <v>2798</v>
      </c>
      <c r="AI139" s="111" t="s">
        <v>2798</v>
      </c>
      <c r="AJ139" s="111" t="s">
        <v>2798</v>
      </c>
      <c r="AK139" s="111" t="s">
        <v>2798</v>
      </c>
      <c r="AL139" s="111" t="s">
        <v>2798</v>
      </c>
      <c r="AM139" s="111" t="s">
        <v>2798</v>
      </c>
      <c r="AN139" s="111" t="s">
        <v>2798</v>
      </c>
      <c r="AO139" s="111" t="s">
        <v>2798</v>
      </c>
      <c r="AP139" s="111" t="s">
        <v>2798</v>
      </c>
      <c r="AQ139" s="111" t="s">
        <v>2798</v>
      </c>
      <c r="AR139" s="111" t="s">
        <v>2798</v>
      </c>
      <c r="AS139" s="111" t="s">
        <v>2798</v>
      </c>
      <c r="AT139" s="111" t="s">
        <v>2798</v>
      </c>
      <c r="AU139" s="111" t="s">
        <v>2798</v>
      </c>
      <c r="AV139" s="111" t="s">
        <v>2798</v>
      </c>
      <c r="AW139" s="111" t="s">
        <v>2798</v>
      </c>
      <c r="AX139" s="111" t="s">
        <v>2798</v>
      </c>
      <c r="AY139" s="111" t="s">
        <v>2798</v>
      </c>
      <c r="AZ139" s="111" t="s">
        <v>2798</v>
      </c>
      <c r="BA139" s="111" t="s">
        <v>2798</v>
      </c>
      <c r="BB139" s="111" t="s">
        <v>2798</v>
      </c>
      <c r="BC139" s="111" t="s">
        <v>2798</v>
      </c>
      <c r="BD139" s="111" t="s">
        <v>2798</v>
      </c>
      <c r="BE139" s="111" t="s">
        <v>2798</v>
      </c>
      <c r="BF139" s="111" t="s">
        <v>2798</v>
      </c>
      <c r="BG139" s="111" t="s">
        <v>2798</v>
      </c>
      <c r="BH139" s="111" t="s">
        <v>2798</v>
      </c>
      <c r="BI139" s="111" t="s">
        <v>2798</v>
      </c>
      <c r="BJ139" s="111" t="s">
        <v>2798</v>
      </c>
      <c r="BK139" s="111" t="s">
        <v>2798</v>
      </c>
      <c r="BL139" s="111" t="s">
        <v>2798</v>
      </c>
      <c r="BM139" s="111" t="s">
        <v>2798</v>
      </c>
      <c r="BN139" s="111" t="s">
        <v>2798</v>
      </c>
      <c r="BO139" s="111" t="s">
        <v>2798</v>
      </c>
      <c r="BP139" s="111" t="s">
        <v>2798</v>
      </c>
      <c r="BQ139" s="111" t="s">
        <v>2798</v>
      </c>
      <c r="BR139" s="111" t="s">
        <v>2798</v>
      </c>
      <c r="BS139" s="111" t="s">
        <v>2798</v>
      </c>
      <c r="BT139" s="111" t="s">
        <v>2798</v>
      </c>
      <c r="BU139" s="111" t="s">
        <v>2798</v>
      </c>
      <c r="BV139" s="111" t="s">
        <v>2798</v>
      </c>
      <c r="BW139" s="111" t="s">
        <v>2798</v>
      </c>
      <c r="BX139" s="111" t="s">
        <v>2798</v>
      </c>
      <c r="BY139" s="111" t="s">
        <v>2798</v>
      </c>
      <c r="BZ139" s="111" t="s">
        <v>2775</v>
      </c>
      <c r="CA139" s="111" t="s">
        <v>2776</v>
      </c>
      <c r="CB139" s="111" t="s">
        <v>2777</v>
      </c>
      <c r="CC139" s="111" t="s">
        <v>2778</v>
      </c>
      <c r="CD139" s="111" t="s">
        <v>2779</v>
      </c>
      <c r="CE139" s="111" t="s">
        <v>2780</v>
      </c>
      <c r="CF139" s="111" t="s">
        <v>2781</v>
      </c>
      <c r="CG139" s="111" t="s">
        <v>2782</v>
      </c>
      <c r="CH139" s="111" t="s">
        <v>2783</v>
      </c>
      <c r="CI139" s="111" t="s">
        <v>2798</v>
      </c>
      <c r="CJ139" s="111" t="s">
        <v>2785</v>
      </c>
      <c r="CK139" s="111" t="s">
        <v>2786</v>
      </c>
      <c r="CL139" s="111" t="s">
        <v>2787</v>
      </c>
      <c r="CM139" s="111" t="s">
        <v>2788</v>
      </c>
      <c r="CN139" s="111" t="s">
        <v>2789</v>
      </c>
      <c r="CO139" s="111" t="s">
        <v>2790</v>
      </c>
      <c r="CP139" s="111" t="s">
        <v>2791</v>
      </c>
      <c r="CQ139" s="111" t="s">
        <v>2792</v>
      </c>
    </row>
    <row r="140" spans="2:95" ht="14.25" customHeight="1">
      <c r="B140" s="106" t="s">
        <v>847</v>
      </c>
      <c r="C140" s="106" t="s">
        <v>2929</v>
      </c>
      <c r="D140" s="109">
        <v>13357.449000000001</v>
      </c>
      <c r="E140" s="106" t="s">
        <v>2430</v>
      </c>
      <c r="F140" s="110">
        <v>50</v>
      </c>
      <c r="G140" s="106" t="s">
        <v>2795</v>
      </c>
      <c r="H140" s="102">
        <v>0</v>
      </c>
      <c r="I140" s="102">
        <v>0</v>
      </c>
      <c r="J140" s="111" t="s">
        <v>87</v>
      </c>
      <c r="K140" s="111" t="s">
        <v>2708</v>
      </c>
      <c r="L140" s="111" t="s">
        <v>2709</v>
      </c>
      <c r="M140" s="111" t="s">
        <v>2710</v>
      </c>
      <c r="N140" s="111" t="s">
        <v>2711</v>
      </c>
      <c r="O140" s="111" t="s">
        <v>2712</v>
      </c>
      <c r="P140" s="111" t="s">
        <v>2713</v>
      </c>
      <c r="Q140" s="111" t="s">
        <v>2714</v>
      </c>
      <c r="R140" s="111" t="s">
        <v>2715</v>
      </c>
      <c r="S140" s="111" t="s">
        <v>2716</v>
      </c>
      <c r="T140" s="111" t="s">
        <v>2717</v>
      </c>
      <c r="U140" s="111" t="s">
        <v>2718</v>
      </c>
      <c r="V140" s="111" t="s">
        <v>2719</v>
      </c>
      <c r="W140" s="111" t="s">
        <v>2720</v>
      </c>
      <c r="X140" s="111" t="s">
        <v>2721</v>
      </c>
      <c r="Y140" s="111" t="s">
        <v>2722</v>
      </c>
      <c r="Z140" s="111" t="s">
        <v>2723</v>
      </c>
      <c r="AA140" s="111" t="s">
        <v>2798</v>
      </c>
      <c r="AB140" s="111" t="s">
        <v>2798</v>
      </c>
      <c r="AC140" s="111" t="s">
        <v>2798</v>
      </c>
      <c r="AD140" s="111" t="s">
        <v>2798</v>
      </c>
      <c r="AE140" s="111" t="s">
        <v>2798</v>
      </c>
      <c r="AF140" s="111" t="s">
        <v>2798</v>
      </c>
      <c r="AG140" s="111" t="s">
        <v>2798</v>
      </c>
      <c r="AH140" s="111" t="s">
        <v>2798</v>
      </c>
      <c r="AI140" s="111" t="s">
        <v>2798</v>
      </c>
      <c r="AJ140" s="111" t="s">
        <v>2798</v>
      </c>
      <c r="AK140" s="111" t="s">
        <v>2798</v>
      </c>
      <c r="AL140" s="111" t="s">
        <v>2798</v>
      </c>
      <c r="AM140" s="111" t="s">
        <v>2798</v>
      </c>
      <c r="AN140" s="111" t="s">
        <v>2798</v>
      </c>
      <c r="AO140" s="111" t="s">
        <v>2798</v>
      </c>
      <c r="AP140" s="111" t="s">
        <v>2798</v>
      </c>
      <c r="AQ140" s="111" t="s">
        <v>2798</v>
      </c>
      <c r="AR140" s="111" t="s">
        <v>2798</v>
      </c>
      <c r="AS140" s="111" t="s">
        <v>2798</v>
      </c>
      <c r="AT140" s="111" t="s">
        <v>2798</v>
      </c>
      <c r="AU140" s="111" t="s">
        <v>2798</v>
      </c>
      <c r="AV140" s="111" t="s">
        <v>2798</v>
      </c>
      <c r="AW140" s="111" t="s">
        <v>2798</v>
      </c>
      <c r="AX140" s="111" t="s">
        <v>2798</v>
      </c>
      <c r="AY140" s="111" t="s">
        <v>2798</v>
      </c>
      <c r="AZ140" s="111" t="s">
        <v>2798</v>
      </c>
      <c r="BA140" s="111" t="s">
        <v>2798</v>
      </c>
      <c r="BB140" s="111" t="s">
        <v>2798</v>
      </c>
      <c r="BC140" s="111" t="s">
        <v>2798</v>
      </c>
      <c r="BD140" s="111" t="s">
        <v>2798</v>
      </c>
      <c r="BE140" s="111" t="s">
        <v>2798</v>
      </c>
      <c r="BF140" s="111" t="s">
        <v>2798</v>
      </c>
      <c r="BG140" s="111" t="s">
        <v>2798</v>
      </c>
      <c r="BH140" s="111" t="s">
        <v>2798</v>
      </c>
      <c r="BI140" s="111" t="s">
        <v>2798</v>
      </c>
      <c r="BJ140" s="111" t="s">
        <v>2798</v>
      </c>
      <c r="BK140" s="111" t="s">
        <v>2798</v>
      </c>
      <c r="BL140" s="111" t="s">
        <v>2798</v>
      </c>
      <c r="BM140" s="111" t="s">
        <v>2798</v>
      </c>
      <c r="BN140" s="111" t="s">
        <v>2798</v>
      </c>
      <c r="BO140" s="111" t="s">
        <v>2798</v>
      </c>
      <c r="BP140" s="111" t="s">
        <v>2798</v>
      </c>
      <c r="BQ140" s="111" t="s">
        <v>2798</v>
      </c>
      <c r="BR140" s="111" t="s">
        <v>2798</v>
      </c>
      <c r="BS140" s="111" t="s">
        <v>2798</v>
      </c>
      <c r="BT140" s="111" t="s">
        <v>2798</v>
      </c>
      <c r="BU140" s="111" t="s">
        <v>2798</v>
      </c>
      <c r="BV140" s="111" t="s">
        <v>2798</v>
      </c>
      <c r="BW140" s="111" t="s">
        <v>2798</v>
      </c>
      <c r="BX140" s="111" t="s">
        <v>2798</v>
      </c>
      <c r="BY140" s="111" t="s">
        <v>2798</v>
      </c>
      <c r="BZ140" s="111" t="s">
        <v>2798</v>
      </c>
      <c r="CA140" s="111" t="s">
        <v>2798</v>
      </c>
      <c r="CB140" s="111" t="s">
        <v>2798</v>
      </c>
      <c r="CC140" s="111" t="s">
        <v>2798</v>
      </c>
      <c r="CD140" s="111" t="s">
        <v>2798</v>
      </c>
      <c r="CE140" s="111" t="s">
        <v>2798</v>
      </c>
      <c r="CF140" s="111" t="s">
        <v>2798</v>
      </c>
      <c r="CG140" s="111" t="s">
        <v>2798</v>
      </c>
      <c r="CH140" s="111" t="s">
        <v>2798</v>
      </c>
      <c r="CI140" s="111" t="s">
        <v>2798</v>
      </c>
      <c r="CJ140" s="111" t="s">
        <v>2798</v>
      </c>
      <c r="CK140" s="111" t="s">
        <v>2798</v>
      </c>
      <c r="CL140" s="111" t="s">
        <v>2798</v>
      </c>
      <c r="CM140" s="111" t="s">
        <v>2798</v>
      </c>
      <c r="CN140" s="111" t="s">
        <v>2798</v>
      </c>
      <c r="CO140" s="111" t="s">
        <v>2798</v>
      </c>
      <c r="CP140" s="111" t="s">
        <v>2798</v>
      </c>
      <c r="CQ140" s="111" t="s">
        <v>2798</v>
      </c>
    </row>
    <row r="141" spans="2:95" ht="14.25" customHeight="1">
      <c r="B141" s="106" t="s">
        <v>848</v>
      </c>
      <c r="C141" s="106" t="s">
        <v>2930</v>
      </c>
      <c r="D141" s="109">
        <v>13407.449000000001</v>
      </c>
      <c r="E141" s="106" t="s">
        <v>2430</v>
      </c>
      <c r="F141" s="110">
        <v>50</v>
      </c>
      <c r="G141" s="106" t="s">
        <v>2795</v>
      </c>
      <c r="H141" s="102">
        <v>0</v>
      </c>
      <c r="I141" s="102">
        <v>0</v>
      </c>
      <c r="J141" s="111" t="s">
        <v>2798</v>
      </c>
      <c r="K141" s="111" t="s">
        <v>2798</v>
      </c>
      <c r="L141" s="111" t="s">
        <v>2798</v>
      </c>
      <c r="M141" s="111" t="s">
        <v>2798</v>
      </c>
      <c r="N141" s="111" t="s">
        <v>2798</v>
      </c>
      <c r="O141" s="111" t="s">
        <v>2798</v>
      </c>
      <c r="P141" s="111" t="s">
        <v>2798</v>
      </c>
      <c r="Q141" s="111" t="s">
        <v>2798</v>
      </c>
      <c r="R141" s="111" t="s">
        <v>2798</v>
      </c>
      <c r="S141" s="111" t="s">
        <v>2798</v>
      </c>
      <c r="T141" s="111" t="s">
        <v>2798</v>
      </c>
      <c r="U141" s="111" t="s">
        <v>2798</v>
      </c>
      <c r="V141" s="111" t="s">
        <v>2798</v>
      </c>
      <c r="W141" s="111" t="s">
        <v>2798</v>
      </c>
      <c r="X141" s="111" t="s">
        <v>2798</v>
      </c>
      <c r="Y141" s="111" t="s">
        <v>2798</v>
      </c>
      <c r="Z141" s="111" t="s">
        <v>2798</v>
      </c>
      <c r="AA141" s="111" t="s">
        <v>2724</v>
      </c>
      <c r="AB141" s="111" t="s">
        <v>2725</v>
      </c>
      <c r="AC141" s="111" t="s">
        <v>2726</v>
      </c>
      <c r="AD141" s="111" t="s">
        <v>2727</v>
      </c>
      <c r="AE141" s="111" t="s">
        <v>2728</v>
      </c>
      <c r="AF141" s="111" t="s">
        <v>2729</v>
      </c>
      <c r="AG141" s="111" t="s">
        <v>2730</v>
      </c>
      <c r="AH141" s="111" t="s">
        <v>2731</v>
      </c>
      <c r="AI141" s="111" t="s">
        <v>2732</v>
      </c>
      <c r="AJ141" s="111" t="s">
        <v>2733</v>
      </c>
      <c r="AK141" s="111" t="s">
        <v>2734</v>
      </c>
      <c r="AL141" s="111" t="s">
        <v>2735</v>
      </c>
      <c r="AM141" s="111" t="s">
        <v>2736</v>
      </c>
      <c r="AN141" s="111" t="s">
        <v>2737</v>
      </c>
      <c r="AO141" s="111" t="s">
        <v>2738</v>
      </c>
      <c r="AP141" s="111" t="s">
        <v>2739</v>
      </c>
      <c r="AQ141" s="111" t="s">
        <v>2740</v>
      </c>
      <c r="AR141" s="111" t="s">
        <v>2798</v>
      </c>
      <c r="AS141" s="111" t="s">
        <v>2798</v>
      </c>
      <c r="AT141" s="111" t="s">
        <v>2798</v>
      </c>
      <c r="AU141" s="111" t="s">
        <v>2798</v>
      </c>
      <c r="AV141" s="111" t="s">
        <v>2798</v>
      </c>
      <c r="AW141" s="111" t="s">
        <v>2798</v>
      </c>
      <c r="AX141" s="111" t="s">
        <v>2798</v>
      </c>
      <c r="AY141" s="111" t="s">
        <v>2798</v>
      </c>
      <c r="AZ141" s="111" t="s">
        <v>2798</v>
      </c>
      <c r="BA141" s="111" t="s">
        <v>2798</v>
      </c>
      <c r="BB141" s="111" t="s">
        <v>2798</v>
      </c>
      <c r="BC141" s="111" t="s">
        <v>2798</v>
      </c>
      <c r="BD141" s="111" t="s">
        <v>2798</v>
      </c>
      <c r="BE141" s="111" t="s">
        <v>2798</v>
      </c>
      <c r="BF141" s="111" t="s">
        <v>2798</v>
      </c>
      <c r="BG141" s="111" t="s">
        <v>2798</v>
      </c>
      <c r="BH141" s="111" t="s">
        <v>2798</v>
      </c>
      <c r="BI141" s="111" t="s">
        <v>2798</v>
      </c>
      <c r="BJ141" s="111" t="s">
        <v>2798</v>
      </c>
      <c r="BK141" s="111" t="s">
        <v>2798</v>
      </c>
      <c r="BL141" s="111" t="s">
        <v>2798</v>
      </c>
      <c r="BM141" s="111" t="s">
        <v>2798</v>
      </c>
      <c r="BN141" s="111" t="s">
        <v>2798</v>
      </c>
      <c r="BO141" s="111" t="s">
        <v>2798</v>
      </c>
      <c r="BP141" s="111" t="s">
        <v>2798</v>
      </c>
      <c r="BQ141" s="111" t="s">
        <v>2798</v>
      </c>
      <c r="BR141" s="111" t="s">
        <v>2798</v>
      </c>
      <c r="BS141" s="111" t="s">
        <v>2798</v>
      </c>
      <c r="BT141" s="111" t="s">
        <v>2798</v>
      </c>
      <c r="BU141" s="111" t="s">
        <v>2798</v>
      </c>
      <c r="BV141" s="111" t="s">
        <v>2798</v>
      </c>
      <c r="BW141" s="111" t="s">
        <v>2798</v>
      </c>
      <c r="BX141" s="111" t="s">
        <v>2798</v>
      </c>
      <c r="BY141" s="111" t="s">
        <v>2798</v>
      </c>
      <c r="BZ141" s="111" t="s">
        <v>2798</v>
      </c>
      <c r="CA141" s="111" t="s">
        <v>2798</v>
      </c>
      <c r="CB141" s="111" t="s">
        <v>2798</v>
      </c>
      <c r="CC141" s="111" t="s">
        <v>2798</v>
      </c>
      <c r="CD141" s="111" t="s">
        <v>2798</v>
      </c>
      <c r="CE141" s="111" t="s">
        <v>2798</v>
      </c>
      <c r="CF141" s="111" t="s">
        <v>2798</v>
      </c>
      <c r="CG141" s="111" t="s">
        <v>2798</v>
      </c>
      <c r="CH141" s="111" t="s">
        <v>2798</v>
      </c>
      <c r="CI141" s="111" t="s">
        <v>2798</v>
      </c>
      <c r="CJ141" s="111" t="s">
        <v>2798</v>
      </c>
      <c r="CK141" s="111" t="s">
        <v>2798</v>
      </c>
      <c r="CL141" s="111" t="s">
        <v>2798</v>
      </c>
      <c r="CM141" s="111" t="s">
        <v>2798</v>
      </c>
      <c r="CN141" s="111" t="s">
        <v>2798</v>
      </c>
      <c r="CO141" s="111" t="s">
        <v>2798</v>
      </c>
      <c r="CP141" s="111" t="s">
        <v>2798</v>
      </c>
      <c r="CQ141" s="111" t="s">
        <v>2798</v>
      </c>
    </row>
    <row r="142" spans="2:95" ht="14.25" customHeight="1">
      <c r="B142" s="106" t="s">
        <v>849</v>
      </c>
      <c r="C142" s="106" t="s">
        <v>2931</v>
      </c>
      <c r="D142" s="109">
        <v>13457.407999999999</v>
      </c>
      <c r="E142" s="106" t="s">
        <v>2430</v>
      </c>
      <c r="F142" s="110">
        <v>49.958999999998923</v>
      </c>
      <c r="G142" s="106" t="s">
        <v>2795</v>
      </c>
      <c r="H142" s="102">
        <v>0</v>
      </c>
      <c r="I142" s="102">
        <v>0</v>
      </c>
      <c r="J142" s="111" t="s">
        <v>2798</v>
      </c>
      <c r="K142" s="111" t="s">
        <v>2798</v>
      </c>
      <c r="L142" s="111" t="s">
        <v>2798</v>
      </c>
      <c r="M142" s="111" t="s">
        <v>2798</v>
      </c>
      <c r="N142" s="111" t="s">
        <v>2798</v>
      </c>
      <c r="O142" s="111" t="s">
        <v>2798</v>
      </c>
      <c r="P142" s="111" t="s">
        <v>2798</v>
      </c>
      <c r="Q142" s="111" t="s">
        <v>2798</v>
      </c>
      <c r="R142" s="111" t="s">
        <v>2798</v>
      </c>
      <c r="S142" s="111" t="s">
        <v>2798</v>
      </c>
      <c r="T142" s="111" t="s">
        <v>2798</v>
      </c>
      <c r="U142" s="111" t="s">
        <v>2798</v>
      </c>
      <c r="V142" s="111" t="s">
        <v>2798</v>
      </c>
      <c r="W142" s="111" t="s">
        <v>2798</v>
      </c>
      <c r="X142" s="111" t="s">
        <v>2798</v>
      </c>
      <c r="Y142" s="111" t="s">
        <v>2798</v>
      </c>
      <c r="Z142" s="111" t="s">
        <v>2798</v>
      </c>
      <c r="AA142" s="111" t="s">
        <v>2798</v>
      </c>
      <c r="AB142" s="111" t="s">
        <v>2798</v>
      </c>
      <c r="AC142" s="111" t="s">
        <v>2798</v>
      </c>
      <c r="AD142" s="111" t="s">
        <v>2798</v>
      </c>
      <c r="AE142" s="111" t="s">
        <v>2798</v>
      </c>
      <c r="AF142" s="111" t="s">
        <v>2798</v>
      </c>
      <c r="AG142" s="111" t="s">
        <v>2798</v>
      </c>
      <c r="AH142" s="111" t="s">
        <v>2798</v>
      </c>
      <c r="AI142" s="111" t="s">
        <v>2798</v>
      </c>
      <c r="AJ142" s="111" t="s">
        <v>2798</v>
      </c>
      <c r="AK142" s="111" t="s">
        <v>2798</v>
      </c>
      <c r="AL142" s="111" t="s">
        <v>2798</v>
      </c>
      <c r="AM142" s="111" t="s">
        <v>2798</v>
      </c>
      <c r="AN142" s="111" t="s">
        <v>2798</v>
      </c>
      <c r="AO142" s="111" t="s">
        <v>2798</v>
      </c>
      <c r="AP142" s="111" t="s">
        <v>2798</v>
      </c>
      <c r="AQ142" s="111" t="s">
        <v>2798</v>
      </c>
      <c r="AR142" s="111" t="s">
        <v>2798</v>
      </c>
      <c r="AS142" s="111" t="s">
        <v>2798</v>
      </c>
      <c r="AT142" s="111" t="s">
        <v>2798</v>
      </c>
      <c r="AU142" s="111" t="s">
        <v>2798</v>
      </c>
      <c r="AV142" s="111" t="s">
        <v>2798</v>
      </c>
      <c r="AW142" s="111" t="s">
        <v>2798</v>
      </c>
      <c r="AX142" s="111" t="s">
        <v>2798</v>
      </c>
      <c r="AY142" s="111" t="s">
        <v>2798</v>
      </c>
      <c r="AZ142" s="111" t="s">
        <v>2798</v>
      </c>
      <c r="BA142" s="111" t="s">
        <v>2798</v>
      </c>
      <c r="BB142" s="111" t="s">
        <v>2798</v>
      </c>
      <c r="BC142" s="111" t="s">
        <v>2798</v>
      </c>
      <c r="BD142" s="111" t="s">
        <v>2798</v>
      </c>
      <c r="BE142" s="111" t="s">
        <v>2798</v>
      </c>
      <c r="BF142" s="111" t="s">
        <v>2798</v>
      </c>
      <c r="BG142" s="111" t="s">
        <v>2798</v>
      </c>
      <c r="BH142" s="111" t="s">
        <v>2798</v>
      </c>
      <c r="BI142" s="111" t="s">
        <v>2758</v>
      </c>
      <c r="BJ142" s="111" t="s">
        <v>2759</v>
      </c>
      <c r="BK142" s="111" t="s">
        <v>2760</v>
      </c>
      <c r="BL142" s="111" t="s">
        <v>2761</v>
      </c>
      <c r="BM142" s="111" t="s">
        <v>2762</v>
      </c>
      <c r="BN142" s="111" t="s">
        <v>2763</v>
      </c>
      <c r="BO142" s="111" t="s">
        <v>2764</v>
      </c>
      <c r="BP142" s="111" t="s">
        <v>2765</v>
      </c>
      <c r="BQ142" s="111" t="s">
        <v>2766</v>
      </c>
      <c r="BR142" s="111" t="s">
        <v>2767</v>
      </c>
      <c r="BS142" s="111" t="s">
        <v>2768</v>
      </c>
      <c r="BT142" s="111" t="s">
        <v>2769</v>
      </c>
      <c r="BU142" s="111" t="s">
        <v>2770</v>
      </c>
      <c r="BV142" s="111" t="s">
        <v>2771</v>
      </c>
      <c r="BW142" s="111" t="s">
        <v>2772</v>
      </c>
      <c r="BX142" s="111" t="s">
        <v>2773</v>
      </c>
      <c r="BY142" s="111" t="s">
        <v>2774</v>
      </c>
      <c r="BZ142" s="111" t="s">
        <v>2798</v>
      </c>
      <c r="CA142" s="111" t="s">
        <v>2798</v>
      </c>
      <c r="CB142" s="111" t="s">
        <v>2798</v>
      </c>
      <c r="CC142" s="111" t="s">
        <v>2798</v>
      </c>
      <c r="CD142" s="111" t="s">
        <v>2798</v>
      </c>
      <c r="CE142" s="111" t="s">
        <v>2798</v>
      </c>
      <c r="CF142" s="111" t="s">
        <v>2798</v>
      </c>
      <c r="CG142" s="111" t="s">
        <v>2798</v>
      </c>
      <c r="CH142" s="111" t="s">
        <v>2798</v>
      </c>
      <c r="CI142" s="111" t="s">
        <v>2798</v>
      </c>
      <c r="CJ142" s="111" t="s">
        <v>2798</v>
      </c>
      <c r="CK142" s="111" t="s">
        <v>2798</v>
      </c>
      <c r="CL142" s="111" t="s">
        <v>2798</v>
      </c>
      <c r="CM142" s="111" t="s">
        <v>2798</v>
      </c>
      <c r="CN142" s="111" t="s">
        <v>2798</v>
      </c>
      <c r="CO142" s="111" t="s">
        <v>2798</v>
      </c>
      <c r="CP142" s="111" t="s">
        <v>2798</v>
      </c>
      <c r="CQ142" s="111" t="s">
        <v>2798</v>
      </c>
    </row>
    <row r="143" spans="2:95" ht="14.25" customHeight="1">
      <c r="B143" s="106" t="s">
        <v>850</v>
      </c>
      <c r="C143" s="106" t="s">
        <v>2932</v>
      </c>
      <c r="D143" s="109">
        <v>13507.117</v>
      </c>
      <c r="E143" s="106" t="s">
        <v>2430</v>
      </c>
      <c r="F143" s="110">
        <v>49.709000000000742</v>
      </c>
      <c r="G143" s="106" t="s">
        <v>2793</v>
      </c>
      <c r="H143" s="102">
        <v>0</v>
      </c>
      <c r="I143" s="102">
        <v>0</v>
      </c>
      <c r="J143" s="111" t="s">
        <v>2798</v>
      </c>
      <c r="K143" s="111" t="s">
        <v>2798</v>
      </c>
      <c r="L143" s="111" t="s">
        <v>2798</v>
      </c>
      <c r="M143" s="111" t="s">
        <v>2798</v>
      </c>
      <c r="N143" s="111" t="s">
        <v>2798</v>
      </c>
      <c r="O143" s="111" t="s">
        <v>2798</v>
      </c>
      <c r="P143" s="111" t="s">
        <v>2798</v>
      </c>
      <c r="Q143" s="111" t="s">
        <v>2798</v>
      </c>
      <c r="R143" s="111" t="s">
        <v>2798</v>
      </c>
      <c r="S143" s="111" t="s">
        <v>2798</v>
      </c>
      <c r="T143" s="111" t="s">
        <v>2798</v>
      </c>
      <c r="U143" s="111" t="s">
        <v>2798</v>
      </c>
      <c r="V143" s="111" t="s">
        <v>2798</v>
      </c>
      <c r="W143" s="111" t="s">
        <v>2798</v>
      </c>
      <c r="X143" s="111" t="s">
        <v>2798</v>
      </c>
      <c r="Y143" s="111" t="s">
        <v>2798</v>
      </c>
      <c r="Z143" s="111" t="s">
        <v>2798</v>
      </c>
      <c r="AA143" s="111" t="s">
        <v>2798</v>
      </c>
      <c r="AB143" s="111" t="s">
        <v>2798</v>
      </c>
      <c r="AC143" s="111" t="s">
        <v>2798</v>
      </c>
      <c r="AD143" s="111" t="s">
        <v>2798</v>
      </c>
      <c r="AE143" s="111" t="s">
        <v>2798</v>
      </c>
      <c r="AF143" s="111" t="s">
        <v>2798</v>
      </c>
      <c r="AG143" s="111" t="s">
        <v>2798</v>
      </c>
      <c r="AH143" s="111" t="s">
        <v>2798</v>
      </c>
      <c r="AI143" s="111" t="s">
        <v>2798</v>
      </c>
      <c r="AJ143" s="111" t="s">
        <v>2798</v>
      </c>
      <c r="AK143" s="111" t="s">
        <v>2798</v>
      </c>
      <c r="AL143" s="111" t="s">
        <v>2798</v>
      </c>
      <c r="AM143" s="111" t="s">
        <v>2798</v>
      </c>
      <c r="AN143" s="111" t="s">
        <v>2798</v>
      </c>
      <c r="AO143" s="111" t="s">
        <v>2798</v>
      </c>
      <c r="AP143" s="111" t="s">
        <v>2798</v>
      </c>
      <c r="AQ143" s="111" t="s">
        <v>2798</v>
      </c>
      <c r="AR143" s="111" t="s">
        <v>2798</v>
      </c>
      <c r="AS143" s="111" t="s">
        <v>2798</v>
      </c>
      <c r="AT143" s="111" t="s">
        <v>2798</v>
      </c>
      <c r="AU143" s="111" t="s">
        <v>2798</v>
      </c>
      <c r="AV143" s="111" t="s">
        <v>2798</v>
      </c>
      <c r="AW143" s="111" t="s">
        <v>2798</v>
      </c>
      <c r="AX143" s="111" t="s">
        <v>2798</v>
      </c>
      <c r="AY143" s="111" t="s">
        <v>2798</v>
      </c>
      <c r="AZ143" s="111" t="s">
        <v>2798</v>
      </c>
      <c r="BA143" s="111" t="s">
        <v>2798</v>
      </c>
      <c r="BB143" s="111" t="s">
        <v>2798</v>
      </c>
      <c r="BC143" s="111" t="s">
        <v>2798</v>
      </c>
      <c r="BD143" s="111" t="s">
        <v>2798</v>
      </c>
      <c r="BE143" s="111" t="s">
        <v>2798</v>
      </c>
      <c r="BF143" s="111" t="s">
        <v>2798</v>
      </c>
      <c r="BG143" s="111" t="s">
        <v>2798</v>
      </c>
      <c r="BH143" s="111" t="s">
        <v>2798</v>
      </c>
      <c r="BI143" s="111" t="s">
        <v>2798</v>
      </c>
      <c r="BJ143" s="111" t="s">
        <v>2798</v>
      </c>
      <c r="BK143" s="111" t="s">
        <v>2798</v>
      </c>
      <c r="BL143" s="111" t="s">
        <v>2798</v>
      </c>
      <c r="BM143" s="111" t="s">
        <v>2798</v>
      </c>
      <c r="BN143" s="111" t="s">
        <v>2798</v>
      </c>
      <c r="BO143" s="111" t="s">
        <v>2798</v>
      </c>
      <c r="BP143" s="111" t="s">
        <v>2798</v>
      </c>
      <c r="BQ143" s="111" t="s">
        <v>2798</v>
      </c>
      <c r="BR143" s="111" t="s">
        <v>2798</v>
      </c>
      <c r="BS143" s="111" t="s">
        <v>2798</v>
      </c>
      <c r="BT143" s="111" t="s">
        <v>2798</v>
      </c>
      <c r="BU143" s="111" t="s">
        <v>2798</v>
      </c>
      <c r="BV143" s="111" t="s">
        <v>2798</v>
      </c>
      <c r="BW143" s="111" t="s">
        <v>2798</v>
      </c>
      <c r="BX143" s="111" t="s">
        <v>2798</v>
      </c>
      <c r="BY143" s="111" t="s">
        <v>2798</v>
      </c>
      <c r="BZ143" s="111" t="s">
        <v>2775</v>
      </c>
      <c r="CA143" s="111" t="s">
        <v>2776</v>
      </c>
      <c r="CB143" s="111" t="s">
        <v>2777</v>
      </c>
      <c r="CC143" s="111" t="s">
        <v>2778</v>
      </c>
      <c r="CD143" s="111" t="s">
        <v>2779</v>
      </c>
      <c r="CE143" s="111" t="s">
        <v>2780</v>
      </c>
      <c r="CF143" s="111" t="s">
        <v>2781</v>
      </c>
      <c r="CG143" s="111" t="s">
        <v>2782</v>
      </c>
      <c r="CH143" s="111" t="s">
        <v>2783</v>
      </c>
      <c r="CI143" s="111" t="s">
        <v>2798</v>
      </c>
      <c r="CJ143" s="111" t="s">
        <v>2785</v>
      </c>
      <c r="CK143" s="111" t="s">
        <v>2786</v>
      </c>
      <c r="CL143" s="111" t="s">
        <v>2787</v>
      </c>
      <c r="CM143" s="111" t="s">
        <v>2788</v>
      </c>
      <c r="CN143" s="111" t="s">
        <v>2789</v>
      </c>
      <c r="CO143" s="111" t="s">
        <v>2790</v>
      </c>
      <c r="CP143" s="111" t="s">
        <v>2791</v>
      </c>
      <c r="CQ143" s="111" t="s">
        <v>2792</v>
      </c>
    </row>
    <row r="144" spans="2:95" ht="14.25" customHeight="1">
      <c r="B144" s="106" t="s">
        <v>851</v>
      </c>
      <c r="C144" s="106" t="s">
        <v>2933</v>
      </c>
      <c r="D144" s="109">
        <v>13546.782999999999</v>
      </c>
      <c r="E144" s="106" t="s">
        <v>2447</v>
      </c>
      <c r="F144" s="110">
        <v>39.665999999999258</v>
      </c>
      <c r="G144" s="106" t="s">
        <v>2795</v>
      </c>
      <c r="H144" s="102">
        <v>0</v>
      </c>
      <c r="I144" s="102">
        <v>0</v>
      </c>
      <c r="J144" s="111" t="s">
        <v>87</v>
      </c>
      <c r="K144" s="111" t="s">
        <v>2708</v>
      </c>
      <c r="L144" s="111" t="s">
        <v>2709</v>
      </c>
      <c r="M144" s="111" t="s">
        <v>2710</v>
      </c>
      <c r="N144" s="111" t="s">
        <v>2711</v>
      </c>
      <c r="O144" s="111" t="s">
        <v>2712</v>
      </c>
      <c r="P144" s="111" t="s">
        <v>2713</v>
      </c>
      <c r="Q144" s="111" t="s">
        <v>2714</v>
      </c>
      <c r="R144" s="111" t="s">
        <v>2715</v>
      </c>
      <c r="S144" s="111" t="s">
        <v>2716</v>
      </c>
      <c r="T144" s="111" t="s">
        <v>2717</v>
      </c>
      <c r="U144" s="111" t="s">
        <v>2718</v>
      </c>
      <c r="V144" s="111" t="s">
        <v>2719</v>
      </c>
      <c r="W144" s="111" t="s">
        <v>2720</v>
      </c>
      <c r="X144" s="111" t="s">
        <v>2798</v>
      </c>
      <c r="Y144" s="111" t="s">
        <v>2798</v>
      </c>
      <c r="Z144" s="111" t="s">
        <v>2798</v>
      </c>
      <c r="AA144" s="111" t="s">
        <v>2798</v>
      </c>
      <c r="AB144" s="111" t="s">
        <v>2798</v>
      </c>
      <c r="AC144" s="111" t="s">
        <v>2798</v>
      </c>
      <c r="AD144" s="111" t="s">
        <v>2798</v>
      </c>
      <c r="AE144" s="111" t="s">
        <v>2798</v>
      </c>
      <c r="AF144" s="111" t="s">
        <v>2798</v>
      </c>
      <c r="AG144" s="111" t="s">
        <v>2798</v>
      </c>
      <c r="AH144" s="111" t="s">
        <v>2798</v>
      </c>
      <c r="AI144" s="111" t="s">
        <v>2798</v>
      </c>
      <c r="AJ144" s="111" t="s">
        <v>2798</v>
      </c>
      <c r="AK144" s="111" t="s">
        <v>2798</v>
      </c>
      <c r="AL144" s="111" t="s">
        <v>2798</v>
      </c>
      <c r="AM144" s="111" t="s">
        <v>2798</v>
      </c>
      <c r="AN144" s="111" t="s">
        <v>2798</v>
      </c>
      <c r="AO144" s="111" t="s">
        <v>2798</v>
      </c>
      <c r="AP144" s="111" t="s">
        <v>2798</v>
      </c>
      <c r="AQ144" s="111" t="s">
        <v>2798</v>
      </c>
      <c r="AR144" s="111" t="s">
        <v>2798</v>
      </c>
      <c r="AS144" s="111" t="s">
        <v>2798</v>
      </c>
      <c r="AT144" s="111" t="s">
        <v>2798</v>
      </c>
      <c r="AU144" s="111" t="s">
        <v>2798</v>
      </c>
      <c r="AV144" s="111" t="s">
        <v>2798</v>
      </c>
      <c r="AW144" s="111" t="s">
        <v>2798</v>
      </c>
      <c r="AX144" s="111" t="s">
        <v>2798</v>
      </c>
      <c r="AY144" s="111" t="s">
        <v>2798</v>
      </c>
      <c r="AZ144" s="111" t="s">
        <v>2798</v>
      </c>
      <c r="BA144" s="111" t="s">
        <v>2798</v>
      </c>
      <c r="BB144" s="111" t="s">
        <v>2798</v>
      </c>
      <c r="BC144" s="111" t="s">
        <v>2798</v>
      </c>
      <c r="BD144" s="111" t="s">
        <v>2798</v>
      </c>
      <c r="BE144" s="111" t="s">
        <v>2798</v>
      </c>
      <c r="BF144" s="111" t="s">
        <v>2798</v>
      </c>
      <c r="BG144" s="111" t="s">
        <v>2798</v>
      </c>
      <c r="BH144" s="111" t="s">
        <v>2798</v>
      </c>
      <c r="BI144" s="111" t="s">
        <v>2798</v>
      </c>
      <c r="BJ144" s="111" t="s">
        <v>2798</v>
      </c>
      <c r="BK144" s="111" t="s">
        <v>2798</v>
      </c>
      <c r="BL144" s="111" t="s">
        <v>2798</v>
      </c>
      <c r="BM144" s="111" t="s">
        <v>2798</v>
      </c>
      <c r="BN144" s="111" t="s">
        <v>2798</v>
      </c>
      <c r="BO144" s="111" t="s">
        <v>2798</v>
      </c>
      <c r="BP144" s="111" t="s">
        <v>2798</v>
      </c>
      <c r="BQ144" s="111" t="s">
        <v>2798</v>
      </c>
      <c r="BR144" s="111" t="s">
        <v>2798</v>
      </c>
      <c r="BS144" s="111" t="s">
        <v>2798</v>
      </c>
      <c r="BT144" s="111" t="s">
        <v>2798</v>
      </c>
      <c r="BU144" s="111" t="s">
        <v>2798</v>
      </c>
      <c r="BV144" s="111" t="s">
        <v>2798</v>
      </c>
      <c r="BW144" s="111" t="s">
        <v>2798</v>
      </c>
      <c r="BX144" s="111" t="s">
        <v>2798</v>
      </c>
      <c r="BY144" s="111" t="s">
        <v>2798</v>
      </c>
      <c r="BZ144" s="111" t="s">
        <v>2798</v>
      </c>
      <c r="CA144" s="111" t="s">
        <v>2798</v>
      </c>
      <c r="CB144" s="111" t="s">
        <v>2798</v>
      </c>
      <c r="CC144" s="111" t="s">
        <v>2798</v>
      </c>
      <c r="CD144" s="111" t="s">
        <v>2798</v>
      </c>
      <c r="CE144" s="111" t="s">
        <v>2798</v>
      </c>
      <c r="CF144" s="111" t="s">
        <v>2798</v>
      </c>
      <c r="CG144" s="111" t="s">
        <v>2798</v>
      </c>
      <c r="CH144" s="111" t="s">
        <v>2798</v>
      </c>
      <c r="CI144" s="111" t="s">
        <v>2798</v>
      </c>
      <c r="CJ144" s="111" t="s">
        <v>2798</v>
      </c>
      <c r="CK144" s="111" t="s">
        <v>2798</v>
      </c>
      <c r="CL144" s="111" t="s">
        <v>2798</v>
      </c>
      <c r="CM144" s="111" t="s">
        <v>2798</v>
      </c>
      <c r="CN144" s="111" t="s">
        <v>2798</v>
      </c>
      <c r="CO144" s="111" t="s">
        <v>2798</v>
      </c>
      <c r="CP144" s="111" t="s">
        <v>2798</v>
      </c>
      <c r="CQ144" s="111" t="s">
        <v>2798</v>
      </c>
    </row>
    <row r="145" spans="2:95" ht="14.25" customHeight="1">
      <c r="B145" s="106" t="s">
        <v>852</v>
      </c>
      <c r="C145" s="106" t="s">
        <v>2934</v>
      </c>
      <c r="D145" s="109">
        <v>13586.453</v>
      </c>
      <c r="E145" s="106" t="s">
        <v>2447</v>
      </c>
      <c r="F145" s="110">
        <v>39.670000000000073</v>
      </c>
      <c r="G145" s="106" t="s">
        <v>2795</v>
      </c>
      <c r="H145" s="102">
        <v>0</v>
      </c>
      <c r="I145" s="102">
        <v>0</v>
      </c>
      <c r="J145" s="111" t="s">
        <v>2798</v>
      </c>
      <c r="K145" s="111" t="s">
        <v>2798</v>
      </c>
      <c r="L145" s="111" t="s">
        <v>2798</v>
      </c>
      <c r="M145" s="111" t="s">
        <v>2798</v>
      </c>
      <c r="N145" s="111" t="s">
        <v>2798</v>
      </c>
      <c r="O145" s="111" t="s">
        <v>2798</v>
      </c>
      <c r="P145" s="111" t="s">
        <v>2798</v>
      </c>
      <c r="Q145" s="111" t="s">
        <v>2798</v>
      </c>
      <c r="R145" s="111" t="s">
        <v>2798</v>
      </c>
      <c r="S145" s="111" t="s">
        <v>2798</v>
      </c>
      <c r="T145" s="111" t="s">
        <v>2798</v>
      </c>
      <c r="U145" s="111" t="s">
        <v>2798</v>
      </c>
      <c r="V145" s="111" t="s">
        <v>2798</v>
      </c>
      <c r="W145" s="111" t="s">
        <v>2798</v>
      </c>
      <c r="X145" s="111" t="s">
        <v>2721</v>
      </c>
      <c r="Y145" s="111" t="s">
        <v>2722</v>
      </c>
      <c r="Z145" s="111" t="s">
        <v>2723</v>
      </c>
      <c r="AA145" s="111" t="s">
        <v>2724</v>
      </c>
      <c r="AB145" s="111" t="s">
        <v>2725</v>
      </c>
      <c r="AC145" s="111" t="s">
        <v>2726</v>
      </c>
      <c r="AD145" s="111" t="s">
        <v>2727</v>
      </c>
      <c r="AE145" s="111" t="s">
        <v>2798</v>
      </c>
      <c r="AF145" s="111" t="s">
        <v>2798</v>
      </c>
      <c r="AG145" s="111" t="s">
        <v>2798</v>
      </c>
      <c r="AH145" s="111" t="s">
        <v>2798</v>
      </c>
      <c r="AI145" s="111" t="s">
        <v>2798</v>
      </c>
      <c r="AJ145" s="111" t="s">
        <v>2798</v>
      </c>
      <c r="AK145" s="111" t="s">
        <v>2798</v>
      </c>
      <c r="AL145" s="111" t="s">
        <v>2798</v>
      </c>
      <c r="AM145" s="111" t="s">
        <v>2798</v>
      </c>
      <c r="AN145" s="111" t="s">
        <v>2798</v>
      </c>
      <c r="AO145" s="111" t="s">
        <v>2798</v>
      </c>
      <c r="AP145" s="111" t="s">
        <v>2798</v>
      </c>
      <c r="AQ145" s="111" t="s">
        <v>2798</v>
      </c>
      <c r="AR145" s="111" t="s">
        <v>2798</v>
      </c>
      <c r="AS145" s="111" t="s">
        <v>2798</v>
      </c>
      <c r="AT145" s="111" t="s">
        <v>2798</v>
      </c>
      <c r="AU145" s="111" t="s">
        <v>2798</v>
      </c>
      <c r="AV145" s="111" t="s">
        <v>2798</v>
      </c>
      <c r="AW145" s="111" t="s">
        <v>2798</v>
      </c>
      <c r="AX145" s="111" t="s">
        <v>2798</v>
      </c>
      <c r="AY145" s="111" t="s">
        <v>2798</v>
      </c>
      <c r="AZ145" s="111" t="s">
        <v>2798</v>
      </c>
      <c r="BA145" s="111" t="s">
        <v>2798</v>
      </c>
      <c r="BB145" s="111" t="s">
        <v>2798</v>
      </c>
      <c r="BC145" s="111" t="s">
        <v>2798</v>
      </c>
      <c r="BD145" s="111" t="s">
        <v>2798</v>
      </c>
      <c r="BE145" s="111" t="s">
        <v>2798</v>
      </c>
      <c r="BF145" s="111" t="s">
        <v>2798</v>
      </c>
      <c r="BG145" s="111" t="s">
        <v>2798</v>
      </c>
      <c r="BH145" s="111" t="s">
        <v>2798</v>
      </c>
      <c r="BI145" s="111" t="s">
        <v>2798</v>
      </c>
      <c r="BJ145" s="111" t="s">
        <v>2798</v>
      </c>
      <c r="BK145" s="111" t="s">
        <v>2798</v>
      </c>
      <c r="BL145" s="111" t="s">
        <v>2798</v>
      </c>
      <c r="BM145" s="111" t="s">
        <v>2798</v>
      </c>
      <c r="BN145" s="111" t="s">
        <v>2798</v>
      </c>
      <c r="BO145" s="111" t="s">
        <v>2798</v>
      </c>
      <c r="BP145" s="111" t="s">
        <v>2798</v>
      </c>
      <c r="BQ145" s="111" t="s">
        <v>2798</v>
      </c>
      <c r="BR145" s="111" t="s">
        <v>2798</v>
      </c>
      <c r="BS145" s="111" t="s">
        <v>2798</v>
      </c>
      <c r="BT145" s="111" t="s">
        <v>2798</v>
      </c>
      <c r="BU145" s="111" t="s">
        <v>2798</v>
      </c>
      <c r="BV145" s="111" t="s">
        <v>2771</v>
      </c>
      <c r="BW145" s="111" t="s">
        <v>2772</v>
      </c>
      <c r="BX145" s="111" t="s">
        <v>2773</v>
      </c>
      <c r="BY145" s="111" t="s">
        <v>2774</v>
      </c>
      <c r="BZ145" s="111" t="s">
        <v>2775</v>
      </c>
      <c r="CA145" s="111" t="s">
        <v>2776</v>
      </c>
      <c r="CB145" s="111" t="s">
        <v>2777</v>
      </c>
      <c r="CC145" s="111" t="s">
        <v>2798</v>
      </c>
      <c r="CD145" s="111" t="s">
        <v>2798</v>
      </c>
      <c r="CE145" s="111" t="s">
        <v>2798</v>
      </c>
      <c r="CF145" s="111" t="s">
        <v>2798</v>
      </c>
      <c r="CG145" s="111" t="s">
        <v>2798</v>
      </c>
      <c r="CH145" s="111" t="s">
        <v>2798</v>
      </c>
      <c r="CI145" s="111" t="s">
        <v>2798</v>
      </c>
      <c r="CJ145" s="111" t="s">
        <v>2798</v>
      </c>
      <c r="CK145" s="111" t="s">
        <v>2798</v>
      </c>
      <c r="CL145" s="111" t="s">
        <v>2798</v>
      </c>
      <c r="CM145" s="111" t="s">
        <v>2798</v>
      </c>
      <c r="CN145" s="111" t="s">
        <v>2798</v>
      </c>
      <c r="CO145" s="111" t="s">
        <v>2798</v>
      </c>
      <c r="CP145" s="111" t="s">
        <v>2798</v>
      </c>
      <c r="CQ145" s="111" t="s">
        <v>2798</v>
      </c>
    </row>
    <row r="146" spans="2:95" ht="14.25" customHeight="1">
      <c r="B146" s="106" t="s">
        <v>853</v>
      </c>
      <c r="C146" s="106" t="s">
        <v>2935</v>
      </c>
      <c r="D146" s="109">
        <v>13626.121999999999</v>
      </c>
      <c r="E146" s="106" t="s">
        <v>2447</v>
      </c>
      <c r="F146" s="110">
        <v>39.668999999999869</v>
      </c>
      <c r="G146" s="106" t="s">
        <v>2793</v>
      </c>
      <c r="H146" s="102">
        <v>0</v>
      </c>
      <c r="I146" s="102">
        <v>0</v>
      </c>
      <c r="J146" s="111" t="s">
        <v>2798</v>
      </c>
      <c r="K146" s="111" t="s">
        <v>2798</v>
      </c>
      <c r="L146" s="111" t="s">
        <v>2798</v>
      </c>
      <c r="M146" s="111" t="s">
        <v>2798</v>
      </c>
      <c r="N146" s="111" t="s">
        <v>2798</v>
      </c>
      <c r="O146" s="111" t="s">
        <v>2798</v>
      </c>
      <c r="P146" s="111" t="s">
        <v>2798</v>
      </c>
      <c r="Q146" s="111" t="s">
        <v>2798</v>
      </c>
      <c r="R146" s="111" t="s">
        <v>2798</v>
      </c>
      <c r="S146" s="111" t="s">
        <v>2798</v>
      </c>
      <c r="T146" s="111" t="s">
        <v>2798</v>
      </c>
      <c r="U146" s="111" t="s">
        <v>2798</v>
      </c>
      <c r="V146" s="111" t="s">
        <v>2798</v>
      </c>
      <c r="W146" s="111" t="s">
        <v>2798</v>
      </c>
      <c r="X146" s="111" t="s">
        <v>2798</v>
      </c>
      <c r="Y146" s="111" t="s">
        <v>2798</v>
      </c>
      <c r="Z146" s="111" t="s">
        <v>2798</v>
      </c>
      <c r="AA146" s="111" t="s">
        <v>2798</v>
      </c>
      <c r="AB146" s="111" t="s">
        <v>2798</v>
      </c>
      <c r="AC146" s="111" t="s">
        <v>2798</v>
      </c>
      <c r="AD146" s="111" t="s">
        <v>2798</v>
      </c>
      <c r="AE146" s="111" t="s">
        <v>2798</v>
      </c>
      <c r="AF146" s="111" t="s">
        <v>2798</v>
      </c>
      <c r="AG146" s="111" t="s">
        <v>2798</v>
      </c>
      <c r="AH146" s="111" t="s">
        <v>2798</v>
      </c>
      <c r="AI146" s="111" t="s">
        <v>2798</v>
      </c>
      <c r="AJ146" s="111" t="s">
        <v>2798</v>
      </c>
      <c r="AK146" s="111" t="s">
        <v>2798</v>
      </c>
      <c r="AL146" s="111" t="s">
        <v>2798</v>
      </c>
      <c r="AM146" s="111" t="s">
        <v>2798</v>
      </c>
      <c r="AN146" s="111" t="s">
        <v>2798</v>
      </c>
      <c r="AO146" s="111" t="s">
        <v>2798</v>
      </c>
      <c r="AP146" s="111" t="s">
        <v>2798</v>
      </c>
      <c r="AQ146" s="111" t="s">
        <v>2798</v>
      </c>
      <c r="AR146" s="111" t="s">
        <v>2798</v>
      </c>
      <c r="AS146" s="111" t="s">
        <v>2798</v>
      </c>
      <c r="AT146" s="111" t="s">
        <v>2798</v>
      </c>
      <c r="AU146" s="111" t="s">
        <v>2798</v>
      </c>
      <c r="AV146" s="111" t="s">
        <v>2798</v>
      </c>
      <c r="AW146" s="111" t="s">
        <v>2798</v>
      </c>
      <c r="AX146" s="111" t="s">
        <v>2798</v>
      </c>
      <c r="AY146" s="111" t="s">
        <v>2798</v>
      </c>
      <c r="AZ146" s="111" t="s">
        <v>2798</v>
      </c>
      <c r="BA146" s="111" t="s">
        <v>2798</v>
      </c>
      <c r="BB146" s="111" t="s">
        <v>2798</v>
      </c>
      <c r="BC146" s="111" t="s">
        <v>2798</v>
      </c>
      <c r="BD146" s="111" t="s">
        <v>2798</v>
      </c>
      <c r="BE146" s="111" t="s">
        <v>2798</v>
      </c>
      <c r="BF146" s="111" t="s">
        <v>2798</v>
      </c>
      <c r="BG146" s="111" t="s">
        <v>2798</v>
      </c>
      <c r="BH146" s="111" t="s">
        <v>2798</v>
      </c>
      <c r="BI146" s="111" t="s">
        <v>2798</v>
      </c>
      <c r="BJ146" s="111" t="s">
        <v>2798</v>
      </c>
      <c r="BK146" s="111" t="s">
        <v>2798</v>
      </c>
      <c r="BL146" s="111" t="s">
        <v>2798</v>
      </c>
      <c r="BM146" s="111" t="s">
        <v>2798</v>
      </c>
      <c r="BN146" s="111" t="s">
        <v>2798</v>
      </c>
      <c r="BO146" s="111" t="s">
        <v>2798</v>
      </c>
      <c r="BP146" s="111" t="s">
        <v>2798</v>
      </c>
      <c r="BQ146" s="111" t="s">
        <v>2798</v>
      </c>
      <c r="BR146" s="111" t="s">
        <v>2798</v>
      </c>
      <c r="BS146" s="111" t="s">
        <v>2798</v>
      </c>
      <c r="BT146" s="111" t="s">
        <v>2798</v>
      </c>
      <c r="BU146" s="111" t="s">
        <v>2798</v>
      </c>
      <c r="BV146" s="111" t="s">
        <v>2798</v>
      </c>
      <c r="BW146" s="111" t="s">
        <v>2798</v>
      </c>
      <c r="BX146" s="111" t="s">
        <v>2798</v>
      </c>
      <c r="BY146" s="111" t="s">
        <v>2798</v>
      </c>
      <c r="BZ146" s="111" t="s">
        <v>2798</v>
      </c>
      <c r="CA146" s="111" t="s">
        <v>2798</v>
      </c>
      <c r="CB146" s="111" t="s">
        <v>2798</v>
      </c>
      <c r="CC146" s="111" t="s">
        <v>2778</v>
      </c>
      <c r="CD146" s="111" t="s">
        <v>2779</v>
      </c>
      <c r="CE146" s="111" t="s">
        <v>2780</v>
      </c>
      <c r="CF146" s="111" t="s">
        <v>2781</v>
      </c>
      <c r="CG146" s="111" t="s">
        <v>2782</v>
      </c>
      <c r="CH146" s="111" t="s">
        <v>2783</v>
      </c>
      <c r="CI146" s="111" t="s">
        <v>2798</v>
      </c>
      <c r="CJ146" s="111" t="s">
        <v>2785</v>
      </c>
      <c r="CK146" s="111" t="s">
        <v>2786</v>
      </c>
      <c r="CL146" s="111" t="s">
        <v>2787</v>
      </c>
      <c r="CM146" s="111" t="s">
        <v>2788</v>
      </c>
      <c r="CN146" s="111" t="s">
        <v>2789</v>
      </c>
      <c r="CO146" s="111" t="s">
        <v>2790</v>
      </c>
      <c r="CP146" s="111" t="s">
        <v>2791</v>
      </c>
      <c r="CQ146" s="111" t="s">
        <v>2792</v>
      </c>
    </row>
    <row r="147" spans="2:95" ht="14.25" customHeight="1">
      <c r="B147" s="106" t="s">
        <v>854</v>
      </c>
      <c r="C147" s="106" t="s">
        <v>2936</v>
      </c>
      <c r="D147" s="109">
        <v>13667.012000000001</v>
      </c>
      <c r="E147" s="106" t="s">
        <v>2460</v>
      </c>
      <c r="F147" s="110">
        <v>40.890000000001237</v>
      </c>
      <c r="G147" s="106" t="s">
        <v>2795</v>
      </c>
      <c r="H147" s="102">
        <v>0</v>
      </c>
      <c r="I147" s="102">
        <v>0</v>
      </c>
      <c r="J147" s="111" t="s">
        <v>87</v>
      </c>
      <c r="K147" s="111" t="s">
        <v>2708</v>
      </c>
      <c r="L147" s="111" t="s">
        <v>2709</v>
      </c>
      <c r="M147" s="111" t="s">
        <v>2710</v>
      </c>
      <c r="N147" s="111" t="s">
        <v>2711</v>
      </c>
      <c r="O147" s="111" t="s">
        <v>2712</v>
      </c>
      <c r="P147" s="111" t="s">
        <v>2713</v>
      </c>
      <c r="Q147" s="111" t="s">
        <v>2714</v>
      </c>
      <c r="R147" s="111" t="s">
        <v>2715</v>
      </c>
      <c r="S147" s="111" t="s">
        <v>2716</v>
      </c>
      <c r="T147" s="111" t="s">
        <v>2717</v>
      </c>
      <c r="U147" s="111" t="s">
        <v>2718</v>
      </c>
      <c r="V147" s="111" t="s">
        <v>2719</v>
      </c>
      <c r="W147" s="111" t="s">
        <v>2720</v>
      </c>
      <c r="X147" s="111" t="s">
        <v>2798</v>
      </c>
      <c r="Y147" s="111" t="s">
        <v>2798</v>
      </c>
      <c r="Z147" s="111" t="s">
        <v>2798</v>
      </c>
      <c r="AA147" s="111" t="s">
        <v>2798</v>
      </c>
      <c r="AB147" s="111" t="s">
        <v>2798</v>
      </c>
      <c r="AC147" s="111" t="s">
        <v>2798</v>
      </c>
      <c r="AD147" s="111" t="s">
        <v>2798</v>
      </c>
      <c r="AE147" s="111" t="s">
        <v>2798</v>
      </c>
      <c r="AF147" s="111" t="s">
        <v>2798</v>
      </c>
      <c r="AG147" s="111" t="s">
        <v>2798</v>
      </c>
      <c r="AH147" s="111" t="s">
        <v>2798</v>
      </c>
      <c r="AI147" s="111" t="s">
        <v>2798</v>
      </c>
      <c r="AJ147" s="111" t="s">
        <v>2798</v>
      </c>
      <c r="AK147" s="111" t="s">
        <v>2798</v>
      </c>
      <c r="AL147" s="111" t="s">
        <v>2798</v>
      </c>
      <c r="AM147" s="111" t="s">
        <v>2798</v>
      </c>
      <c r="AN147" s="111" t="s">
        <v>2798</v>
      </c>
      <c r="AO147" s="111" t="s">
        <v>2798</v>
      </c>
      <c r="AP147" s="111" t="s">
        <v>2798</v>
      </c>
      <c r="AQ147" s="111" t="s">
        <v>2798</v>
      </c>
      <c r="AR147" s="111" t="s">
        <v>2798</v>
      </c>
      <c r="AS147" s="111" t="s">
        <v>2798</v>
      </c>
      <c r="AT147" s="111" t="s">
        <v>2798</v>
      </c>
      <c r="AU147" s="111" t="s">
        <v>2798</v>
      </c>
      <c r="AV147" s="111" t="s">
        <v>2798</v>
      </c>
      <c r="AW147" s="111" t="s">
        <v>2798</v>
      </c>
      <c r="AX147" s="111" t="s">
        <v>2798</v>
      </c>
      <c r="AY147" s="111" t="s">
        <v>2798</v>
      </c>
      <c r="AZ147" s="111" t="s">
        <v>2798</v>
      </c>
      <c r="BA147" s="111" t="s">
        <v>2798</v>
      </c>
      <c r="BB147" s="111" t="s">
        <v>2798</v>
      </c>
      <c r="BC147" s="111" t="s">
        <v>2798</v>
      </c>
      <c r="BD147" s="111" t="s">
        <v>2798</v>
      </c>
      <c r="BE147" s="111" t="s">
        <v>2798</v>
      </c>
      <c r="BF147" s="111" t="s">
        <v>2798</v>
      </c>
      <c r="BG147" s="111" t="s">
        <v>2798</v>
      </c>
      <c r="BH147" s="111" t="s">
        <v>2798</v>
      </c>
      <c r="BI147" s="111" t="s">
        <v>2798</v>
      </c>
      <c r="BJ147" s="111" t="s">
        <v>2798</v>
      </c>
      <c r="BK147" s="111" t="s">
        <v>2798</v>
      </c>
      <c r="BL147" s="111" t="s">
        <v>2798</v>
      </c>
      <c r="BM147" s="111" t="s">
        <v>2798</v>
      </c>
      <c r="BN147" s="111" t="s">
        <v>2798</v>
      </c>
      <c r="BO147" s="111" t="s">
        <v>2798</v>
      </c>
      <c r="BP147" s="111" t="s">
        <v>2798</v>
      </c>
      <c r="BQ147" s="111" t="s">
        <v>2798</v>
      </c>
      <c r="BR147" s="111" t="s">
        <v>2798</v>
      </c>
      <c r="BS147" s="111" t="s">
        <v>2798</v>
      </c>
      <c r="BT147" s="111" t="s">
        <v>2798</v>
      </c>
      <c r="BU147" s="111" t="s">
        <v>2798</v>
      </c>
      <c r="BV147" s="111" t="s">
        <v>2798</v>
      </c>
      <c r="BW147" s="111" t="s">
        <v>2798</v>
      </c>
      <c r="BX147" s="111" t="s">
        <v>2798</v>
      </c>
      <c r="BY147" s="111" t="s">
        <v>2798</v>
      </c>
      <c r="BZ147" s="111" t="s">
        <v>2798</v>
      </c>
      <c r="CA147" s="111" t="s">
        <v>2798</v>
      </c>
      <c r="CB147" s="111" t="s">
        <v>2798</v>
      </c>
      <c r="CC147" s="111" t="s">
        <v>2798</v>
      </c>
      <c r="CD147" s="111" t="s">
        <v>2798</v>
      </c>
      <c r="CE147" s="111" t="s">
        <v>2798</v>
      </c>
      <c r="CF147" s="111" t="s">
        <v>2798</v>
      </c>
      <c r="CG147" s="111" t="s">
        <v>2798</v>
      </c>
      <c r="CH147" s="111" t="s">
        <v>2798</v>
      </c>
      <c r="CI147" s="111" t="s">
        <v>2798</v>
      </c>
      <c r="CJ147" s="111" t="s">
        <v>2798</v>
      </c>
      <c r="CK147" s="111" t="s">
        <v>2798</v>
      </c>
      <c r="CL147" s="111" t="s">
        <v>2798</v>
      </c>
      <c r="CM147" s="111" t="s">
        <v>2798</v>
      </c>
      <c r="CN147" s="111" t="s">
        <v>2798</v>
      </c>
      <c r="CO147" s="111" t="s">
        <v>2798</v>
      </c>
      <c r="CP147" s="111" t="s">
        <v>2798</v>
      </c>
      <c r="CQ147" s="111" t="s">
        <v>2798</v>
      </c>
    </row>
    <row r="148" spans="2:95" ht="14.25" customHeight="1">
      <c r="B148" s="106" t="s">
        <v>855</v>
      </c>
      <c r="C148" s="106" t="s">
        <v>2937</v>
      </c>
      <c r="D148" s="109">
        <v>13707.591</v>
      </c>
      <c r="E148" s="106" t="s">
        <v>2460</v>
      </c>
      <c r="F148" s="110">
        <v>40.578999999999724</v>
      </c>
      <c r="G148" s="106" t="s">
        <v>2795</v>
      </c>
      <c r="H148" s="102">
        <v>0</v>
      </c>
      <c r="I148" s="102">
        <v>0</v>
      </c>
      <c r="J148" s="111" t="s">
        <v>2798</v>
      </c>
      <c r="K148" s="111" t="s">
        <v>2798</v>
      </c>
      <c r="L148" s="111" t="s">
        <v>2798</v>
      </c>
      <c r="M148" s="111" t="s">
        <v>2798</v>
      </c>
      <c r="N148" s="111" t="s">
        <v>2798</v>
      </c>
      <c r="O148" s="111" t="s">
        <v>2798</v>
      </c>
      <c r="P148" s="111" t="s">
        <v>2798</v>
      </c>
      <c r="Q148" s="111" t="s">
        <v>2798</v>
      </c>
      <c r="R148" s="111" t="s">
        <v>2798</v>
      </c>
      <c r="S148" s="111" t="s">
        <v>2798</v>
      </c>
      <c r="T148" s="111" t="s">
        <v>2798</v>
      </c>
      <c r="U148" s="111" t="s">
        <v>2798</v>
      </c>
      <c r="V148" s="111" t="s">
        <v>2798</v>
      </c>
      <c r="W148" s="111" t="s">
        <v>2798</v>
      </c>
      <c r="X148" s="111" t="s">
        <v>2721</v>
      </c>
      <c r="Y148" s="111" t="s">
        <v>2722</v>
      </c>
      <c r="Z148" s="111" t="s">
        <v>2723</v>
      </c>
      <c r="AA148" s="111" t="s">
        <v>2724</v>
      </c>
      <c r="AB148" s="111" t="s">
        <v>2725</v>
      </c>
      <c r="AC148" s="111" t="s">
        <v>2726</v>
      </c>
      <c r="AD148" s="111" t="s">
        <v>2727</v>
      </c>
      <c r="AE148" s="111" t="s">
        <v>2728</v>
      </c>
      <c r="AF148" s="111" t="s">
        <v>2729</v>
      </c>
      <c r="AG148" s="111" t="s">
        <v>2730</v>
      </c>
      <c r="AH148" s="111" t="s">
        <v>2731</v>
      </c>
      <c r="AI148" s="111" t="s">
        <v>2732</v>
      </c>
      <c r="AJ148" s="111" t="s">
        <v>2733</v>
      </c>
      <c r="AK148" s="111" t="s">
        <v>2734</v>
      </c>
      <c r="AL148" s="111" t="s">
        <v>2798</v>
      </c>
      <c r="AM148" s="111" t="s">
        <v>2798</v>
      </c>
      <c r="AN148" s="111" t="s">
        <v>2798</v>
      </c>
      <c r="AO148" s="111" t="s">
        <v>2798</v>
      </c>
      <c r="AP148" s="111" t="s">
        <v>2798</v>
      </c>
      <c r="AQ148" s="111" t="s">
        <v>2798</v>
      </c>
      <c r="AR148" s="111" t="s">
        <v>2798</v>
      </c>
      <c r="AS148" s="111" t="s">
        <v>2798</v>
      </c>
      <c r="AT148" s="111" t="s">
        <v>2798</v>
      </c>
      <c r="AU148" s="111" t="s">
        <v>2798</v>
      </c>
      <c r="AV148" s="111" t="s">
        <v>2798</v>
      </c>
      <c r="AW148" s="111" t="s">
        <v>2798</v>
      </c>
      <c r="AX148" s="111" t="s">
        <v>2798</v>
      </c>
      <c r="AY148" s="111" t="s">
        <v>2798</v>
      </c>
      <c r="AZ148" s="111" t="s">
        <v>2798</v>
      </c>
      <c r="BA148" s="111" t="s">
        <v>2798</v>
      </c>
      <c r="BB148" s="111" t="s">
        <v>2798</v>
      </c>
      <c r="BC148" s="111" t="s">
        <v>2798</v>
      </c>
      <c r="BD148" s="111" t="s">
        <v>2798</v>
      </c>
      <c r="BE148" s="111" t="s">
        <v>2798</v>
      </c>
      <c r="BF148" s="111" t="s">
        <v>2798</v>
      </c>
      <c r="BG148" s="111" t="s">
        <v>2798</v>
      </c>
      <c r="BH148" s="111" t="s">
        <v>2798</v>
      </c>
      <c r="BI148" s="111" t="s">
        <v>2798</v>
      </c>
      <c r="BJ148" s="111" t="s">
        <v>2798</v>
      </c>
      <c r="BK148" s="111" t="s">
        <v>2798</v>
      </c>
      <c r="BL148" s="111" t="s">
        <v>2798</v>
      </c>
      <c r="BM148" s="111" t="s">
        <v>2798</v>
      </c>
      <c r="BN148" s="111" t="s">
        <v>2798</v>
      </c>
      <c r="BO148" s="111" t="s">
        <v>2798</v>
      </c>
      <c r="BP148" s="111" t="s">
        <v>2798</v>
      </c>
      <c r="BQ148" s="111" t="s">
        <v>2798</v>
      </c>
      <c r="BR148" s="111" t="s">
        <v>2798</v>
      </c>
      <c r="BS148" s="111" t="s">
        <v>2798</v>
      </c>
      <c r="BT148" s="111" t="s">
        <v>2798</v>
      </c>
      <c r="BU148" s="111" t="s">
        <v>2798</v>
      </c>
      <c r="BV148" s="111" t="s">
        <v>2798</v>
      </c>
      <c r="BW148" s="111" t="s">
        <v>2798</v>
      </c>
      <c r="BX148" s="111" t="s">
        <v>2798</v>
      </c>
      <c r="BY148" s="111" t="s">
        <v>2798</v>
      </c>
      <c r="BZ148" s="111" t="s">
        <v>2798</v>
      </c>
      <c r="CA148" s="111" t="s">
        <v>2798</v>
      </c>
      <c r="CB148" s="111" t="s">
        <v>2798</v>
      </c>
      <c r="CC148" s="111" t="s">
        <v>2798</v>
      </c>
      <c r="CD148" s="111" t="s">
        <v>2798</v>
      </c>
      <c r="CE148" s="111" t="s">
        <v>2798</v>
      </c>
      <c r="CF148" s="111" t="s">
        <v>2798</v>
      </c>
      <c r="CG148" s="111" t="s">
        <v>2798</v>
      </c>
      <c r="CH148" s="111" t="s">
        <v>2798</v>
      </c>
      <c r="CI148" s="111" t="s">
        <v>2798</v>
      </c>
      <c r="CJ148" s="111" t="s">
        <v>2798</v>
      </c>
      <c r="CK148" s="111" t="s">
        <v>2798</v>
      </c>
      <c r="CL148" s="111" t="s">
        <v>2798</v>
      </c>
      <c r="CM148" s="111" t="s">
        <v>2798</v>
      </c>
      <c r="CN148" s="111" t="s">
        <v>2798</v>
      </c>
      <c r="CO148" s="111" t="s">
        <v>2798</v>
      </c>
      <c r="CP148" s="111" t="s">
        <v>2798</v>
      </c>
      <c r="CQ148" s="111" t="s">
        <v>2798</v>
      </c>
    </row>
    <row r="149" spans="2:95" ht="14.25" customHeight="1">
      <c r="B149" s="106" t="s">
        <v>856</v>
      </c>
      <c r="C149" s="106" t="s">
        <v>2938</v>
      </c>
      <c r="D149" s="109">
        <v>13747.459000000001</v>
      </c>
      <c r="E149" s="106" t="s">
        <v>2460</v>
      </c>
      <c r="F149" s="110">
        <v>39.868000000000393</v>
      </c>
      <c r="G149" s="106" t="s">
        <v>2795</v>
      </c>
      <c r="H149" s="102">
        <v>0</v>
      </c>
      <c r="I149" s="102">
        <v>0</v>
      </c>
      <c r="J149" s="111" t="s">
        <v>2798</v>
      </c>
      <c r="K149" s="111" t="s">
        <v>2798</v>
      </c>
      <c r="L149" s="111" t="s">
        <v>2798</v>
      </c>
      <c r="M149" s="111" t="s">
        <v>2798</v>
      </c>
      <c r="N149" s="111" t="s">
        <v>2798</v>
      </c>
      <c r="O149" s="111" t="s">
        <v>2798</v>
      </c>
      <c r="P149" s="111" t="s">
        <v>2798</v>
      </c>
      <c r="Q149" s="111" t="s">
        <v>2798</v>
      </c>
      <c r="R149" s="111" t="s">
        <v>2798</v>
      </c>
      <c r="S149" s="111" t="s">
        <v>2798</v>
      </c>
      <c r="T149" s="111" t="s">
        <v>2798</v>
      </c>
      <c r="U149" s="111" t="s">
        <v>2798</v>
      </c>
      <c r="V149" s="111" t="s">
        <v>2798</v>
      </c>
      <c r="W149" s="111" t="s">
        <v>2798</v>
      </c>
      <c r="X149" s="111" t="s">
        <v>2798</v>
      </c>
      <c r="Y149" s="111" t="s">
        <v>2798</v>
      </c>
      <c r="Z149" s="111" t="s">
        <v>2798</v>
      </c>
      <c r="AA149" s="111" t="s">
        <v>2798</v>
      </c>
      <c r="AB149" s="111" t="s">
        <v>2798</v>
      </c>
      <c r="AC149" s="111" t="s">
        <v>2798</v>
      </c>
      <c r="AD149" s="111" t="s">
        <v>2798</v>
      </c>
      <c r="AE149" s="111" t="s">
        <v>2798</v>
      </c>
      <c r="AF149" s="111" t="s">
        <v>2798</v>
      </c>
      <c r="AG149" s="111" t="s">
        <v>2798</v>
      </c>
      <c r="AH149" s="111" t="s">
        <v>2798</v>
      </c>
      <c r="AI149" s="111" t="s">
        <v>2798</v>
      </c>
      <c r="AJ149" s="111" t="s">
        <v>2798</v>
      </c>
      <c r="AK149" s="111" t="s">
        <v>2798</v>
      </c>
      <c r="AL149" s="111" t="s">
        <v>2735</v>
      </c>
      <c r="AM149" s="111" t="s">
        <v>2736</v>
      </c>
      <c r="AN149" s="111" t="s">
        <v>2737</v>
      </c>
      <c r="AO149" s="111" t="s">
        <v>2738</v>
      </c>
      <c r="AP149" s="111" t="s">
        <v>2739</v>
      </c>
      <c r="AQ149" s="111" t="s">
        <v>2740</v>
      </c>
      <c r="AR149" s="111" t="s">
        <v>2741</v>
      </c>
      <c r="AS149" s="111" t="s">
        <v>2798</v>
      </c>
      <c r="AT149" s="111" t="s">
        <v>2798</v>
      </c>
      <c r="AU149" s="111" t="s">
        <v>2798</v>
      </c>
      <c r="AV149" s="111" t="s">
        <v>2798</v>
      </c>
      <c r="AW149" s="111" t="s">
        <v>2798</v>
      </c>
      <c r="AX149" s="111" t="s">
        <v>2798</v>
      </c>
      <c r="AY149" s="111" t="s">
        <v>2798</v>
      </c>
      <c r="AZ149" s="111" t="s">
        <v>2798</v>
      </c>
      <c r="BA149" s="111" t="s">
        <v>2798</v>
      </c>
      <c r="BB149" s="111" t="s">
        <v>2798</v>
      </c>
      <c r="BC149" s="111" t="s">
        <v>2798</v>
      </c>
      <c r="BD149" s="111" t="s">
        <v>2798</v>
      </c>
      <c r="BE149" s="111" t="s">
        <v>2798</v>
      </c>
      <c r="BF149" s="111" t="s">
        <v>2798</v>
      </c>
      <c r="BG149" s="111" t="s">
        <v>2798</v>
      </c>
      <c r="BH149" s="111" t="s">
        <v>2757</v>
      </c>
      <c r="BI149" s="111" t="s">
        <v>2758</v>
      </c>
      <c r="BJ149" s="111" t="s">
        <v>2759</v>
      </c>
      <c r="BK149" s="111" t="s">
        <v>2760</v>
      </c>
      <c r="BL149" s="111" t="s">
        <v>2761</v>
      </c>
      <c r="BM149" s="111" t="s">
        <v>2762</v>
      </c>
      <c r="BN149" s="111" t="s">
        <v>2763</v>
      </c>
      <c r="BO149" s="111" t="s">
        <v>2798</v>
      </c>
      <c r="BP149" s="111" t="s">
        <v>2798</v>
      </c>
      <c r="BQ149" s="111" t="s">
        <v>2798</v>
      </c>
      <c r="BR149" s="111" t="s">
        <v>2798</v>
      </c>
      <c r="BS149" s="111" t="s">
        <v>2798</v>
      </c>
      <c r="BT149" s="111" t="s">
        <v>2798</v>
      </c>
      <c r="BU149" s="111" t="s">
        <v>2798</v>
      </c>
      <c r="BV149" s="111" t="s">
        <v>2798</v>
      </c>
      <c r="BW149" s="111" t="s">
        <v>2798</v>
      </c>
      <c r="BX149" s="111" t="s">
        <v>2798</v>
      </c>
      <c r="BY149" s="111" t="s">
        <v>2798</v>
      </c>
      <c r="BZ149" s="111" t="s">
        <v>2798</v>
      </c>
      <c r="CA149" s="111" t="s">
        <v>2798</v>
      </c>
      <c r="CB149" s="111" t="s">
        <v>2798</v>
      </c>
      <c r="CC149" s="111" t="s">
        <v>2798</v>
      </c>
      <c r="CD149" s="111" t="s">
        <v>2798</v>
      </c>
      <c r="CE149" s="111" t="s">
        <v>2798</v>
      </c>
      <c r="CF149" s="111" t="s">
        <v>2798</v>
      </c>
      <c r="CG149" s="111" t="s">
        <v>2798</v>
      </c>
      <c r="CH149" s="111" t="s">
        <v>2798</v>
      </c>
      <c r="CI149" s="111" t="s">
        <v>2798</v>
      </c>
      <c r="CJ149" s="111" t="s">
        <v>2798</v>
      </c>
      <c r="CK149" s="111" t="s">
        <v>2798</v>
      </c>
      <c r="CL149" s="111" t="s">
        <v>2798</v>
      </c>
      <c r="CM149" s="111" t="s">
        <v>2798</v>
      </c>
      <c r="CN149" s="111" t="s">
        <v>2798</v>
      </c>
      <c r="CO149" s="111" t="s">
        <v>2798</v>
      </c>
      <c r="CP149" s="111" t="s">
        <v>2798</v>
      </c>
      <c r="CQ149" s="111" t="s">
        <v>2798</v>
      </c>
    </row>
    <row r="150" spans="2:95" ht="14.25" customHeight="1">
      <c r="B150" s="106" t="s">
        <v>857</v>
      </c>
      <c r="C150" s="106" t="s">
        <v>2939</v>
      </c>
      <c r="D150" s="109">
        <v>13788.038</v>
      </c>
      <c r="E150" s="106" t="s">
        <v>2460</v>
      </c>
      <c r="F150" s="110">
        <v>40.578999999999724</v>
      </c>
      <c r="G150" s="106" t="s">
        <v>2795</v>
      </c>
      <c r="H150" s="102">
        <v>0</v>
      </c>
      <c r="I150" s="102">
        <v>0</v>
      </c>
      <c r="J150" s="111" t="s">
        <v>2798</v>
      </c>
      <c r="K150" s="111" t="s">
        <v>2798</v>
      </c>
      <c r="L150" s="111" t="s">
        <v>2798</v>
      </c>
      <c r="M150" s="111" t="s">
        <v>2798</v>
      </c>
      <c r="N150" s="111" t="s">
        <v>2798</v>
      </c>
      <c r="O150" s="111" t="s">
        <v>2798</v>
      </c>
      <c r="P150" s="111" t="s">
        <v>2798</v>
      </c>
      <c r="Q150" s="111" t="s">
        <v>2798</v>
      </c>
      <c r="R150" s="111" t="s">
        <v>2798</v>
      </c>
      <c r="S150" s="111" t="s">
        <v>2798</v>
      </c>
      <c r="T150" s="111" t="s">
        <v>2798</v>
      </c>
      <c r="U150" s="111" t="s">
        <v>2798</v>
      </c>
      <c r="V150" s="111" t="s">
        <v>2798</v>
      </c>
      <c r="W150" s="111" t="s">
        <v>2798</v>
      </c>
      <c r="X150" s="111" t="s">
        <v>2798</v>
      </c>
      <c r="Y150" s="111" t="s">
        <v>2798</v>
      </c>
      <c r="Z150" s="111" t="s">
        <v>2798</v>
      </c>
      <c r="AA150" s="111" t="s">
        <v>2798</v>
      </c>
      <c r="AB150" s="111" t="s">
        <v>2798</v>
      </c>
      <c r="AC150" s="111" t="s">
        <v>2798</v>
      </c>
      <c r="AD150" s="111" t="s">
        <v>2798</v>
      </c>
      <c r="AE150" s="111" t="s">
        <v>2798</v>
      </c>
      <c r="AF150" s="111" t="s">
        <v>2798</v>
      </c>
      <c r="AG150" s="111" t="s">
        <v>2798</v>
      </c>
      <c r="AH150" s="111" t="s">
        <v>2798</v>
      </c>
      <c r="AI150" s="111" t="s">
        <v>2798</v>
      </c>
      <c r="AJ150" s="111" t="s">
        <v>2798</v>
      </c>
      <c r="AK150" s="111" t="s">
        <v>2798</v>
      </c>
      <c r="AL150" s="111" t="s">
        <v>2798</v>
      </c>
      <c r="AM150" s="111" t="s">
        <v>2798</v>
      </c>
      <c r="AN150" s="111" t="s">
        <v>2798</v>
      </c>
      <c r="AO150" s="111" t="s">
        <v>2798</v>
      </c>
      <c r="AP150" s="111" t="s">
        <v>2798</v>
      </c>
      <c r="AQ150" s="111" t="s">
        <v>2798</v>
      </c>
      <c r="AR150" s="111" t="s">
        <v>2798</v>
      </c>
      <c r="AS150" s="111" t="s">
        <v>2798</v>
      </c>
      <c r="AT150" s="111" t="s">
        <v>2798</v>
      </c>
      <c r="AU150" s="111" t="s">
        <v>2798</v>
      </c>
      <c r="AV150" s="111" t="s">
        <v>2798</v>
      </c>
      <c r="AW150" s="111" t="s">
        <v>2798</v>
      </c>
      <c r="AX150" s="111" t="s">
        <v>2798</v>
      </c>
      <c r="AY150" s="111" t="s">
        <v>2798</v>
      </c>
      <c r="AZ150" s="111" t="s">
        <v>2798</v>
      </c>
      <c r="BA150" s="111" t="s">
        <v>2798</v>
      </c>
      <c r="BB150" s="111" t="s">
        <v>2798</v>
      </c>
      <c r="BC150" s="111" t="s">
        <v>2798</v>
      </c>
      <c r="BD150" s="111" t="s">
        <v>2798</v>
      </c>
      <c r="BE150" s="111" t="s">
        <v>2798</v>
      </c>
      <c r="BF150" s="111" t="s">
        <v>2798</v>
      </c>
      <c r="BG150" s="111" t="s">
        <v>2798</v>
      </c>
      <c r="BH150" s="111" t="s">
        <v>2798</v>
      </c>
      <c r="BI150" s="111" t="s">
        <v>2798</v>
      </c>
      <c r="BJ150" s="111" t="s">
        <v>2798</v>
      </c>
      <c r="BK150" s="111" t="s">
        <v>2798</v>
      </c>
      <c r="BL150" s="111" t="s">
        <v>2798</v>
      </c>
      <c r="BM150" s="111" t="s">
        <v>2798</v>
      </c>
      <c r="BN150" s="111" t="s">
        <v>2798</v>
      </c>
      <c r="BO150" s="111" t="s">
        <v>2764</v>
      </c>
      <c r="BP150" s="111" t="s">
        <v>2765</v>
      </c>
      <c r="BQ150" s="111" t="s">
        <v>2766</v>
      </c>
      <c r="BR150" s="111" t="s">
        <v>2767</v>
      </c>
      <c r="BS150" s="111" t="s">
        <v>2768</v>
      </c>
      <c r="BT150" s="111" t="s">
        <v>2769</v>
      </c>
      <c r="BU150" s="111" t="s">
        <v>2770</v>
      </c>
      <c r="BV150" s="111" t="s">
        <v>2771</v>
      </c>
      <c r="BW150" s="111" t="s">
        <v>2772</v>
      </c>
      <c r="BX150" s="111" t="s">
        <v>2773</v>
      </c>
      <c r="BY150" s="111" t="s">
        <v>2774</v>
      </c>
      <c r="BZ150" s="111" t="s">
        <v>2775</v>
      </c>
      <c r="CA150" s="111" t="s">
        <v>2776</v>
      </c>
      <c r="CB150" s="111" t="s">
        <v>2777</v>
      </c>
      <c r="CC150" s="111" t="s">
        <v>2798</v>
      </c>
      <c r="CD150" s="111" t="s">
        <v>2798</v>
      </c>
      <c r="CE150" s="111" t="s">
        <v>2798</v>
      </c>
      <c r="CF150" s="111" t="s">
        <v>2798</v>
      </c>
      <c r="CG150" s="111" t="s">
        <v>2798</v>
      </c>
      <c r="CH150" s="111" t="s">
        <v>2798</v>
      </c>
      <c r="CI150" s="111" t="s">
        <v>2798</v>
      </c>
      <c r="CJ150" s="111" t="s">
        <v>2798</v>
      </c>
      <c r="CK150" s="111" t="s">
        <v>2798</v>
      </c>
      <c r="CL150" s="111" t="s">
        <v>2798</v>
      </c>
      <c r="CM150" s="111" t="s">
        <v>2798</v>
      </c>
      <c r="CN150" s="111" t="s">
        <v>2798</v>
      </c>
      <c r="CO150" s="111" t="s">
        <v>2798</v>
      </c>
      <c r="CP150" s="111" t="s">
        <v>2798</v>
      </c>
      <c r="CQ150" s="111" t="s">
        <v>2798</v>
      </c>
    </row>
    <row r="151" spans="2:95" ht="14.25" customHeight="1">
      <c r="B151" s="106" t="s">
        <v>858</v>
      </c>
      <c r="C151" s="106" t="s">
        <v>2940</v>
      </c>
      <c r="D151" s="109">
        <v>13828.928</v>
      </c>
      <c r="E151" s="106" t="s">
        <v>2460</v>
      </c>
      <c r="F151" s="110">
        <v>40.889999999999418</v>
      </c>
      <c r="G151" s="106" t="s">
        <v>2793</v>
      </c>
      <c r="H151" s="102">
        <v>0</v>
      </c>
      <c r="I151" s="102">
        <v>0</v>
      </c>
      <c r="J151" s="111" t="s">
        <v>2798</v>
      </c>
      <c r="K151" s="111" t="s">
        <v>2798</v>
      </c>
      <c r="L151" s="111" t="s">
        <v>2798</v>
      </c>
      <c r="M151" s="111" t="s">
        <v>2798</v>
      </c>
      <c r="N151" s="111" t="s">
        <v>2798</v>
      </c>
      <c r="O151" s="111" t="s">
        <v>2798</v>
      </c>
      <c r="P151" s="111" t="s">
        <v>2798</v>
      </c>
      <c r="Q151" s="111" t="s">
        <v>2798</v>
      </c>
      <c r="R151" s="111" t="s">
        <v>2798</v>
      </c>
      <c r="S151" s="111" t="s">
        <v>2798</v>
      </c>
      <c r="T151" s="111" t="s">
        <v>2798</v>
      </c>
      <c r="U151" s="111" t="s">
        <v>2798</v>
      </c>
      <c r="V151" s="111" t="s">
        <v>2798</v>
      </c>
      <c r="W151" s="111" t="s">
        <v>2798</v>
      </c>
      <c r="X151" s="111" t="s">
        <v>2798</v>
      </c>
      <c r="Y151" s="111" t="s">
        <v>2798</v>
      </c>
      <c r="Z151" s="111" t="s">
        <v>2798</v>
      </c>
      <c r="AA151" s="111" t="s">
        <v>2798</v>
      </c>
      <c r="AB151" s="111" t="s">
        <v>2798</v>
      </c>
      <c r="AC151" s="111" t="s">
        <v>2798</v>
      </c>
      <c r="AD151" s="111" t="s">
        <v>2798</v>
      </c>
      <c r="AE151" s="111" t="s">
        <v>2798</v>
      </c>
      <c r="AF151" s="111" t="s">
        <v>2798</v>
      </c>
      <c r="AG151" s="111" t="s">
        <v>2798</v>
      </c>
      <c r="AH151" s="111" t="s">
        <v>2798</v>
      </c>
      <c r="AI151" s="111" t="s">
        <v>2798</v>
      </c>
      <c r="AJ151" s="111" t="s">
        <v>2798</v>
      </c>
      <c r="AK151" s="111" t="s">
        <v>2798</v>
      </c>
      <c r="AL151" s="111" t="s">
        <v>2798</v>
      </c>
      <c r="AM151" s="111" t="s">
        <v>2798</v>
      </c>
      <c r="AN151" s="111" t="s">
        <v>2798</v>
      </c>
      <c r="AO151" s="111" t="s">
        <v>2798</v>
      </c>
      <c r="AP151" s="111" t="s">
        <v>2798</v>
      </c>
      <c r="AQ151" s="111" t="s">
        <v>2798</v>
      </c>
      <c r="AR151" s="111" t="s">
        <v>2798</v>
      </c>
      <c r="AS151" s="111" t="s">
        <v>2798</v>
      </c>
      <c r="AT151" s="111" t="s">
        <v>2798</v>
      </c>
      <c r="AU151" s="111" t="s">
        <v>2798</v>
      </c>
      <c r="AV151" s="111" t="s">
        <v>2798</v>
      </c>
      <c r="AW151" s="111" t="s">
        <v>2798</v>
      </c>
      <c r="AX151" s="111" t="s">
        <v>2798</v>
      </c>
      <c r="AY151" s="111" t="s">
        <v>2798</v>
      </c>
      <c r="AZ151" s="111" t="s">
        <v>2798</v>
      </c>
      <c r="BA151" s="111" t="s">
        <v>2798</v>
      </c>
      <c r="BB151" s="111" t="s">
        <v>2798</v>
      </c>
      <c r="BC151" s="111" t="s">
        <v>2798</v>
      </c>
      <c r="BD151" s="111" t="s">
        <v>2798</v>
      </c>
      <c r="BE151" s="111" t="s">
        <v>2798</v>
      </c>
      <c r="BF151" s="111" t="s">
        <v>2798</v>
      </c>
      <c r="BG151" s="111" t="s">
        <v>2798</v>
      </c>
      <c r="BH151" s="111" t="s">
        <v>2798</v>
      </c>
      <c r="BI151" s="111" t="s">
        <v>2798</v>
      </c>
      <c r="BJ151" s="111" t="s">
        <v>2798</v>
      </c>
      <c r="BK151" s="111" t="s">
        <v>2798</v>
      </c>
      <c r="BL151" s="111" t="s">
        <v>2798</v>
      </c>
      <c r="BM151" s="111" t="s">
        <v>2798</v>
      </c>
      <c r="BN151" s="111" t="s">
        <v>2798</v>
      </c>
      <c r="BO151" s="111" t="s">
        <v>2798</v>
      </c>
      <c r="BP151" s="111" t="s">
        <v>2798</v>
      </c>
      <c r="BQ151" s="111" t="s">
        <v>2798</v>
      </c>
      <c r="BR151" s="111" t="s">
        <v>2798</v>
      </c>
      <c r="BS151" s="111" t="s">
        <v>2798</v>
      </c>
      <c r="BT151" s="111" t="s">
        <v>2798</v>
      </c>
      <c r="BU151" s="111" t="s">
        <v>2798</v>
      </c>
      <c r="BV151" s="111" t="s">
        <v>2798</v>
      </c>
      <c r="BW151" s="111" t="s">
        <v>2798</v>
      </c>
      <c r="BX151" s="111" t="s">
        <v>2798</v>
      </c>
      <c r="BY151" s="111" t="s">
        <v>2798</v>
      </c>
      <c r="BZ151" s="111" t="s">
        <v>2798</v>
      </c>
      <c r="CA151" s="111" t="s">
        <v>2798</v>
      </c>
      <c r="CB151" s="111" t="s">
        <v>2798</v>
      </c>
      <c r="CC151" s="111" t="s">
        <v>2778</v>
      </c>
      <c r="CD151" s="111" t="s">
        <v>2779</v>
      </c>
      <c r="CE151" s="111" t="s">
        <v>2780</v>
      </c>
      <c r="CF151" s="111" t="s">
        <v>2781</v>
      </c>
      <c r="CG151" s="111" t="s">
        <v>2782</v>
      </c>
      <c r="CH151" s="111" t="s">
        <v>2783</v>
      </c>
      <c r="CI151" s="111" t="s">
        <v>2798</v>
      </c>
      <c r="CJ151" s="111" t="s">
        <v>2785</v>
      </c>
      <c r="CK151" s="111" t="s">
        <v>2786</v>
      </c>
      <c r="CL151" s="111" t="s">
        <v>2787</v>
      </c>
      <c r="CM151" s="111" t="s">
        <v>2788</v>
      </c>
      <c r="CN151" s="111" t="s">
        <v>2789</v>
      </c>
      <c r="CO151" s="111" t="s">
        <v>2790</v>
      </c>
      <c r="CP151" s="111" t="s">
        <v>2791</v>
      </c>
      <c r="CQ151" s="111" t="s">
        <v>2792</v>
      </c>
    </row>
    <row r="152" spans="2:95" ht="14.25" customHeight="1">
      <c r="B152" s="106" t="s">
        <v>859</v>
      </c>
      <c r="C152" s="106" t="s">
        <v>2941</v>
      </c>
      <c r="D152" s="109">
        <v>13903.928</v>
      </c>
      <c r="E152" s="106" t="s">
        <v>2481</v>
      </c>
      <c r="F152" s="110">
        <v>75</v>
      </c>
      <c r="G152" s="106" t="s">
        <v>2795</v>
      </c>
      <c r="H152" s="102">
        <v>0</v>
      </c>
      <c r="I152" s="102">
        <v>0</v>
      </c>
      <c r="J152" s="111" t="s">
        <v>2798</v>
      </c>
      <c r="K152" s="111" t="s">
        <v>2798</v>
      </c>
      <c r="L152" s="111" t="s">
        <v>2798</v>
      </c>
      <c r="M152" s="111" t="s">
        <v>2798</v>
      </c>
      <c r="N152" s="111" t="s">
        <v>2798</v>
      </c>
      <c r="O152" s="111" t="s">
        <v>2798</v>
      </c>
      <c r="P152" s="111" t="s">
        <v>2798</v>
      </c>
      <c r="Q152" s="111" t="s">
        <v>2798</v>
      </c>
      <c r="R152" s="111" t="s">
        <v>2798</v>
      </c>
      <c r="S152" s="111" t="s">
        <v>2798</v>
      </c>
      <c r="T152" s="111" t="s">
        <v>2798</v>
      </c>
      <c r="U152" s="111" t="s">
        <v>2798</v>
      </c>
      <c r="V152" s="111" t="s">
        <v>2798</v>
      </c>
      <c r="W152" s="111" t="s">
        <v>2798</v>
      </c>
      <c r="X152" s="111" t="s">
        <v>2798</v>
      </c>
      <c r="Y152" s="111" t="s">
        <v>2798</v>
      </c>
      <c r="Z152" s="111" t="s">
        <v>2798</v>
      </c>
      <c r="AA152" s="111" t="s">
        <v>2798</v>
      </c>
      <c r="AB152" s="111" t="s">
        <v>2798</v>
      </c>
      <c r="AC152" s="111" t="s">
        <v>2798</v>
      </c>
      <c r="AD152" s="111" t="s">
        <v>2798</v>
      </c>
      <c r="AE152" s="111" t="s">
        <v>2798</v>
      </c>
      <c r="AF152" s="111" t="s">
        <v>2798</v>
      </c>
      <c r="AG152" s="111" t="s">
        <v>2798</v>
      </c>
      <c r="AH152" s="111" t="s">
        <v>2798</v>
      </c>
      <c r="AI152" s="111" t="s">
        <v>2798</v>
      </c>
      <c r="AJ152" s="111" t="s">
        <v>2798</v>
      </c>
      <c r="AK152" s="111" t="s">
        <v>2798</v>
      </c>
      <c r="AL152" s="111" t="s">
        <v>2798</v>
      </c>
      <c r="AM152" s="111" t="s">
        <v>2798</v>
      </c>
      <c r="AN152" s="111" t="s">
        <v>2798</v>
      </c>
      <c r="AO152" s="111" t="s">
        <v>2798</v>
      </c>
      <c r="AP152" s="111" t="s">
        <v>2798</v>
      </c>
      <c r="AQ152" s="111" t="s">
        <v>2798</v>
      </c>
      <c r="AR152" s="111" t="s">
        <v>2798</v>
      </c>
      <c r="AS152" s="111" t="s">
        <v>2798</v>
      </c>
      <c r="AT152" s="111" t="s">
        <v>2798</v>
      </c>
      <c r="AU152" s="111" t="s">
        <v>2798</v>
      </c>
      <c r="AV152" s="111" t="s">
        <v>2798</v>
      </c>
      <c r="AW152" s="111" t="s">
        <v>2798</v>
      </c>
      <c r="AX152" s="111" t="s">
        <v>2798</v>
      </c>
      <c r="AY152" s="111" t="s">
        <v>2798</v>
      </c>
      <c r="AZ152" s="111" t="s">
        <v>2798</v>
      </c>
      <c r="BA152" s="111" t="s">
        <v>2798</v>
      </c>
      <c r="BB152" s="111" t="s">
        <v>2798</v>
      </c>
      <c r="BC152" s="111" t="s">
        <v>2798</v>
      </c>
      <c r="BD152" s="111" t="s">
        <v>2798</v>
      </c>
      <c r="BE152" s="111" t="s">
        <v>2798</v>
      </c>
      <c r="BF152" s="111" t="s">
        <v>2798</v>
      </c>
      <c r="BG152" s="111" t="s">
        <v>2798</v>
      </c>
      <c r="BH152" s="111" t="s">
        <v>2798</v>
      </c>
      <c r="BI152" s="111" t="s">
        <v>2798</v>
      </c>
      <c r="BJ152" s="111" t="s">
        <v>2798</v>
      </c>
      <c r="BK152" s="111" t="s">
        <v>2798</v>
      </c>
      <c r="BL152" s="111" t="s">
        <v>2798</v>
      </c>
      <c r="BM152" s="111" t="s">
        <v>2798</v>
      </c>
      <c r="BN152" s="111" t="s">
        <v>2798</v>
      </c>
      <c r="BO152" s="111" t="s">
        <v>2798</v>
      </c>
      <c r="BP152" s="111" t="s">
        <v>2798</v>
      </c>
      <c r="BQ152" s="111" t="s">
        <v>2798</v>
      </c>
      <c r="BR152" s="111" t="s">
        <v>2798</v>
      </c>
      <c r="BS152" s="111" t="s">
        <v>2798</v>
      </c>
      <c r="BT152" s="111" t="s">
        <v>2798</v>
      </c>
      <c r="BU152" s="111" t="s">
        <v>2798</v>
      </c>
      <c r="BV152" s="111" t="s">
        <v>2798</v>
      </c>
      <c r="BW152" s="111" t="s">
        <v>2798</v>
      </c>
      <c r="BX152" s="111" t="s">
        <v>2798</v>
      </c>
      <c r="BY152" s="111" t="s">
        <v>2798</v>
      </c>
      <c r="BZ152" s="111" t="s">
        <v>2798</v>
      </c>
      <c r="CA152" s="111" t="s">
        <v>2798</v>
      </c>
      <c r="CB152" s="111" t="s">
        <v>2798</v>
      </c>
      <c r="CC152" s="111" t="s">
        <v>2798</v>
      </c>
      <c r="CD152" s="111" t="s">
        <v>2798</v>
      </c>
      <c r="CE152" s="111" t="s">
        <v>2798</v>
      </c>
      <c r="CF152" s="111" t="s">
        <v>2798</v>
      </c>
      <c r="CG152" s="111" t="s">
        <v>2798</v>
      </c>
      <c r="CH152" s="111" t="s">
        <v>2798</v>
      </c>
      <c r="CI152" s="111" t="s">
        <v>2798</v>
      </c>
      <c r="CJ152" s="111" t="s">
        <v>2798</v>
      </c>
      <c r="CK152" s="111" t="s">
        <v>2798</v>
      </c>
      <c r="CL152" s="111" t="s">
        <v>2798</v>
      </c>
      <c r="CM152" s="111" t="s">
        <v>2798</v>
      </c>
      <c r="CN152" s="111" t="s">
        <v>2798</v>
      </c>
      <c r="CO152" s="111" t="s">
        <v>2798</v>
      </c>
      <c r="CP152" s="111" t="s">
        <v>2798</v>
      </c>
      <c r="CQ152" s="111" t="s">
        <v>2798</v>
      </c>
    </row>
    <row r="153" spans="2:95" ht="14.25" customHeight="1">
      <c r="B153" s="106" t="s">
        <v>860</v>
      </c>
      <c r="C153" s="106" t="s">
        <v>2942</v>
      </c>
      <c r="D153" s="109">
        <v>14053.928</v>
      </c>
      <c r="E153" s="106" t="s">
        <v>2481</v>
      </c>
      <c r="F153" s="110">
        <v>150</v>
      </c>
      <c r="G153" s="106" t="s">
        <v>2795</v>
      </c>
      <c r="H153" s="102">
        <v>0</v>
      </c>
      <c r="I153" s="102">
        <v>0</v>
      </c>
      <c r="J153" s="111" t="s">
        <v>2798</v>
      </c>
      <c r="K153" s="111" t="s">
        <v>2798</v>
      </c>
      <c r="L153" s="111" t="s">
        <v>2798</v>
      </c>
      <c r="M153" s="111" t="s">
        <v>2798</v>
      </c>
      <c r="N153" s="111" t="s">
        <v>2798</v>
      </c>
      <c r="O153" s="111" t="s">
        <v>2798</v>
      </c>
      <c r="P153" s="111" t="s">
        <v>2798</v>
      </c>
      <c r="Q153" s="111" t="s">
        <v>2798</v>
      </c>
      <c r="R153" s="111" t="s">
        <v>2798</v>
      </c>
      <c r="S153" s="111" t="s">
        <v>2798</v>
      </c>
      <c r="T153" s="111" t="s">
        <v>2798</v>
      </c>
      <c r="U153" s="111" t="s">
        <v>2798</v>
      </c>
      <c r="V153" s="111" t="s">
        <v>2798</v>
      </c>
      <c r="W153" s="111" t="s">
        <v>2798</v>
      </c>
      <c r="X153" s="111" t="s">
        <v>2798</v>
      </c>
      <c r="Y153" s="111" t="s">
        <v>2798</v>
      </c>
      <c r="Z153" s="111" t="s">
        <v>2798</v>
      </c>
      <c r="AA153" s="111" t="s">
        <v>2798</v>
      </c>
      <c r="AB153" s="111" t="s">
        <v>2798</v>
      </c>
      <c r="AC153" s="111" t="s">
        <v>2798</v>
      </c>
      <c r="AD153" s="111" t="s">
        <v>2798</v>
      </c>
      <c r="AE153" s="111" t="s">
        <v>2798</v>
      </c>
      <c r="AF153" s="111" t="s">
        <v>2798</v>
      </c>
      <c r="AG153" s="111" t="s">
        <v>2798</v>
      </c>
      <c r="AH153" s="111" t="s">
        <v>2798</v>
      </c>
      <c r="AI153" s="111" t="s">
        <v>2798</v>
      </c>
      <c r="AJ153" s="111" t="s">
        <v>2798</v>
      </c>
      <c r="AK153" s="111" t="s">
        <v>2798</v>
      </c>
      <c r="AL153" s="111" t="s">
        <v>2798</v>
      </c>
      <c r="AM153" s="111" t="s">
        <v>2798</v>
      </c>
      <c r="AN153" s="111" t="s">
        <v>2798</v>
      </c>
      <c r="AO153" s="111" t="s">
        <v>2798</v>
      </c>
      <c r="AP153" s="111" t="s">
        <v>2798</v>
      </c>
      <c r="AQ153" s="111" t="s">
        <v>2798</v>
      </c>
      <c r="AR153" s="111" t="s">
        <v>2798</v>
      </c>
      <c r="AS153" s="111" t="s">
        <v>2798</v>
      </c>
      <c r="AT153" s="111" t="s">
        <v>2798</v>
      </c>
      <c r="AU153" s="111" t="s">
        <v>2798</v>
      </c>
      <c r="AV153" s="111" t="s">
        <v>2798</v>
      </c>
      <c r="AW153" s="111" t="s">
        <v>2798</v>
      </c>
      <c r="AX153" s="111" t="s">
        <v>2798</v>
      </c>
      <c r="AY153" s="111" t="s">
        <v>2798</v>
      </c>
      <c r="AZ153" s="111" t="s">
        <v>2798</v>
      </c>
      <c r="BA153" s="111" t="s">
        <v>2798</v>
      </c>
      <c r="BB153" s="111" t="s">
        <v>2798</v>
      </c>
      <c r="BC153" s="111" t="s">
        <v>2798</v>
      </c>
      <c r="BD153" s="111" t="s">
        <v>2798</v>
      </c>
      <c r="BE153" s="111" t="s">
        <v>2798</v>
      </c>
      <c r="BF153" s="111" t="s">
        <v>2798</v>
      </c>
      <c r="BG153" s="111" t="s">
        <v>2798</v>
      </c>
      <c r="BH153" s="111" t="s">
        <v>2798</v>
      </c>
      <c r="BI153" s="111" t="s">
        <v>2798</v>
      </c>
      <c r="BJ153" s="111" t="s">
        <v>2798</v>
      </c>
      <c r="BK153" s="111" t="s">
        <v>2798</v>
      </c>
      <c r="BL153" s="111" t="s">
        <v>2798</v>
      </c>
      <c r="BM153" s="111" t="s">
        <v>2798</v>
      </c>
      <c r="BN153" s="111" t="s">
        <v>2798</v>
      </c>
      <c r="BO153" s="111" t="s">
        <v>2798</v>
      </c>
      <c r="BP153" s="111" t="s">
        <v>2798</v>
      </c>
      <c r="BQ153" s="111" t="s">
        <v>2798</v>
      </c>
      <c r="BR153" s="111" t="s">
        <v>2798</v>
      </c>
      <c r="BS153" s="111" t="s">
        <v>2798</v>
      </c>
      <c r="BT153" s="111" t="s">
        <v>2798</v>
      </c>
      <c r="BU153" s="111" t="s">
        <v>2798</v>
      </c>
      <c r="BV153" s="111" t="s">
        <v>2798</v>
      </c>
      <c r="BW153" s="111" t="s">
        <v>2798</v>
      </c>
      <c r="BX153" s="111" t="s">
        <v>2798</v>
      </c>
      <c r="BY153" s="111" t="s">
        <v>2798</v>
      </c>
      <c r="BZ153" s="111" t="s">
        <v>2798</v>
      </c>
      <c r="CA153" s="111" t="s">
        <v>2798</v>
      </c>
      <c r="CB153" s="111" t="s">
        <v>2798</v>
      </c>
      <c r="CC153" s="111" t="s">
        <v>2798</v>
      </c>
      <c r="CD153" s="111" t="s">
        <v>2798</v>
      </c>
      <c r="CE153" s="111" t="s">
        <v>2798</v>
      </c>
      <c r="CF153" s="111" t="s">
        <v>2798</v>
      </c>
      <c r="CG153" s="111" t="s">
        <v>2798</v>
      </c>
      <c r="CH153" s="111" t="s">
        <v>2798</v>
      </c>
      <c r="CI153" s="111" t="s">
        <v>2798</v>
      </c>
      <c r="CJ153" s="111" t="s">
        <v>2798</v>
      </c>
      <c r="CK153" s="111" t="s">
        <v>2798</v>
      </c>
      <c r="CL153" s="111" t="s">
        <v>2798</v>
      </c>
      <c r="CM153" s="111" t="s">
        <v>2798</v>
      </c>
      <c r="CN153" s="111" t="s">
        <v>2798</v>
      </c>
      <c r="CO153" s="111" t="s">
        <v>2798</v>
      </c>
      <c r="CP153" s="111" t="s">
        <v>2798</v>
      </c>
      <c r="CQ153" s="111" t="s">
        <v>2798</v>
      </c>
    </row>
    <row r="154" spans="2:95" ht="14.25" customHeight="1">
      <c r="B154" s="106" t="s">
        <v>861</v>
      </c>
      <c r="C154" s="106" t="s">
        <v>2943</v>
      </c>
      <c r="D154" s="109">
        <v>14128.928</v>
      </c>
      <c r="E154" s="106" t="s">
        <v>2481</v>
      </c>
      <c r="F154" s="110">
        <v>75</v>
      </c>
      <c r="G154" s="106" t="s">
        <v>2793</v>
      </c>
      <c r="H154" s="102">
        <v>0</v>
      </c>
      <c r="I154" s="102">
        <v>0</v>
      </c>
      <c r="J154" s="111" t="s">
        <v>2798</v>
      </c>
      <c r="K154" s="111" t="s">
        <v>2798</v>
      </c>
      <c r="L154" s="111" t="s">
        <v>2798</v>
      </c>
      <c r="M154" s="111" t="s">
        <v>2798</v>
      </c>
      <c r="N154" s="111" t="s">
        <v>2798</v>
      </c>
      <c r="O154" s="111" t="s">
        <v>2798</v>
      </c>
      <c r="P154" s="111" t="s">
        <v>2798</v>
      </c>
      <c r="Q154" s="111" t="s">
        <v>2798</v>
      </c>
      <c r="R154" s="111" t="s">
        <v>2798</v>
      </c>
      <c r="S154" s="111" t="s">
        <v>2798</v>
      </c>
      <c r="T154" s="111" t="s">
        <v>2798</v>
      </c>
      <c r="U154" s="111" t="s">
        <v>2798</v>
      </c>
      <c r="V154" s="111" t="s">
        <v>2798</v>
      </c>
      <c r="W154" s="111" t="s">
        <v>2798</v>
      </c>
      <c r="X154" s="111" t="s">
        <v>2798</v>
      </c>
      <c r="Y154" s="111" t="s">
        <v>2798</v>
      </c>
      <c r="Z154" s="111" t="s">
        <v>2798</v>
      </c>
      <c r="AA154" s="111" t="s">
        <v>2798</v>
      </c>
      <c r="AB154" s="111" t="s">
        <v>2798</v>
      </c>
      <c r="AC154" s="111" t="s">
        <v>2798</v>
      </c>
      <c r="AD154" s="111" t="s">
        <v>2798</v>
      </c>
      <c r="AE154" s="111" t="s">
        <v>2798</v>
      </c>
      <c r="AF154" s="111" t="s">
        <v>2798</v>
      </c>
      <c r="AG154" s="111" t="s">
        <v>2798</v>
      </c>
      <c r="AH154" s="111" t="s">
        <v>2798</v>
      </c>
      <c r="AI154" s="111" t="s">
        <v>2798</v>
      </c>
      <c r="AJ154" s="111" t="s">
        <v>2798</v>
      </c>
      <c r="AK154" s="111" t="s">
        <v>2798</v>
      </c>
      <c r="AL154" s="111" t="s">
        <v>2798</v>
      </c>
      <c r="AM154" s="111" t="s">
        <v>2798</v>
      </c>
      <c r="AN154" s="111" t="s">
        <v>2798</v>
      </c>
      <c r="AO154" s="111" t="s">
        <v>2798</v>
      </c>
      <c r="AP154" s="111" t="s">
        <v>2798</v>
      </c>
      <c r="AQ154" s="111" t="s">
        <v>2798</v>
      </c>
      <c r="AR154" s="111" t="s">
        <v>2798</v>
      </c>
      <c r="AS154" s="111" t="s">
        <v>2798</v>
      </c>
      <c r="AT154" s="111" t="s">
        <v>2798</v>
      </c>
      <c r="AU154" s="111" t="s">
        <v>2798</v>
      </c>
      <c r="AV154" s="111" t="s">
        <v>2798</v>
      </c>
      <c r="AW154" s="111" t="s">
        <v>2798</v>
      </c>
      <c r="AX154" s="111" t="s">
        <v>2798</v>
      </c>
      <c r="AY154" s="111" t="s">
        <v>2798</v>
      </c>
      <c r="AZ154" s="111" t="s">
        <v>2798</v>
      </c>
      <c r="BA154" s="111" t="s">
        <v>2798</v>
      </c>
      <c r="BB154" s="111" t="s">
        <v>2798</v>
      </c>
      <c r="BC154" s="111" t="s">
        <v>2798</v>
      </c>
      <c r="BD154" s="111" t="s">
        <v>2798</v>
      </c>
      <c r="BE154" s="111" t="s">
        <v>2798</v>
      </c>
      <c r="BF154" s="111" t="s">
        <v>2798</v>
      </c>
      <c r="BG154" s="111" t="s">
        <v>2798</v>
      </c>
      <c r="BH154" s="111" t="s">
        <v>2798</v>
      </c>
      <c r="BI154" s="111" t="s">
        <v>2798</v>
      </c>
      <c r="BJ154" s="111" t="s">
        <v>2798</v>
      </c>
      <c r="BK154" s="111" t="s">
        <v>2798</v>
      </c>
      <c r="BL154" s="111" t="s">
        <v>2798</v>
      </c>
      <c r="BM154" s="111" t="s">
        <v>2798</v>
      </c>
      <c r="BN154" s="111" t="s">
        <v>2798</v>
      </c>
      <c r="BO154" s="111" t="s">
        <v>2798</v>
      </c>
      <c r="BP154" s="111" t="s">
        <v>2798</v>
      </c>
      <c r="BQ154" s="111" t="s">
        <v>2798</v>
      </c>
      <c r="BR154" s="111" t="s">
        <v>2798</v>
      </c>
      <c r="BS154" s="111" t="s">
        <v>2798</v>
      </c>
      <c r="BT154" s="111" t="s">
        <v>2798</v>
      </c>
      <c r="BU154" s="111" t="s">
        <v>2798</v>
      </c>
      <c r="BV154" s="111" t="s">
        <v>2798</v>
      </c>
      <c r="BW154" s="111" t="s">
        <v>2798</v>
      </c>
      <c r="BX154" s="111" t="s">
        <v>2798</v>
      </c>
      <c r="BY154" s="111" t="s">
        <v>2798</v>
      </c>
      <c r="BZ154" s="111" t="s">
        <v>2798</v>
      </c>
      <c r="CA154" s="111" t="s">
        <v>2798</v>
      </c>
      <c r="CB154" s="111" t="s">
        <v>2798</v>
      </c>
      <c r="CC154" s="111" t="s">
        <v>2798</v>
      </c>
      <c r="CD154" s="111" t="s">
        <v>2798</v>
      </c>
      <c r="CE154" s="111" t="s">
        <v>2798</v>
      </c>
      <c r="CF154" s="111" t="s">
        <v>2798</v>
      </c>
      <c r="CG154" s="111" t="s">
        <v>2798</v>
      </c>
      <c r="CH154" s="111" t="s">
        <v>2798</v>
      </c>
      <c r="CI154" s="111" t="s">
        <v>2798</v>
      </c>
      <c r="CJ154" s="111" t="s">
        <v>2798</v>
      </c>
      <c r="CK154" s="111" t="s">
        <v>2798</v>
      </c>
      <c r="CL154" s="111" t="s">
        <v>2798</v>
      </c>
      <c r="CM154" s="111" t="s">
        <v>2798</v>
      </c>
      <c r="CN154" s="111" t="s">
        <v>2798</v>
      </c>
      <c r="CO154" s="111" t="s">
        <v>2798</v>
      </c>
      <c r="CP154" s="111" t="s">
        <v>2798</v>
      </c>
      <c r="CQ154" s="111" t="s">
        <v>2798</v>
      </c>
    </row>
    <row r="155" spans="2:95" ht="14.25" customHeight="1">
      <c r="B155" s="106" t="s">
        <v>862</v>
      </c>
      <c r="C155" s="106" t="s">
        <v>2944</v>
      </c>
      <c r="D155" s="109">
        <v>14163.878000000001</v>
      </c>
      <c r="E155" s="106" t="s">
        <v>2526</v>
      </c>
      <c r="F155" s="110">
        <v>34.950000000000728</v>
      </c>
      <c r="G155" s="106" t="s">
        <v>2795</v>
      </c>
      <c r="H155" s="102">
        <v>0</v>
      </c>
      <c r="I155" s="102">
        <v>0</v>
      </c>
      <c r="J155" s="111" t="s">
        <v>87</v>
      </c>
      <c r="K155" s="111" t="s">
        <v>2708</v>
      </c>
      <c r="L155" s="111" t="s">
        <v>2709</v>
      </c>
      <c r="M155" s="111" t="s">
        <v>2710</v>
      </c>
      <c r="N155" s="111" t="s">
        <v>2711</v>
      </c>
      <c r="O155" s="111" t="s">
        <v>2712</v>
      </c>
      <c r="P155" s="111" t="s">
        <v>2713</v>
      </c>
      <c r="Q155" s="111" t="s">
        <v>2714</v>
      </c>
      <c r="R155" s="111" t="s">
        <v>2715</v>
      </c>
      <c r="S155" s="111" t="s">
        <v>2716</v>
      </c>
      <c r="T155" s="111" t="s">
        <v>2717</v>
      </c>
      <c r="U155" s="111" t="s">
        <v>2718</v>
      </c>
      <c r="V155" s="111" t="s">
        <v>2798</v>
      </c>
      <c r="W155" s="111" t="s">
        <v>2798</v>
      </c>
      <c r="X155" s="111" t="s">
        <v>2798</v>
      </c>
      <c r="Y155" s="111" t="s">
        <v>2798</v>
      </c>
      <c r="Z155" s="111" t="s">
        <v>2798</v>
      </c>
      <c r="AA155" s="111" t="s">
        <v>2798</v>
      </c>
      <c r="AB155" s="111" t="s">
        <v>2798</v>
      </c>
      <c r="AC155" s="111" t="s">
        <v>2798</v>
      </c>
      <c r="AD155" s="111" t="s">
        <v>2798</v>
      </c>
      <c r="AE155" s="111" t="s">
        <v>2798</v>
      </c>
      <c r="AF155" s="111" t="s">
        <v>2798</v>
      </c>
      <c r="AG155" s="111" t="s">
        <v>2798</v>
      </c>
      <c r="AH155" s="111" t="s">
        <v>2798</v>
      </c>
      <c r="AI155" s="111" t="s">
        <v>2798</v>
      </c>
      <c r="AJ155" s="111" t="s">
        <v>2798</v>
      </c>
      <c r="AK155" s="111" t="s">
        <v>2798</v>
      </c>
      <c r="AL155" s="111" t="s">
        <v>2798</v>
      </c>
      <c r="AM155" s="111" t="s">
        <v>2798</v>
      </c>
      <c r="AN155" s="111" t="s">
        <v>2798</v>
      </c>
      <c r="AO155" s="111" t="s">
        <v>2798</v>
      </c>
      <c r="AP155" s="111" t="s">
        <v>2798</v>
      </c>
      <c r="AQ155" s="111" t="s">
        <v>2798</v>
      </c>
      <c r="AR155" s="111" t="s">
        <v>2798</v>
      </c>
      <c r="AS155" s="111" t="s">
        <v>2798</v>
      </c>
      <c r="AT155" s="111" t="s">
        <v>2798</v>
      </c>
      <c r="AU155" s="111" t="s">
        <v>2798</v>
      </c>
      <c r="AV155" s="111" t="s">
        <v>2798</v>
      </c>
      <c r="AW155" s="111" t="s">
        <v>2798</v>
      </c>
      <c r="AX155" s="111" t="s">
        <v>2798</v>
      </c>
      <c r="AY155" s="111" t="s">
        <v>2798</v>
      </c>
      <c r="AZ155" s="111" t="s">
        <v>2798</v>
      </c>
      <c r="BA155" s="111" t="s">
        <v>2798</v>
      </c>
      <c r="BB155" s="111" t="s">
        <v>2798</v>
      </c>
      <c r="BC155" s="111" t="s">
        <v>2798</v>
      </c>
      <c r="BD155" s="111" t="s">
        <v>2798</v>
      </c>
      <c r="BE155" s="111" t="s">
        <v>2798</v>
      </c>
      <c r="BF155" s="111" t="s">
        <v>2798</v>
      </c>
      <c r="BG155" s="111" t="s">
        <v>2798</v>
      </c>
      <c r="BH155" s="111" t="s">
        <v>2798</v>
      </c>
      <c r="BI155" s="111" t="s">
        <v>2798</v>
      </c>
      <c r="BJ155" s="111" t="s">
        <v>2798</v>
      </c>
      <c r="BK155" s="111" t="s">
        <v>2798</v>
      </c>
      <c r="BL155" s="111" t="s">
        <v>2798</v>
      </c>
      <c r="BM155" s="111" t="s">
        <v>2798</v>
      </c>
      <c r="BN155" s="111" t="s">
        <v>2798</v>
      </c>
      <c r="BO155" s="111" t="s">
        <v>2798</v>
      </c>
      <c r="BP155" s="111" t="s">
        <v>2798</v>
      </c>
      <c r="BQ155" s="111" t="s">
        <v>2798</v>
      </c>
      <c r="BR155" s="111" t="s">
        <v>2798</v>
      </c>
      <c r="BS155" s="111" t="s">
        <v>2798</v>
      </c>
      <c r="BT155" s="111" t="s">
        <v>2798</v>
      </c>
      <c r="BU155" s="111" t="s">
        <v>2798</v>
      </c>
      <c r="BV155" s="111" t="s">
        <v>2798</v>
      </c>
      <c r="BW155" s="111" t="s">
        <v>2798</v>
      </c>
      <c r="BX155" s="111" t="s">
        <v>2798</v>
      </c>
      <c r="BY155" s="111" t="s">
        <v>2798</v>
      </c>
      <c r="BZ155" s="111" t="s">
        <v>2798</v>
      </c>
      <c r="CA155" s="111" t="s">
        <v>2798</v>
      </c>
      <c r="CB155" s="111" t="s">
        <v>2798</v>
      </c>
      <c r="CC155" s="111" t="s">
        <v>2798</v>
      </c>
      <c r="CD155" s="111" t="s">
        <v>2798</v>
      </c>
      <c r="CE155" s="111" t="s">
        <v>2798</v>
      </c>
      <c r="CF155" s="111" t="s">
        <v>2798</v>
      </c>
      <c r="CG155" s="111" t="s">
        <v>2798</v>
      </c>
      <c r="CH155" s="111" t="s">
        <v>2798</v>
      </c>
      <c r="CI155" s="111" t="s">
        <v>2798</v>
      </c>
      <c r="CJ155" s="111" t="s">
        <v>2798</v>
      </c>
      <c r="CK155" s="111" t="s">
        <v>2798</v>
      </c>
      <c r="CL155" s="111" t="s">
        <v>2798</v>
      </c>
      <c r="CM155" s="111" t="s">
        <v>2798</v>
      </c>
      <c r="CN155" s="111" t="s">
        <v>2798</v>
      </c>
      <c r="CO155" s="111" t="s">
        <v>2798</v>
      </c>
      <c r="CP155" s="111" t="s">
        <v>2798</v>
      </c>
      <c r="CQ155" s="111" t="s">
        <v>2798</v>
      </c>
    </row>
    <row r="156" spans="2:95" ht="14.25" customHeight="1">
      <c r="B156" s="106" t="s">
        <v>863</v>
      </c>
      <c r="C156" s="106" t="s">
        <v>2945</v>
      </c>
      <c r="D156" s="109">
        <v>14198.828</v>
      </c>
      <c r="E156" s="106" t="s">
        <v>2526</v>
      </c>
      <c r="F156" s="110">
        <v>34.949999999998909</v>
      </c>
      <c r="G156" s="106" t="s">
        <v>2793</v>
      </c>
      <c r="H156" s="102">
        <v>0</v>
      </c>
      <c r="I156" s="102">
        <v>0</v>
      </c>
      <c r="J156" s="111" t="s">
        <v>2798</v>
      </c>
      <c r="K156" s="111" t="s">
        <v>2798</v>
      </c>
      <c r="L156" s="111" t="s">
        <v>2798</v>
      </c>
      <c r="M156" s="111" t="s">
        <v>2798</v>
      </c>
      <c r="N156" s="111" t="s">
        <v>2798</v>
      </c>
      <c r="O156" s="111" t="s">
        <v>2798</v>
      </c>
      <c r="P156" s="111" t="s">
        <v>2798</v>
      </c>
      <c r="Q156" s="111" t="s">
        <v>2798</v>
      </c>
      <c r="R156" s="111" t="s">
        <v>2798</v>
      </c>
      <c r="S156" s="111" t="s">
        <v>2798</v>
      </c>
      <c r="T156" s="111" t="s">
        <v>2798</v>
      </c>
      <c r="U156" s="111" t="s">
        <v>2798</v>
      </c>
      <c r="V156" s="111" t="s">
        <v>2798</v>
      </c>
      <c r="W156" s="111" t="s">
        <v>2798</v>
      </c>
      <c r="X156" s="111" t="s">
        <v>2798</v>
      </c>
      <c r="Y156" s="111" t="s">
        <v>2798</v>
      </c>
      <c r="Z156" s="111" t="s">
        <v>2798</v>
      </c>
      <c r="AA156" s="111" t="s">
        <v>2798</v>
      </c>
      <c r="AB156" s="111" t="s">
        <v>2798</v>
      </c>
      <c r="AC156" s="111" t="s">
        <v>2798</v>
      </c>
      <c r="AD156" s="111" t="s">
        <v>2798</v>
      </c>
      <c r="AE156" s="111" t="s">
        <v>2798</v>
      </c>
      <c r="AF156" s="111" t="s">
        <v>2798</v>
      </c>
      <c r="AG156" s="111" t="s">
        <v>2798</v>
      </c>
      <c r="AH156" s="111" t="s">
        <v>2798</v>
      </c>
      <c r="AI156" s="111" t="s">
        <v>2798</v>
      </c>
      <c r="AJ156" s="111" t="s">
        <v>2798</v>
      </c>
      <c r="AK156" s="111" t="s">
        <v>2798</v>
      </c>
      <c r="AL156" s="111" t="s">
        <v>2798</v>
      </c>
      <c r="AM156" s="111" t="s">
        <v>2798</v>
      </c>
      <c r="AN156" s="111" t="s">
        <v>2798</v>
      </c>
      <c r="AO156" s="111" t="s">
        <v>2798</v>
      </c>
      <c r="AP156" s="111" t="s">
        <v>2798</v>
      </c>
      <c r="AQ156" s="111" t="s">
        <v>2798</v>
      </c>
      <c r="AR156" s="111" t="s">
        <v>2798</v>
      </c>
      <c r="AS156" s="111" t="s">
        <v>2798</v>
      </c>
      <c r="AT156" s="111" t="s">
        <v>2798</v>
      </c>
      <c r="AU156" s="111" t="s">
        <v>2798</v>
      </c>
      <c r="AV156" s="111" t="s">
        <v>2798</v>
      </c>
      <c r="AW156" s="111" t="s">
        <v>2798</v>
      </c>
      <c r="AX156" s="111" t="s">
        <v>2798</v>
      </c>
      <c r="AY156" s="111" t="s">
        <v>2798</v>
      </c>
      <c r="AZ156" s="111" t="s">
        <v>2798</v>
      </c>
      <c r="BA156" s="111" t="s">
        <v>2798</v>
      </c>
      <c r="BB156" s="111" t="s">
        <v>2798</v>
      </c>
      <c r="BC156" s="111" t="s">
        <v>2798</v>
      </c>
      <c r="BD156" s="111" t="s">
        <v>2798</v>
      </c>
      <c r="BE156" s="111" t="s">
        <v>2798</v>
      </c>
      <c r="BF156" s="111" t="s">
        <v>2798</v>
      </c>
      <c r="BG156" s="111" t="s">
        <v>2798</v>
      </c>
      <c r="BH156" s="111" t="s">
        <v>2798</v>
      </c>
      <c r="BI156" s="111" t="s">
        <v>2798</v>
      </c>
      <c r="BJ156" s="111" t="s">
        <v>2798</v>
      </c>
      <c r="BK156" s="111" t="s">
        <v>2798</v>
      </c>
      <c r="BL156" s="111" t="s">
        <v>2798</v>
      </c>
      <c r="BM156" s="111" t="s">
        <v>2798</v>
      </c>
      <c r="BN156" s="111" t="s">
        <v>2798</v>
      </c>
      <c r="BO156" s="111" t="s">
        <v>2798</v>
      </c>
      <c r="BP156" s="111" t="s">
        <v>2798</v>
      </c>
      <c r="BQ156" s="111" t="s">
        <v>2798</v>
      </c>
      <c r="BR156" s="111" t="s">
        <v>2798</v>
      </c>
      <c r="BS156" s="111" t="s">
        <v>2798</v>
      </c>
      <c r="BT156" s="111" t="s">
        <v>2798</v>
      </c>
      <c r="BU156" s="111" t="s">
        <v>2798</v>
      </c>
      <c r="BV156" s="111" t="s">
        <v>2798</v>
      </c>
      <c r="BW156" s="111" t="s">
        <v>2798</v>
      </c>
      <c r="BX156" s="111" t="s">
        <v>2798</v>
      </c>
      <c r="BY156" s="111" t="s">
        <v>2798</v>
      </c>
      <c r="BZ156" s="111" t="s">
        <v>2798</v>
      </c>
      <c r="CA156" s="111" t="s">
        <v>2798</v>
      </c>
      <c r="CB156" s="111" t="s">
        <v>2798</v>
      </c>
      <c r="CC156" s="111" t="s">
        <v>2798</v>
      </c>
      <c r="CD156" s="111" t="s">
        <v>2798</v>
      </c>
      <c r="CE156" s="111" t="s">
        <v>2780</v>
      </c>
      <c r="CF156" s="111" t="s">
        <v>2781</v>
      </c>
      <c r="CG156" s="111" t="s">
        <v>2782</v>
      </c>
      <c r="CH156" s="111" t="s">
        <v>2783</v>
      </c>
      <c r="CI156" s="111" t="s">
        <v>2798</v>
      </c>
      <c r="CJ156" s="111" t="s">
        <v>2785</v>
      </c>
      <c r="CK156" s="111" t="s">
        <v>2786</v>
      </c>
      <c r="CL156" s="111" t="s">
        <v>2787</v>
      </c>
      <c r="CM156" s="111" t="s">
        <v>2788</v>
      </c>
      <c r="CN156" s="111" t="s">
        <v>2789</v>
      </c>
      <c r="CO156" s="111" t="s">
        <v>2790</v>
      </c>
      <c r="CP156" s="111" t="s">
        <v>2791</v>
      </c>
      <c r="CQ156" s="111" t="s">
        <v>2792</v>
      </c>
    </row>
    <row r="157" spans="2:95" ht="14.25" customHeight="1">
      <c r="B157" s="106" t="s">
        <v>864</v>
      </c>
      <c r="C157" s="106" t="s">
        <v>2946</v>
      </c>
      <c r="D157" s="109">
        <v>14235.35</v>
      </c>
      <c r="E157" s="106" t="s">
        <v>2947</v>
      </c>
      <c r="F157" s="110">
        <v>36.522000000000844</v>
      </c>
      <c r="G157" s="106" t="s">
        <v>2793</v>
      </c>
      <c r="H157" s="102">
        <v>0</v>
      </c>
      <c r="I157" s="102">
        <v>0</v>
      </c>
      <c r="J157" s="111" t="s">
        <v>87</v>
      </c>
      <c r="K157" s="111" t="s">
        <v>2708</v>
      </c>
      <c r="L157" s="111" t="s">
        <v>2709</v>
      </c>
      <c r="M157" s="111" t="s">
        <v>2710</v>
      </c>
      <c r="N157" s="111" t="s">
        <v>2711</v>
      </c>
      <c r="O157" s="111" t="s">
        <v>2712</v>
      </c>
      <c r="P157" s="111" t="s">
        <v>2713</v>
      </c>
      <c r="Q157" s="111" t="s">
        <v>2798</v>
      </c>
      <c r="R157" s="111" t="s">
        <v>2798</v>
      </c>
      <c r="S157" s="111" t="s">
        <v>2798</v>
      </c>
      <c r="T157" s="111" t="s">
        <v>2798</v>
      </c>
      <c r="U157" s="111" t="s">
        <v>2798</v>
      </c>
      <c r="V157" s="111" t="s">
        <v>2798</v>
      </c>
      <c r="W157" s="111" t="s">
        <v>2798</v>
      </c>
      <c r="X157" s="111" t="s">
        <v>2798</v>
      </c>
      <c r="Y157" s="111" t="s">
        <v>2798</v>
      </c>
      <c r="Z157" s="111" t="s">
        <v>2798</v>
      </c>
      <c r="AA157" s="111" t="s">
        <v>2798</v>
      </c>
      <c r="AB157" s="111" t="s">
        <v>2798</v>
      </c>
      <c r="AC157" s="111" t="s">
        <v>2798</v>
      </c>
      <c r="AD157" s="111" t="s">
        <v>2798</v>
      </c>
      <c r="AE157" s="111" t="s">
        <v>2798</v>
      </c>
      <c r="AF157" s="111" t="s">
        <v>2798</v>
      </c>
      <c r="AG157" s="111" t="s">
        <v>2798</v>
      </c>
      <c r="AH157" s="111" t="s">
        <v>2798</v>
      </c>
      <c r="AI157" s="111" t="s">
        <v>2798</v>
      </c>
      <c r="AJ157" s="111" t="s">
        <v>2798</v>
      </c>
      <c r="AK157" s="111" t="s">
        <v>2798</v>
      </c>
      <c r="AL157" s="111" t="s">
        <v>2798</v>
      </c>
      <c r="AM157" s="111" t="s">
        <v>2798</v>
      </c>
      <c r="AN157" s="111" t="s">
        <v>2798</v>
      </c>
      <c r="AO157" s="111" t="s">
        <v>2798</v>
      </c>
      <c r="AP157" s="111" t="s">
        <v>2798</v>
      </c>
      <c r="AQ157" s="111" t="s">
        <v>2798</v>
      </c>
      <c r="AR157" s="111" t="s">
        <v>2798</v>
      </c>
      <c r="AS157" s="111" t="s">
        <v>2798</v>
      </c>
      <c r="AT157" s="111" t="s">
        <v>2798</v>
      </c>
      <c r="AU157" s="111" t="s">
        <v>2798</v>
      </c>
      <c r="AV157" s="111" t="s">
        <v>2798</v>
      </c>
      <c r="AW157" s="111" t="s">
        <v>2798</v>
      </c>
      <c r="AX157" s="111" t="s">
        <v>2798</v>
      </c>
      <c r="AY157" s="111" t="s">
        <v>2798</v>
      </c>
      <c r="AZ157" s="111" t="s">
        <v>2798</v>
      </c>
      <c r="BA157" s="111" t="s">
        <v>2798</v>
      </c>
      <c r="BB157" s="111" t="s">
        <v>2798</v>
      </c>
      <c r="BC157" s="111" t="s">
        <v>2798</v>
      </c>
      <c r="BD157" s="111" t="s">
        <v>2798</v>
      </c>
      <c r="BE157" s="111" t="s">
        <v>2798</v>
      </c>
      <c r="BF157" s="111" t="s">
        <v>2798</v>
      </c>
      <c r="BG157" s="111" t="s">
        <v>2798</v>
      </c>
      <c r="BH157" s="111" t="s">
        <v>2798</v>
      </c>
      <c r="BI157" s="111" t="s">
        <v>2798</v>
      </c>
      <c r="BJ157" s="111" t="s">
        <v>2798</v>
      </c>
      <c r="BK157" s="111" t="s">
        <v>2798</v>
      </c>
      <c r="BL157" s="111" t="s">
        <v>2798</v>
      </c>
      <c r="BM157" s="111" t="s">
        <v>2798</v>
      </c>
      <c r="BN157" s="111" t="s">
        <v>2798</v>
      </c>
      <c r="BO157" s="111" t="s">
        <v>2798</v>
      </c>
      <c r="BP157" s="111" t="s">
        <v>2798</v>
      </c>
      <c r="BQ157" s="111" t="s">
        <v>2798</v>
      </c>
      <c r="BR157" s="111" t="s">
        <v>2798</v>
      </c>
      <c r="BS157" s="111" t="s">
        <v>2798</v>
      </c>
      <c r="BT157" s="111" t="s">
        <v>2798</v>
      </c>
      <c r="BU157" s="111" t="s">
        <v>2798</v>
      </c>
      <c r="BV157" s="111" t="s">
        <v>2798</v>
      </c>
      <c r="BW157" s="111" t="s">
        <v>2798</v>
      </c>
      <c r="BX157" s="111" t="s">
        <v>2798</v>
      </c>
      <c r="BY157" s="111" t="s">
        <v>2798</v>
      </c>
      <c r="BZ157" s="111" t="s">
        <v>2798</v>
      </c>
      <c r="CA157" s="111" t="s">
        <v>2798</v>
      </c>
      <c r="CB157" s="111" t="s">
        <v>2798</v>
      </c>
      <c r="CC157" s="111" t="s">
        <v>2798</v>
      </c>
      <c r="CD157" s="111" t="s">
        <v>2798</v>
      </c>
      <c r="CE157" s="111" t="s">
        <v>2798</v>
      </c>
      <c r="CF157" s="111" t="s">
        <v>2798</v>
      </c>
      <c r="CG157" s="111" t="s">
        <v>2798</v>
      </c>
      <c r="CH157" s="111" t="s">
        <v>2798</v>
      </c>
      <c r="CI157" s="111" t="s">
        <v>2798</v>
      </c>
      <c r="CJ157" s="111" t="s">
        <v>2798</v>
      </c>
      <c r="CK157" s="111" t="s">
        <v>2798</v>
      </c>
      <c r="CL157" s="111" t="s">
        <v>2787</v>
      </c>
      <c r="CM157" s="111" t="s">
        <v>2788</v>
      </c>
      <c r="CN157" s="111" t="s">
        <v>2789</v>
      </c>
      <c r="CO157" s="111" t="s">
        <v>2790</v>
      </c>
      <c r="CP157" s="111" t="s">
        <v>2791</v>
      </c>
      <c r="CQ157" s="111" t="s">
        <v>2792</v>
      </c>
    </row>
    <row r="158" spans="2:95" ht="14.25" customHeight="1">
      <c r="B158" s="106" t="s">
        <v>865</v>
      </c>
      <c r="C158" s="106" t="s">
        <v>2948</v>
      </c>
      <c r="D158" s="109">
        <v>14273.31</v>
      </c>
      <c r="E158" s="106" t="s">
        <v>2535</v>
      </c>
      <c r="F158" s="110">
        <v>37.959999999999127</v>
      </c>
      <c r="G158" s="106" t="s">
        <v>2795</v>
      </c>
      <c r="H158" s="102">
        <v>0</v>
      </c>
      <c r="I158" s="102">
        <v>0</v>
      </c>
      <c r="J158" s="111" t="s">
        <v>87</v>
      </c>
      <c r="K158" s="111" t="s">
        <v>2708</v>
      </c>
      <c r="L158" s="111" t="s">
        <v>2709</v>
      </c>
      <c r="M158" s="111" t="s">
        <v>2710</v>
      </c>
      <c r="N158" s="111" t="s">
        <v>2711</v>
      </c>
      <c r="O158" s="111" t="s">
        <v>2712</v>
      </c>
      <c r="P158" s="111" t="s">
        <v>2713</v>
      </c>
      <c r="Q158" s="111" t="s">
        <v>2714</v>
      </c>
      <c r="R158" s="111" t="s">
        <v>2715</v>
      </c>
      <c r="S158" s="111" t="s">
        <v>2716</v>
      </c>
      <c r="T158" s="111" t="s">
        <v>2717</v>
      </c>
      <c r="U158" s="111" t="s">
        <v>2718</v>
      </c>
      <c r="V158" s="111" t="s">
        <v>2719</v>
      </c>
      <c r="W158" s="111" t="s">
        <v>2798</v>
      </c>
      <c r="X158" s="111" t="s">
        <v>2798</v>
      </c>
      <c r="Y158" s="111" t="s">
        <v>2798</v>
      </c>
      <c r="Z158" s="111" t="s">
        <v>2798</v>
      </c>
      <c r="AA158" s="111" t="s">
        <v>2798</v>
      </c>
      <c r="AB158" s="111" t="s">
        <v>2798</v>
      </c>
      <c r="AC158" s="111" t="s">
        <v>2798</v>
      </c>
      <c r="AD158" s="111" t="s">
        <v>2798</v>
      </c>
      <c r="AE158" s="111" t="s">
        <v>2798</v>
      </c>
      <c r="AF158" s="111" t="s">
        <v>2798</v>
      </c>
      <c r="AG158" s="111" t="s">
        <v>2798</v>
      </c>
      <c r="AH158" s="111" t="s">
        <v>2798</v>
      </c>
      <c r="AI158" s="111" t="s">
        <v>2798</v>
      </c>
      <c r="AJ158" s="111" t="s">
        <v>2798</v>
      </c>
      <c r="AK158" s="111" t="s">
        <v>2798</v>
      </c>
      <c r="AL158" s="111" t="s">
        <v>2798</v>
      </c>
      <c r="AM158" s="111" t="s">
        <v>2798</v>
      </c>
      <c r="AN158" s="111" t="s">
        <v>2798</v>
      </c>
      <c r="AO158" s="111" t="s">
        <v>2798</v>
      </c>
      <c r="AP158" s="111" t="s">
        <v>2798</v>
      </c>
      <c r="AQ158" s="111" t="s">
        <v>2798</v>
      </c>
      <c r="AR158" s="111" t="s">
        <v>2798</v>
      </c>
      <c r="AS158" s="111" t="s">
        <v>2798</v>
      </c>
      <c r="AT158" s="111" t="s">
        <v>2798</v>
      </c>
      <c r="AU158" s="111" t="s">
        <v>2798</v>
      </c>
      <c r="AV158" s="111" t="s">
        <v>2798</v>
      </c>
      <c r="AW158" s="111" t="s">
        <v>2798</v>
      </c>
      <c r="AX158" s="111" t="s">
        <v>2798</v>
      </c>
      <c r="AY158" s="111" t="s">
        <v>2798</v>
      </c>
      <c r="AZ158" s="111" t="s">
        <v>2798</v>
      </c>
      <c r="BA158" s="111" t="s">
        <v>2798</v>
      </c>
      <c r="BB158" s="111" t="s">
        <v>2798</v>
      </c>
      <c r="BC158" s="111" t="s">
        <v>2798</v>
      </c>
      <c r="BD158" s="111" t="s">
        <v>2798</v>
      </c>
      <c r="BE158" s="111" t="s">
        <v>2798</v>
      </c>
      <c r="BF158" s="111" t="s">
        <v>2798</v>
      </c>
      <c r="BG158" s="111" t="s">
        <v>2798</v>
      </c>
      <c r="BH158" s="111" t="s">
        <v>2798</v>
      </c>
      <c r="BI158" s="111" t="s">
        <v>2798</v>
      </c>
      <c r="BJ158" s="111" t="s">
        <v>2798</v>
      </c>
      <c r="BK158" s="111" t="s">
        <v>2798</v>
      </c>
      <c r="BL158" s="111" t="s">
        <v>2798</v>
      </c>
      <c r="BM158" s="111" t="s">
        <v>2798</v>
      </c>
      <c r="BN158" s="111" t="s">
        <v>2798</v>
      </c>
      <c r="BO158" s="111" t="s">
        <v>2798</v>
      </c>
      <c r="BP158" s="111" t="s">
        <v>2798</v>
      </c>
      <c r="BQ158" s="111" t="s">
        <v>2798</v>
      </c>
      <c r="BR158" s="111" t="s">
        <v>2798</v>
      </c>
      <c r="BS158" s="111" t="s">
        <v>2798</v>
      </c>
      <c r="BT158" s="111" t="s">
        <v>2798</v>
      </c>
      <c r="BU158" s="111" t="s">
        <v>2798</v>
      </c>
      <c r="BV158" s="111" t="s">
        <v>2798</v>
      </c>
      <c r="BW158" s="111" t="s">
        <v>2798</v>
      </c>
      <c r="BX158" s="111" t="s">
        <v>2798</v>
      </c>
      <c r="BY158" s="111" t="s">
        <v>2798</v>
      </c>
      <c r="BZ158" s="111" t="s">
        <v>2798</v>
      </c>
      <c r="CA158" s="111" t="s">
        <v>2798</v>
      </c>
      <c r="CB158" s="111" t="s">
        <v>2798</v>
      </c>
      <c r="CC158" s="111" t="s">
        <v>2798</v>
      </c>
      <c r="CD158" s="111" t="s">
        <v>2798</v>
      </c>
      <c r="CE158" s="111" t="s">
        <v>2798</v>
      </c>
      <c r="CF158" s="111" t="s">
        <v>2798</v>
      </c>
      <c r="CG158" s="111" t="s">
        <v>2798</v>
      </c>
      <c r="CH158" s="111" t="s">
        <v>2798</v>
      </c>
      <c r="CI158" s="111" t="s">
        <v>2798</v>
      </c>
      <c r="CJ158" s="111" t="s">
        <v>2798</v>
      </c>
      <c r="CK158" s="111" t="s">
        <v>2798</v>
      </c>
      <c r="CL158" s="111" t="s">
        <v>2798</v>
      </c>
      <c r="CM158" s="111" t="s">
        <v>2798</v>
      </c>
      <c r="CN158" s="111" t="s">
        <v>2798</v>
      </c>
      <c r="CO158" s="111" t="s">
        <v>2798</v>
      </c>
      <c r="CP158" s="111" t="s">
        <v>2798</v>
      </c>
      <c r="CQ158" s="111" t="s">
        <v>2798</v>
      </c>
    </row>
    <row r="159" spans="2:95" ht="14.25" customHeight="1">
      <c r="B159" s="106" t="s">
        <v>866</v>
      </c>
      <c r="C159" s="106" t="s">
        <v>2949</v>
      </c>
      <c r="D159" s="109">
        <v>14311.27</v>
      </c>
      <c r="E159" s="106" t="s">
        <v>2535</v>
      </c>
      <c r="F159" s="110">
        <v>37.960000000000946</v>
      </c>
      <c r="G159" s="106" t="s">
        <v>2795</v>
      </c>
      <c r="H159" s="102">
        <v>0</v>
      </c>
      <c r="I159" s="102">
        <v>0</v>
      </c>
      <c r="J159" s="111" t="s">
        <v>2798</v>
      </c>
      <c r="K159" s="111" t="s">
        <v>2798</v>
      </c>
      <c r="L159" s="111" t="s">
        <v>2798</v>
      </c>
      <c r="M159" s="111" t="s">
        <v>2798</v>
      </c>
      <c r="N159" s="111" t="s">
        <v>2798</v>
      </c>
      <c r="O159" s="111" t="s">
        <v>2798</v>
      </c>
      <c r="P159" s="111" t="s">
        <v>2798</v>
      </c>
      <c r="Q159" s="111" t="s">
        <v>2798</v>
      </c>
      <c r="R159" s="111" t="s">
        <v>2798</v>
      </c>
      <c r="S159" s="111" t="s">
        <v>2798</v>
      </c>
      <c r="T159" s="111" t="s">
        <v>2798</v>
      </c>
      <c r="U159" s="111" t="s">
        <v>2798</v>
      </c>
      <c r="V159" s="111" t="s">
        <v>2798</v>
      </c>
      <c r="W159" s="111" t="s">
        <v>2720</v>
      </c>
      <c r="X159" s="111" t="s">
        <v>2721</v>
      </c>
      <c r="Y159" s="111" t="s">
        <v>2722</v>
      </c>
      <c r="Z159" s="111" t="s">
        <v>2723</v>
      </c>
      <c r="AA159" s="111" t="s">
        <v>2724</v>
      </c>
      <c r="AB159" s="111" t="s">
        <v>2725</v>
      </c>
      <c r="AC159" s="111" t="s">
        <v>2726</v>
      </c>
      <c r="AD159" s="111" t="s">
        <v>2727</v>
      </c>
      <c r="AE159" s="111" t="s">
        <v>2728</v>
      </c>
      <c r="AF159" s="111" t="s">
        <v>2729</v>
      </c>
      <c r="AG159" s="111" t="s">
        <v>2730</v>
      </c>
      <c r="AH159" s="111" t="s">
        <v>2731</v>
      </c>
      <c r="AI159" s="111" t="s">
        <v>2732</v>
      </c>
      <c r="AJ159" s="111" t="s">
        <v>2798</v>
      </c>
      <c r="AK159" s="111" t="s">
        <v>2798</v>
      </c>
      <c r="AL159" s="111" t="s">
        <v>2798</v>
      </c>
      <c r="AM159" s="111" t="s">
        <v>2798</v>
      </c>
      <c r="AN159" s="111" t="s">
        <v>2798</v>
      </c>
      <c r="AO159" s="111" t="s">
        <v>2798</v>
      </c>
      <c r="AP159" s="111" t="s">
        <v>2798</v>
      </c>
      <c r="AQ159" s="111" t="s">
        <v>2798</v>
      </c>
      <c r="AR159" s="111" t="s">
        <v>2798</v>
      </c>
      <c r="AS159" s="111" t="s">
        <v>2798</v>
      </c>
      <c r="AT159" s="111" t="s">
        <v>2798</v>
      </c>
      <c r="AU159" s="111" t="s">
        <v>2798</v>
      </c>
      <c r="AV159" s="111" t="s">
        <v>2798</v>
      </c>
      <c r="AW159" s="111" t="s">
        <v>2798</v>
      </c>
      <c r="AX159" s="111" t="s">
        <v>2798</v>
      </c>
      <c r="AY159" s="111" t="s">
        <v>2798</v>
      </c>
      <c r="AZ159" s="111" t="s">
        <v>2798</v>
      </c>
      <c r="BA159" s="111" t="s">
        <v>2798</v>
      </c>
      <c r="BB159" s="111" t="s">
        <v>2798</v>
      </c>
      <c r="BC159" s="111" t="s">
        <v>2798</v>
      </c>
      <c r="BD159" s="111" t="s">
        <v>2798</v>
      </c>
      <c r="BE159" s="111" t="s">
        <v>2798</v>
      </c>
      <c r="BF159" s="111" t="s">
        <v>2798</v>
      </c>
      <c r="BG159" s="111" t="s">
        <v>2798</v>
      </c>
      <c r="BH159" s="111" t="s">
        <v>2798</v>
      </c>
      <c r="BI159" s="111" t="s">
        <v>2798</v>
      </c>
      <c r="BJ159" s="111" t="s">
        <v>2798</v>
      </c>
      <c r="BK159" s="111" t="s">
        <v>2798</v>
      </c>
      <c r="BL159" s="111" t="s">
        <v>2798</v>
      </c>
      <c r="BM159" s="111" t="s">
        <v>2798</v>
      </c>
      <c r="BN159" s="111" t="s">
        <v>2798</v>
      </c>
      <c r="BO159" s="111" t="s">
        <v>2798</v>
      </c>
      <c r="BP159" s="111" t="s">
        <v>2798</v>
      </c>
      <c r="BQ159" s="111" t="s">
        <v>2798</v>
      </c>
      <c r="BR159" s="111" t="s">
        <v>2798</v>
      </c>
      <c r="BS159" s="111" t="s">
        <v>2798</v>
      </c>
      <c r="BT159" s="111" t="s">
        <v>2798</v>
      </c>
      <c r="BU159" s="111" t="s">
        <v>2798</v>
      </c>
      <c r="BV159" s="111" t="s">
        <v>2798</v>
      </c>
      <c r="BW159" s="111" t="s">
        <v>2798</v>
      </c>
      <c r="BX159" s="111" t="s">
        <v>2798</v>
      </c>
      <c r="BY159" s="111" t="s">
        <v>2798</v>
      </c>
      <c r="BZ159" s="111" t="s">
        <v>2798</v>
      </c>
      <c r="CA159" s="111" t="s">
        <v>2798</v>
      </c>
      <c r="CB159" s="111" t="s">
        <v>2798</v>
      </c>
      <c r="CC159" s="111" t="s">
        <v>2798</v>
      </c>
      <c r="CD159" s="111" t="s">
        <v>2798</v>
      </c>
      <c r="CE159" s="111" t="s">
        <v>2798</v>
      </c>
      <c r="CF159" s="111" t="s">
        <v>2798</v>
      </c>
      <c r="CG159" s="111" t="s">
        <v>2798</v>
      </c>
      <c r="CH159" s="111" t="s">
        <v>2798</v>
      </c>
      <c r="CI159" s="111" t="s">
        <v>2798</v>
      </c>
      <c r="CJ159" s="111" t="s">
        <v>2798</v>
      </c>
      <c r="CK159" s="111" t="s">
        <v>2798</v>
      </c>
      <c r="CL159" s="111" t="s">
        <v>2798</v>
      </c>
      <c r="CM159" s="111" t="s">
        <v>2798</v>
      </c>
      <c r="CN159" s="111" t="s">
        <v>2798</v>
      </c>
      <c r="CO159" s="111" t="s">
        <v>2798</v>
      </c>
      <c r="CP159" s="111" t="s">
        <v>2798</v>
      </c>
      <c r="CQ159" s="111" t="s">
        <v>2798</v>
      </c>
    </row>
    <row r="160" spans="2:95" ht="14.25" customHeight="1">
      <c r="B160" s="106" t="s">
        <v>867</v>
      </c>
      <c r="C160" s="106" t="s">
        <v>2950</v>
      </c>
      <c r="D160" s="109">
        <v>14349.23</v>
      </c>
      <c r="E160" s="106" t="s">
        <v>2535</v>
      </c>
      <c r="F160" s="110">
        <v>37.959999999999127</v>
      </c>
      <c r="G160" s="106" t="s">
        <v>2795</v>
      </c>
      <c r="H160" s="102">
        <v>0</v>
      </c>
      <c r="I160" s="102">
        <v>0</v>
      </c>
      <c r="J160" s="111" t="s">
        <v>2798</v>
      </c>
      <c r="K160" s="111" t="s">
        <v>2798</v>
      </c>
      <c r="L160" s="111" t="s">
        <v>2798</v>
      </c>
      <c r="M160" s="111" t="s">
        <v>2798</v>
      </c>
      <c r="N160" s="111" t="s">
        <v>2798</v>
      </c>
      <c r="O160" s="111" t="s">
        <v>2798</v>
      </c>
      <c r="P160" s="111" t="s">
        <v>2798</v>
      </c>
      <c r="Q160" s="111" t="s">
        <v>2798</v>
      </c>
      <c r="R160" s="111" t="s">
        <v>2798</v>
      </c>
      <c r="S160" s="111" t="s">
        <v>2798</v>
      </c>
      <c r="T160" s="111" t="s">
        <v>2798</v>
      </c>
      <c r="U160" s="111" t="s">
        <v>2798</v>
      </c>
      <c r="V160" s="111" t="s">
        <v>2798</v>
      </c>
      <c r="W160" s="111" t="s">
        <v>2798</v>
      </c>
      <c r="X160" s="111" t="s">
        <v>2798</v>
      </c>
      <c r="Y160" s="111" t="s">
        <v>2798</v>
      </c>
      <c r="Z160" s="111" t="s">
        <v>2798</v>
      </c>
      <c r="AA160" s="111" t="s">
        <v>2798</v>
      </c>
      <c r="AB160" s="111" t="s">
        <v>2798</v>
      </c>
      <c r="AC160" s="111" t="s">
        <v>2798</v>
      </c>
      <c r="AD160" s="111" t="s">
        <v>2798</v>
      </c>
      <c r="AE160" s="111" t="s">
        <v>2798</v>
      </c>
      <c r="AF160" s="111" t="s">
        <v>2798</v>
      </c>
      <c r="AG160" s="111" t="s">
        <v>2798</v>
      </c>
      <c r="AH160" s="111" t="s">
        <v>2798</v>
      </c>
      <c r="AI160" s="111" t="s">
        <v>2798</v>
      </c>
      <c r="AJ160" s="111" t="s">
        <v>2733</v>
      </c>
      <c r="AK160" s="111" t="s">
        <v>2734</v>
      </c>
      <c r="AL160" s="111" t="s">
        <v>2735</v>
      </c>
      <c r="AM160" s="111" t="s">
        <v>2736</v>
      </c>
      <c r="AN160" s="111" t="s">
        <v>2737</v>
      </c>
      <c r="AO160" s="111" t="s">
        <v>2738</v>
      </c>
      <c r="AP160" s="111" t="s">
        <v>2739</v>
      </c>
      <c r="AQ160" s="111" t="s">
        <v>2798</v>
      </c>
      <c r="AR160" s="111" t="s">
        <v>2798</v>
      </c>
      <c r="AS160" s="111" t="s">
        <v>2798</v>
      </c>
      <c r="AT160" s="111" t="s">
        <v>2798</v>
      </c>
      <c r="AU160" s="111" t="s">
        <v>2798</v>
      </c>
      <c r="AV160" s="111" t="s">
        <v>2798</v>
      </c>
      <c r="AW160" s="111" t="s">
        <v>2798</v>
      </c>
      <c r="AX160" s="111" t="s">
        <v>2798</v>
      </c>
      <c r="AY160" s="111" t="s">
        <v>2798</v>
      </c>
      <c r="AZ160" s="111" t="s">
        <v>2798</v>
      </c>
      <c r="BA160" s="111" t="s">
        <v>2798</v>
      </c>
      <c r="BB160" s="111" t="s">
        <v>2798</v>
      </c>
      <c r="BC160" s="111" t="s">
        <v>2798</v>
      </c>
      <c r="BD160" s="111" t="s">
        <v>2798</v>
      </c>
      <c r="BE160" s="111" t="s">
        <v>2798</v>
      </c>
      <c r="BF160" s="111" t="s">
        <v>2798</v>
      </c>
      <c r="BG160" s="111" t="s">
        <v>2798</v>
      </c>
      <c r="BH160" s="111" t="s">
        <v>2798</v>
      </c>
      <c r="BI160" s="111" t="s">
        <v>2798</v>
      </c>
      <c r="BJ160" s="111" t="s">
        <v>2798</v>
      </c>
      <c r="BK160" s="111" t="s">
        <v>2760</v>
      </c>
      <c r="BL160" s="111" t="s">
        <v>2761</v>
      </c>
      <c r="BM160" s="111" t="s">
        <v>2762</v>
      </c>
      <c r="BN160" s="111" t="s">
        <v>2763</v>
      </c>
      <c r="BO160" s="111" t="s">
        <v>2764</v>
      </c>
      <c r="BP160" s="111" t="s">
        <v>2765</v>
      </c>
      <c r="BQ160" s="111" t="s">
        <v>2798</v>
      </c>
      <c r="BR160" s="111" t="s">
        <v>2798</v>
      </c>
      <c r="BS160" s="111" t="s">
        <v>2798</v>
      </c>
      <c r="BT160" s="111" t="s">
        <v>2798</v>
      </c>
      <c r="BU160" s="111" t="s">
        <v>2798</v>
      </c>
      <c r="BV160" s="111" t="s">
        <v>2798</v>
      </c>
      <c r="BW160" s="111" t="s">
        <v>2798</v>
      </c>
      <c r="BX160" s="111" t="s">
        <v>2798</v>
      </c>
      <c r="BY160" s="111" t="s">
        <v>2798</v>
      </c>
      <c r="BZ160" s="111" t="s">
        <v>2798</v>
      </c>
      <c r="CA160" s="111" t="s">
        <v>2798</v>
      </c>
      <c r="CB160" s="111" t="s">
        <v>2798</v>
      </c>
      <c r="CC160" s="111" t="s">
        <v>2798</v>
      </c>
      <c r="CD160" s="111" t="s">
        <v>2798</v>
      </c>
      <c r="CE160" s="111" t="s">
        <v>2798</v>
      </c>
      <c r="CF160" s="111" t="s">
        <v>2798</v>
      </c>
      <c r="CG160" s="111" t="s">
        <v>2798</v>
      </c>
      <c r="CH160" s="111" t="s">
        <v>2798</v>
      </c>
      <c r="CI160" s="111" t="s">
        <v>2798</v>
      </c>
      <c r="CJ160" s="111" t="s">
        <v>2798</v>
      </c>
      <c r="CK160" s="111" t="s">
        <v>2798</v>
      </c>
      <c r="CL160" s="111" t="s">
        <v>2798</v>
      </c>
      <c r="CM160" s="111" t="s">
        <v>2798</v>
      </c>
      <c r="CN160" s="111" t="s">
        <v>2798</v>
      </c>
      <c r="CO160" s="111" t="s">
        <v>2798</v>
      </c>
      <c r="CP160" s="111" t="s">
        <v>2798</v>
      </c>
      <c r="CQ160" s="111" t="s">
        <v>2798</v>
      </c>
    </row>
    <row r="161" spans="2:95" ht="14.25" customHeight="1">
      <c r="B161" s="106" t="s">
        <v>868</v>
      </c>
      <c r="C161" s="106" t="s">
        <v>2951</v>
      </c>
      <c r="D161" s="109">
        <v>14387.19</v>
      </c>
      <c r="E161" s="106" t="s">
        <v>2535</v>
      </c>
      <c r="F161" s="110">
        <v>37.960000000000946</v>
      </c>
      <c r="G161" s="106" t="s">
        <v>2795</v>
      </c>
      <c r="H161" s="102">
        <v>0</v>
      </c>
      <c r="I161" s="102">
        <v>0</v>
      </c>
      <c r="J161" s="111" t="s">
        <v>2798</v>
      </c>
      <c r="K161" s="111" t="s">
        <v>2798</v>
      </c>
      <c r="L161" s="111" t="s">
        <v>2798</v>
      </c>
      <c r="M161" s="111" t="s">
        <v>2798</v>
      </c>
      <c r="N161" s="111" t="s">
        <v>2798</v>
      </c>
      <c r="O161" s="111" t="s">
        <v>2798</v>
      </c>
      <c r="P161" s="111" t="s">
        <v>2798</v>
      </c>
      <c r="Q161" s="111" t="s">
        <v>2798</v>
      </c>
      <c r="R161" s="111" t="s">
        <v>2798</v>
      </c>
      <c r="S161" s="111" t="s">
        <v>2798</v>
      </c>
      <c r="T161" s="111" t="s">
        <v>2798</v>
      </c>
      <c r="U161" s="111" t="s">
        <v>2798</v>
      </c>
      <c r="V161" s="111" t="s">
        <v>2798</v>
      </c>
      <c r="W161" s="111" t="s">
        <v>2798</v>
      </c>
      <c r="X161" s="111" t="s">
        <v>2798</v>
      </c>
      <c r="Y161" s="111" t="s">
        <v>2798</v>
      </c>
      <c r="Z161" s="111" t="s">
        <v>2798</v>
      </c>
      <c r="AA161" s="111" t="s">
        <v>2798</v>
      </c>
      <c r="AB161" s="111" t="s">
        <v>2798</v>
      </c>
      <c r="AC161" s="111" t="s">
        <v>2798</v>
      </c>
      <c r="AD161" s="111" t="s">
        <v>2798</v>
      </c>
      <c r="AE161" s="111" t="s">
        <v>2798</v>
      </c>
      <c r="AF161" s="111" t="s">
        <v>2798</v>
      </c>
      <c r="AG161" s="111" t="s">
        <v>2798</v>
      </c>
      <c r="AH161" s="111" t="s">
        <v>2798</v>
      </c>
      <c r="AI161" s="111" t="s">
        <v>2798</v>
      </c>
      <c r="AJ161" s="111" t="s">
        <v>2798</v>
      </c>
      <c r="AK161" s="111" t="s">
        <v>2798</v>
      </c>
      <c r="AL161" s="111" t="s">
        <v>2798</v>
      </c>
      <c r="AM161" s="111" t="s">
        <v>2798</v>
      </c>
      <c r="AN161" s="111" t="s">
        <v>2798</v>
      </c>
      <c r="AO161" s="111" t="s">
        <v>2798</v>
      </c>
      <c r="AP161" s="111" t="s">
        <v>2798</v>
      </c>
      <c r="AQ161" s="111" t="s">
        <v>2798</v>
      </c>
      <c r="AR161" s="111" t="s">
        <v>2798</v>
      </c>
      <c r="AS161" s="111" t="s">
        <v>2798</v>
      </c>
      <c r="AT161" s="111" t="s">
        <v>2798</v>
      </c>
      <c r="AU161" s="111" t="s">
        <v>2798</v>
      </c>
      <c r="AV161" s="111" t="s">
        <v>2798</v>
      </c>
      <c r="AW161" s="111" t="s">
        <v>2798</v>
      </c>
      <c r="AX161" s="111" t="s">
        <v>2798</v>
      </c>
      <c r="AY161" s="111" t="s">
        <v>2798</v>
      </c>
      <c r="AZ161" s="111" t="s">
        <v>2798</v>
      </c>
      <c r="BA161" s="111" t="s">
        <v>2798</v>
      </c>
      <c r="BB161" s="111" t="s">
        <v>2798</v>
      </c>
      <c r="BC161" s="111" t="s">
        <v>2798</v>
      </c>
      <c r="BD161" s="111" t="s">
        <v>2798</v>
      </c>
      <c r="BE161" s="111" t="s">
        <v>2798</v>
      </c>
      <c r="BF161" s="111" t="s">
        <v>2798</v>
      </c>
      <c r="BG161" s="111" t="s">
        <v>2798</v>
      </c>
      <c r="BH161" s="111" t="s">
        <v>2798</v>
      </c>
      <c r="BI161" s="111" t="s">
        <v>2798</v>
      </c>
      <c r="BJ161" s="111" t="s">
        <v>2798</v>
      </c>
      <c r="BK161" s="111" t="s">
        <v>2798</v>
      </c>
      <c r="BL161" s="111" t="s">
        <v>2798</v>
      </c>
      <c r="BM161" s="111" t="s">
        <v>2798</v>
      </c>
      <c r="BN161" s="111" t="s">
        <v>2798</v>
      </c>
      <c r="BO161" s="111" t="s">
        <v>2798</v>
      </c>
      <c r="BP161" s="111" t="s">
        <v>2798</v>
      </c>
      <c r="BQ161" s="111" t="s">
        <v>2766</v>
      </c>
      <c r="BR161" s="111" t="s">
        <v>2767</v>
      </c>
      <c r="BS161" s="111" t="s">
        <v>2768</v>
      </c>
      <c r="BT161" s="111" t="s">
        <v>2769</v>
      </c>
      <c r="BU161" s="111" t="s">
        <v>2770</v>
      </c>
      <c r="BV161" s="111" t="s">
        <v>2771</v>
      </c>
      <c r="BW161" s="111" t="s">
        <v>2772</v>
      </c>
      <c r="BX161" s="111" t="s">
        <v>2773</v>
      </c>
      <c r="BY161" s="111" t="s">
        <v>2774</v>
      </c>
      <c r="BZ161" s="111" t="s">
        <v>2775</v>
      </c>
      <c r="CA161" s="111" t="s">
        <v>2776</v>
      </c>
      <c r="CB161" s="111" t="s">
        <v>2777</v>
      </c>
      <c r="CC161" s="111" t="s">
        <v>2778</v>
      </c>
      <c r="CD161" s="111" t="s">
        <v>2798</v>
      </c>
      <c r="CE161" s="111" t="s">
        <v>2798</v>
      </c>
      <c r="CF161" s="111" t="s">
        <v>2798</v>
      </c>
      <c r="CG161" s="111" t="s">
        <v>2798</v>
      </c>
      <c r="CH161" s="111" t="s">
        <v>2798</v>
      </c>
      <c r="CI161" s="111" t="s">
        <v>2798</v>
      </c>
      <c r="CJ161" s="111" t="s">
        <v>2798</v>
      </c>
      <c r="CK161" s="111" t="s">
        <v>2798</v>
      </c>
      <c r="CL161" s="111" t="s">
        <v>2798</v>
      </c>
      <c r="CM161" s="111" t="s">
        <v>2798</v>
      </c>
      <c r="CN161" s="111" t="s">
        <v>2798</v>
      </c>
      <c r="CO161" s="111" t="s">
        <v>2798</v>
      </c>
      <c r="CP161" s="111" t="s">
        <v>2798</v>
      </c>
      <c r="CQ161" s="111" t="s">
        <v>2798</v>
      </c>
    </row>
    <row r="162" spans="2:95" ht="14.25" customHeight="1">
      <c r="B162" s="106" t="s">
        <v>869</v>
      </c>
      <c r="C162" s="106" t="s">
        <v>2952</v>
      </c>
      <c r="D162" s="109">
        <v>14425.15</v>
      </c>
      <c r="E162" s="106" t="s">
        <v>2535</v>
      </c>
      <c r="F162" s="110">
        <v>37.959999999999127</v>
      </c>
      <c r="G162" s="106" t="s">
        <v>2793</v>
      </c>
      <c r="H162" s="102">
        <v>0</v>
      </c>
      <c r="I162" s="102">
        <v>0</v>
      </c>
      <c r="J162" s="111" t="s">
        <v>2798</v>
      </c>
      <c r="K162" s="111" t="s">
        <v>2798</v>
      </c>
      <c r="L162" s="111" t="s">
        <v>2798</v>
      </c>
      <c r="M162" s="111" t="s">
        <v>2798</v>
      </c>
      <c r="N162" s="111" t="s">
        <v>2798</v>
      </c>
      <c r="O162" s="111" t="s">
        <v>2798</v>
      </c>
      <c r="P162" s="111" t="s">
        <v>2798</v>
      </c>
      <c r="Q162" s="111" t="s">
        <v>2798</v>
      </c>
      <c r="R162" s="111" t="s">
        <v>2798</v>
      </c>
      <c r="S162" s="111" t="s">
        <v>2798</v>
      </c>
      <c r="T162" s="111" t="s">
        <v>2798</v>
      </c>
      <c r="U162" s="111" t="s">
        <v>2798</v>
      </c>
      <c r="V162" s="111" t="s">
        <v>2798</v>
      </c>
      <c r="W162" s="111" t="s">
        <v>2798</v>
      </c>
      <c r="X162" s="111" t="s">
        <v>2798</v>
      </c>
      <c r="Y162" s="111" t="s">
        <v>2798</v>
      </c>
      <c r="Z162" s="111" t="s">
        <v>2798</v>
      </c>
      <c r="AA162" s="111" t="s">
        <v>2798</v>
      </c>
      <c r="AB162" s="111" t="s">
        <v>2798</v>
      </c>
      <c r="AC162" s="111" t="s">
        <v>2798</v>
      </c>
      <c r="AD162" s="111" t="s">
        <v>2798</v>
      </c>
      <c r="AE162" s="111" t="s">
        <v>2798</v>
      </c>
      <c r="AF162" s="111" t="s">
        <v>2798</v>
      </c>
      <c r="AG162" s="111" t="s">
        <v>2798</v>
      </c>
      <c r="AH162" s="111" t="s">
        <v>2798</v>
      </c>
      <c r="AI162" s="111" t="s">
        <v>2798</v>
      </c>
      <c r="AJ162" s="111" t="s">
        <v>2798</v>
      </c>
      <c r="AK162" s="111" t="s">
        <v>2798</v>
      </c>
      <c r="AL162" s="111" t="s">
        <v>2798</v>
      </c>
      <c r="AM162" s="111" t="s">
        <v>2798</v>
      </c>
      <c r="AN162" s="111" t="s">
        <v>2798</v>
      </c>
      <c r="AO162" s="111" t="s">
        <v>2798</v>
      </c>
      <c r="AP162" s="111" t="s">
        <v>2798</v>
      </c>
      <c r="AQ162" s="111" t="s">
        <v>2798</v>
      </c>
      <c r="AR162" s="111" t="s">
        <v>2798</v>
      </c>
      <c r="AS162" s="111" t="s">
        <v>2798</v>
      </c>
      <c r="AT162" s="111" t="s">
        <v>2798</v>
      </c>
      <c r="AU162" s="111" t="s">
        <v>2798</v>
      </c>
      <c r="AV162" s="111" t="s">
        <v>2798</v>
      </c>
      <c r="AW162" s="111" t="s">
        <v>2798</v>
      </c>
      <c r="AX162" s="111" t="s">
        <v>2798</v>
      </c>
      <c r="AY162" s="111" t="s">
        <v>2798</v>
      </c>
      <c r="AZ162" s="111" t="s">
        <v>2798</v>
      </c>
      <c r="BA162" s="111" t="s">
        <v>2798</v>
      </c>
      <c r="BB162" s="111" t="s">
        <v>2798</v>
      </c>
      <c r="BC162" s="111" t="s">
        <v>2798</v>
      </c>
      <c r="BD162" s="111" t="s">
        <v>2798</v>
      </c>
      <c r="BE162" s="111" t="s">
        <v>2798</v>
      </c>
      <c r="BF162" s="111" t="s">
        <v>2798</v>
      </c>
      <c r="BG162" s="111" t="s">
        <v>2798</v>
      </c>
      <c r="BH162" s="111" t="s">
        <v>2798</v>
      </c>
      <c r="BI162" s="111" t="s">
        <v>2798</v>
      </c>
      <c r="BJ162" s="111" t="s">
        <v>2798</v>
      </c>
      <c r="BK162" s="111" t="s">
        <v>2798</v>
      </c>
      <c r="BL162" s="111" t="s">
        <v>2798</v>
      </c>
      <c r="BM162" s="111" t="s">
        <v>2798</v>
      </c>
      <c r="BN162" s="111" t="s">
        <v>2798</v>
      </c>
      <c r="BO162" s="111" t="s">
        <v>2798</v>
      </c>
      <c r="BP162" s="111" t="s">
        <v>2798</v>
      </c>
      <c r="BQ162" s="111" t="s">
        <v>2798</v>
      </c>
      <c r="BR162" s="111" t="s">
        <v>2798</v>
      </c>
      <c r="BS162" s="111" t="s">
        <v>2798</v>
      </c>
      <c r="BT162" s="111" t="s">
        <v>2798</v>
      </c>
      <c r="BU162" s="111" t="s">
        <v>2798</v>
      </c>
      <c r="BV162" s="111" t="s">
        <v>2798</v>
      </c>
      <c r="BW162" s="111" t="s">
        <v>2798</v>
      </c>
      <c r="BX162" s="111" t="s">
        <v>2798</v>
      </c>
      <c r="BY162" s="111" t="s">
        <v>2798</v>
      </c>
      <c r="BZ162" s="111" t="s">
        <v>2798</v>
      </c>
      <c r="CA162" s="111" t="s">
        <v>2798</v>
      </c>
      <c r="CB162" s="111" t="s">
        <v>2798</v>
      </c>
      <c r="CC162" s="111" t="s">
        <v>2798</v>
      </c>
      <c r="CD162" s="111" t="s">
        <v>2779</v>
      </c>
      <c r="CE162" s="111" t="s">
        <v>2780</v>
      </c>
      <c r="CF162" s="111" t="s">
        <v>2781</v>
      </c>
      <c r="CG162" s="111" t="s">
        <v>2782</v>
      </c>
      <c r="CH162" s="111" t="s">
        <v>2783</v>
      </c>
      <c r="CI162" s="111" t="s">
        <v>2798</v>
      </c>
      <c r="CJ162" s="111" t="s">
        <v>2785</v>
      </c>
      <c r="CK162" s="111" t="s">
        <v>2786</v>
      </c>
      <c r="CL162" s="111" t="s">
        <v>2787</v>
      </c>
      <c r="CM162" s="111" t="s">
        <v>2788</v>
      </c>
      <c r="CN162" s="111" t="s">
        <v>2789</v>
      </c>
      <c r="CO162" s="111" t="s">
        <v>2790</v>
      </c>
      <c r="CP162" s="111" t="s">
        <v>2791</v>
      </c>
      <c r="CQ162" s="111" t="s">
        <v>2792</v>
      </c>
    </row>
    <row r="163" spans="2:95" ht="14.25" customHeight="1">
      <c r="B163" s="106" t="s">
        <v>870</v>
      </c>
      <c r="C163" s="106" t="s">
        <v>2953</v>
      </c>
      <c r="D163" s="109">
        <v>14475.15</v>
      </c>
      <c r="E163" s="106" t="s">
        <v>2572</v>
      </c>
      <c r="F163" s="110">
        <v>50</v>
      </c>
      <c r="G163" s="106" t="s">
        <v>2795</v>
      </c>
      <c r="H163" s="102">
        <v>0</v>
      </c>
      <c r="I163" s="102">
        <v>0</v>
      </c>
      <c r="J163" s="111" t="s">
        <v>87</v>
      </c>
      <c r="K163" s="111" t="s">
        <v>2708</v>
      </c>
      <c r="L163" s="111" t="s">
        <v>2709</v>
      </c>
      <c r="M163" s="111" t="s">
        <v>2710</v>
      </c>
      <c r="N163" s="111" t="s">
        <v>2711</v>
      </c>
      <c r="O163" s="111" t="s">
        <v>2712</v>
      </c>
      <c r="P163" s="111" t="s">
        <v>2713</v>
      </c>
      <c r="Q163" s="111" t="s">
        <v>2714</v>
      </c>
      <c r="R163" s="111" t="s">
        <v>2715</v>
      </c>
      <c r="S163" s="111" t="s">
        <v>2716</v>
      </c>
      <c r="T163" s="111" t="s">
        <v>2717</v>
      </c>
      <c r="U163" s="111" t="s">
        <v>2718</v>
      </c>
      <c r="V163" s="111" t="s">
        <v>2719</v>
      </c>
      <c r="W163" s="111" t="s">
        <v>2720</v>
      </c>
      <c r="X163" s="111" t="s">
        <v>2721</v>
      </c>
      <c r="Y163" s="111" t="s">
        <v>2722</v>
      </c>
      <c r="Z163" s="111" t="s">
        <v>2723</v>
      </c>
      <c r="AA163" s="111" t="s">
        <v>2798</v>
      </c>
      <c r="AB163" s="111" t="s">
        <v>2798</v>
      </c>
      <c r="AC163" s="111" t="s">
        <v>2798</v>
      </c>
      <c r="AD163" s="111" t="s">
        <v>2798</v>
      </c>
      <c r="AE163" s="111" t="s">
        <v>2798</v>
      </c>
      <c r="AF163" s="111" t="s">
        <v>2798</v>
      </c>
      <c r="AG163" s="111" t="s">
        <v>2798</v>
      </c>
      <c r="AH163" s="111" t="s">
        <v>2798</v>
      </c>
      <c r="AI163" s="111" t="s">
        <v>2798</v>
      </c>
      <c r="AJ163" s="111" t="s">
        <v>2798</v>
      </c>
      <c r="AK163" s="111" t="s">
        <v>2798</v>
      </c>
      <c r="AL163" s="111" t="s">
        <v>2798</v>
      </c>
      <c r="AM163" s="111" t="s">
        <v>2798</v>
      </c>
      <c r="AN163" s="111" t="s">
        <v>2798</v>
      </c>
      <c r="AO163" s="111" t="s">
        <v>2798</v>
      </c>
      <c r="AP163" s="111" t="s">
        <v>2798</v>
      </c>
      <c r="AQ163" s="111" t="s">
        <v>2798</v>
      </c>
      <c r="AR163" s="111" t="s">
        <v>2798</v>
      </c>
      <c r="AS163" s="111" t="s">
        <v>2798</v>
      </c>
      <c r="AT163" s="111" t="s">
        <v>2798</v>
      </c>
      <c r="AU163" s="111" t="s">
        <v>2798</v>
      </c>
      <c r="AV163" s="111" t="s">
        <v>2798</v>
      </c>
      <c r="AW163" s="111" t="s">
        <v>2798</v>
      </c>
      <c r="AX163" s="111" t="s">
        <v>2798</v>
      </c>
      <c r="AY163" s="111" t="s">
        <v>2798</v>
      </c>
      <c r="AZ163" s="111" t="s">
        <v>2798</v>
      </c>
      <c r="BA163" s="111" t="s">
        <v>2798</v>
      </c>
      <c r="BB163" s="111" t="s">
        <v>2798</v>
      </c>
      <c r="BC163" s="111" t="s">
        <v>2798</v>
      </c>
      <c r="BD163" s="111" t="s">
        <v>2798</v>
      </c>
      <c r="BE163" s="111" t="s">
        <v>2798</v>
      </c>
      <c r="BF163" s="111" t="s">
        <v>2798</v>
      </c>
      <c r="BG163" s="111" t="s">
        <v>2798</v>
      </c>
      <c r="BH163" s="111" t="s">
        <v>2798</v>
      </c>
      <c r="BI163" s="111" t="s">
        <v>2798</v>
      </c>
      <c r="BJ163" s="111" t="s">
        <v>2798</v>
      </c>
      <c r="BK163" s="111" t="s">
        <v>2798</v>
      </c>
      <c r="BL163" s="111" t="s">
        <v>2798</v>
      </c>
      <c r="BM163" s="111" t="s">
        <v>2798</v>
      </c>
      <c r="BN163" s="111" t="s">
        <v>2798</v>
      </c>
      <c r="BO163" s="111" t="s">
        <v>2798</v>
      </c>
      <c r="BP163" s="111" t="s">
        <v>2798</v>
      </c>
      <c r="BQ163" s="111" t="s">
        <v>2798</v>
      </c>
      <c r="BR163" s="111" t="s">
        <v>2798</v>
      </c>
      <c r="BS163" s="111" t="s">
        <v>2798</v>
      </c>
      <c r="BT163" s="111" t="s">
        <v>2798</v>
      </c>
      <c r="BU163" s="111" t="s">
        <v>2798</v>
      </c>
      <c r="BV163" s="111" t="s">
        <v>2798</v>
      </c>
      <c r="BW163" s="111" t="s">
        <v>2798</v>
      </c>
      <c r="BX163" s="111" t="s">
        <v>2798</v>
      </c>
      <c r="BY163" s="111" t="s">
        <v>2798</v>
      </c>
      <c r="BZ163" s="111" t="s">
        <v>2798</v>
      </c>
      <c r="CA163" s="111" t="s">
        <v>2798</v>
      </c>
      <c r="CB163" s="111" t="s">
        <v>2798</v>
      </c>
      <c r="CC163" s="111" t="s">
        <v>2798</v>
      </c>
      <c r="CD163" s="111" t="s">
        <v>2798</v>
      </c>
      <c r="CE163" s="111" t="s">
        <v>2798</v>
      </c>
      <c r="CF163" s="111" t="s">
        <v>2798</v>
      </c>
      <c r="CG163" s="111" t="s">
        <v>2798</v>
      </c>
      <c r="CH163" s="111" t="s">
        <v>2798</v>
      </c>
      <c r="CI163" s="111" t="s">
        <v>2798</v>
      </c>
      <c r="CJ163" s="111" t="s">
        <v>2798</v>
      </c>
      <c r="CK163" s="111" t="s">
        <v>2798</v>
      </c>
      <c r="CL163" s="111" t="s">
        <v>2798</v>
      </c>
      <c r="CM163" s="111" t="s">
        <v>2798</v>
      </c>
      <c r="CN163" s="111" t="s">
        <v>2798</v>
      </c>
      <c r="CO163" s="111" t="s">
        <v>2798</v>
      </c>
      <c r="CP163" s="111" t="s">
        <v>2798</v>
      </c>
      <c r="CQ163" s="111" t="s">
        <v>2798</v>
      </c>
    </row>
    <row r="164" spans="2:95" ht="14.25" customHeight="1">
      <c r="B164" s="106" t="s">
        <v>871</v>
      </c>
      <c r="C164" s="106" t="s">
        <v>2954</v>
      </c>
      <c r="D164" s="109">
        <v>14525.15</v>
      </c>
      <c r="E164" s="106" t="s">
        <v>2572</v>
      </c>
      <c r="F164" s="110">
        <v>50</v>
      </c>
      <c r="G164" s="106" t="s">
        <v>2795</v>
      </c>
      <c r="H164" s="102">
        <v>0</v>
      </c>
      <c r="I164" s="102">
        <v>0</v>
      </c>
      <c r="J164" s="111" t="s">
        <v>2798</v>
      </c>
      <c r="K164" s="111" t="s">
        <v>2798</v>
      </c>
      <c r="L164" s="111" t="s">
        <v>2798</v>
      </c>
      <c r="M164" s="111" t="s">
        <v>2798</v>
      </c>
      <c r="N164" s="111" t="s">
        <v>2798</v>
      </c>
      <c r="O164" s="111" t="s">
        <v>2798</v>
      </c>
      <c r="P164" s="111" t="s">
        <v>2798</v>
      </c>
      <c r="Q164" s="111" t="s">
        <v>2798</v>
      </c>
      <c r="R164" s="111" t="s">
        <v>2798</v>
      </c>
      <c r="S164" s="111" t="s">
        <v>2798</v>
      </c>
      <c r="T164" s="111" t="s">
        <v>2798</v>
      </c>
      <c r="U164" s="111" t="s">
        <v>2798</v>
      </c>
      <c r="V164" s="111" t="s">
        <v>2798</v>
      </c>
      <c r="W164" s="111" t="s">
        <v>2798</v>
      </c>
      <c r="X164" s="111" t="s">
        <v>2798</v>
      </c>
      <c r="Y164" s="111" t="s">
        <v>2798</v>
      </c>
      <c r="Z164" s="111" t="s">
        <v>2798</v>
      </c>
      <c r="AA164" s="111" t="s">
        <v>2724</v>
      </c>
      <c r="AB164" s="111" t="s">
        <v>2725</v>
      </c>
      <c r="AC164" s="111" t="s">
        <v>2726</v>
      </c>
      <c r="AD164" s="111" t="s">
        <v>2727</v>
      </c>
      <c r="AE164" s="111" t="s">
        <v>2728</v>
      </c>
      <c r="AF164" s="111" t="s">
        <v>2729</v>
      </c>
      <c r="AG164" s="111" t="s">
        <v>2730</v>
      </c>
      <c r="AH164" s="111" t="s">
        <v>2731</v>
      </c>
      <c r="AI164" s="111" t="s">
        <v>2732</v>
      </c>
      <c r="AJ164" s="111" t="s">
        <v>2798</v>
      </c>
      <c r="AK164" s="111" t="s">
        <v>2798</v>
      </c>
      <c r="AL164" s="111" t="s">
        <v>2798</v>
      </c>
      <c r="AM164" s="111" t="s">
        <v>2798</v>
      </c>
      <c r="AN164" s="111" t="s">
        <v>2798</v>
      </c>
      <c r="AO164" s="111" t="s">
        <v>2798</v>
      </c>
      <c r="AP164" s="111" t="s">
        <v>2798</v>
      </c>
      <c r="AQ164" s="111" t="s">
        <v>2798</v>
      </c>
      <c r="AR164" s="111" t="s">
        <v>2798</v>
      </c>
      <c r="AS164" s="111" t="s">
        <v>2798</v>
      </c>
      <c r="AT164" s="111" t="s">
        <v>2798</v>
      </c>
      <c r="AU164" s="111" t="s">
        <v>2798</v>
      </c>
      <c r="AV164" s="111" t="s">
        <v>2798</v>
      </c>
      <c r="AW164" s="111" t="s">
        <v>2798</v>
      </c>
      <c r="AX164" s="111" t="s">
        <v>2798</v>
      </c>
      <c r="AY164" s="111" t="s">
        <v>2798</v>
      </c>
      <c r="AZ164" s="111" t="s">
        <v>2798</v>
      </c>
      <c r="BA164" s="111" t="s">
        <v>2798</v>
      </c>
      <c r="BB164" s="111" t="s">
        <v>2798</v>
      </c>
      <c r="BC164" s="111" t="s">
        <v>2798</v>
      </c>
      <c r="BD164" s="111" t="s">
        <v>2798</v>
      </c>
      <c r="BE164" s="111" t="s">
        <v>2798</v>
      </c>
      <c r="BF164" s="111" t="s">
        <v>2798</v>
      </c>
      <c r="BG164" s="111" t="s">
        <v>2798</v>
      </c>
      <c r="BH164" s="111" t="s">
        <v>2798</v>
      </c>
      <c r="BI164" s="111" t="s">
        <v>2798</v>
      </c>
      <c r="BJ164" s="111" t="s">
        <v>2798</v>
      </c>
      <c r="BK164" s="111" t="s">
        <v>2798</v>
      </c>
      <c r="BL164" s="111" t="s">
        <v>2798</v>
      </c>
      <c r="BM164" s="111" t="s">
        <v>2798</v>
      </c>
      <c r="BN164" s="111" t="s">
        <v>2798</v>
      </c>
      <c r="BO164" s="111" t="s">
        <v>2798</v>
      </c>
      <c r="BP164" s="111" t="s">
        <v>2798</v>
      </c>
      <c r="BQ164" s="111" t="s">
        <v>2798</v>
      </c>
      <c r="BR164" s="111" t="s">
        <v>2767</v>
      </c>
      <c r="BS164" s="111" t="s">
        <v>2768</v>
      </c>
      <c r="BT164" s="111" t="s">
        <v>2769</v>
      </c>
      <c r="BU164" s="111" t="s">
        <v>2770</v>
      </c>
      <c r="BV164" s="111" t="s">
        <v>2771</v>
      </c>
      <c r="BW164" s="111" t="s">
        <v>2772</v>
      </c>
      <c r="BX164" s="111" t="s">
        <v>2773</v>
      </c>
      <c r="BY164" s="111" t="s">
        <v>2774</v>
      </c>
      <c r="BZ164" s="111" t="s">
        <v>2798</v>
      </c>
      <c r="CA164" s="111" t="s">
        <v>2798</v>
      </c>
      <c r="CB164" s="111" t="s">
        <v>2798</v>
      </c>
      <c r="CC164" s="111" t="s">
        <v>2798</v>
      </c>
      <c r="CD164" s="111" t="s">
        <v>2798</v>
      </c>
      <c r="CE164" s="111" t="s">
        <v>2798</v>
      </c>
      <c r="CF164" s="111" t="s">
        <v>2798</v>
      </c>
      <c r="CG164" s="111" t="s">
        <v>2798</v>
      </c>
      <c r="CH164" s="111" t="s">
        <v>2798</v>
      </c>
      <c r="CI164" s="111" t="s">
        <v>2798</v>
      </c>
      <c r="CJ164" s="111" t="s">
        <v>2798</v>
      </c>
      <c r="CK164" s="111" t="s">
        <v>2798</v>
      </c>
      <c r="CL164" s="111" t="s">
        <v>2798</v>
      </c>
      <c r="CM164" s="111" t="s">
        <v>2798</v>
      </c>
      <c r="CN164" s="111" t="s">
        <v>2798</v>
      </c>
      <c r="CO164" s="111" t="s">
        <v>2798</v>
      </c>
      <c r="CP164" s="111" t="s">
        <v>2798</v>
      </c>
      <c r="CQ164" s="111" t="s">
        <v>2798</v>
      </c>
    </row>
    <row r="165" spans="2:95" ht="14.25" customHeight="1">
      <c r="B165" s="106" t="s">
        <v>872</v>
      </c>
      <c r="C165" s="106" t="s">
        <v>2955</v>
      </c>
      <c r="D165" s="109">
        <v>14575.15</v>
      </c>
      <c r="E165" s="106" t="s">
        <v>2572</v>
      </c>
      <c r="F165" s="110">
        <v>50</v>
      </c>
      <c r="G165" s="106" t="s">
        <v>2793</v>
      </c>
      <c r="H165" s="102">
        <v>0</v>
      </c>
      <c r="I165" s="102">
        <v>0</v>
      </c>
      <c r="J165" s="111" t="s">
        <v>2798</v>
      </c>
      <c r="K165" s="111" t="s">
        <v>2798</v>
      </c>
      <c r="L165" s="111" t="s">
        <v>2798</v>
      </c>
      <c r="M165" s="111" t="s">
        <v>2798</v>
      </c>
      <c r="N165" s="111" t="s">
        <v>2798</v>
      </c>
      <c r="O165" s="111" t="s">
        <v>2798</v>
      </c>
      <c r="P165" s="111" t="s">
        <v>2798</v>
      </c>
      <c r="Q165" s="111" t="s">
        <v>2798</v>
      </c>
      <c r="R165" s="111" t="s">
        <v>2798</v>
      </c>
      <c r="S165" s="111" t="s">
        <v>2798</v>
      </c>
      <c r="T165" s="111" t="s">
        <v>2798</v>
      </c>
      <c r="U165" s="111" t="s">
        <v>2798</v>
      </c>
      <c r="V165" s="111" t="s">
        <v>2798</v>
      </c>
      <c r="W165" s="111" t="s">
        <v>2798</v>
      </c>
      <c r="X165" s="111" t="s">
        <v>2798</v>
      </c>
      <c r="Y165" s="111" t="s">
        <v>2798</v>
      </c>
      <c r="Z165" s="111" t="s">
        <v>2798</v>
      </c>
      <c r="AA165" s="111" t="s">
        <v>2798</v>
      </c>
      <c r="AB165" s="111" t="s">
        <v>2798</v>
      </c>
      <c r="AC165" s="111" t="s">
        <v>2798</v>
      </c>
      <c r="AD165" s="111" t="s">
        <v>2798</v>
      </c>
      <c r="AE165" s="111" t="s">
        <v>2798</v>
      </c>
      <c r="AF165" s="111" t="s">
        <v>2798</v>
      </c>
      <c r="AG165" s="111" t="s">
        <v>2798</v>
      </c>
      <c r="AH165" s="111" t="s">
        <v>2798</v>
      </c>
      <c r="AI165" s="111" t="s">
        <v>2798</v>
      </c>
      <c r="AJ165" s="111" t="s">
        <v>2798</v>
      </c>
      <c r="AK165" s="111" t="s">
        <v>2798</v>
      </c>
      <c r="AL165" s="111" t="s">
        <v>2798</v>
      </c>
      <c r="AM165" s="111" t="s">
        <v>2798</v>
      </c>
      <c r="AN165" s="111" t="s">
        <v>2798</v>
      </c>
      <c r="AO165" s="111" t="s">
        <v>2798</v>
      </c>
      <c r="AP165" s="111" t="s">
        <v>2798</v>
      </c>
      <c r="AQ165" s="111" t="s">
        <v>2798</v>
      </c>
      <c r="AR165" s="111" t="s">
        <v>2798</v>
      </c>
      <c r="AS165" s="111" t="s">
        <v>2798</v>
      </c>
      <c r="AT165" s="111" t="s">
        <v>2798</v>
      </c>
      <c r="AU165" s="111" t="s">
        <v>2798</v>
      </c>
      <c r="AV165" s="111" t="s">
        <v>2798</v>
      </c>
      <c r="AW165" s="111" t="s">
        <v>2798</v>
      </c>
      <c r="AX165" s="111" t="s">
        <v>2798</v>
      </c>
      <c r="AY165" s="111" t="s">
        <v>2798</v>
      </c>
      <c r="AZ165" s="111" t="s">
        <v>2798</v>
      </c>
      <c r="BA165" s="111" t="s">
        <v>2798</v>
      </c>
      <c r="BB165" s="111" t="s">
        <v>2798</v>
      </c>
      <c r="BC165" s="111" t="s">
        <v>2798</v>
      </c>
      <c r="BD165" s="111" t="s">
        <v>2798</v>
      </c>
      <c r="BE165" s="111" t="s">
        <v>2798</v>
      </c>
      <c r="BF165" s="111" t="s">
        <v>2798</v>
      </c>
      <c r="BG165" s="111" t="s">
        <v>2798</v>
      </c>
      <c r="BH165" s="111" t="s">
        <v>2798</v>
      </c>
      <c r="BI165" s="111" t="s">
        <v>2798</v>
      </c>
      <c r="BJ165" s="111" t="s">
        <v>2798</v>
      </c>
      <c r="BK165" s="111" t="s">
        <v>2798</v>
      </c>
      <c r="BL165" s="111" t="s">
        <v>2798</v>
      </c>
      <c r="BM165" s="111" t="s">
        <v>2798</v>
      </c>
      <c r="BN165" s="111" t="s">
        <v>2798</v>
      </c>
      <c r="BO165" s="111" t="s">
        <v>2798</v>
      </c>
      <c r="BP165" s="111" t="s">
        <v>2798</v>
      </c>
      <c r="BQ165" s="111" t="s">
        <v>2798</v>
      </c>
      <c r="BR165" s="111" t="s">
        <v>2798</v>
      </c>
      <c r="BS165" s="111" t="s">
        <v>2798</v>
      </c>
      <c r="BT165" s="111" t="s">
        <v>2798</v>
      </c>
      <c r="BU165" s="111" t="s">
        <v>2798</v>
      </c>
      <c r="BV165" s="111" t="s">
        <v>2798</v>
      </c>
      <c r="BW165" s="111" t="s">
        <v>2798</v>
      </c>
      <c r="BX165" s="111" t="s">
        <v>2798</v>
      </c>
      <c r="BY165" s="111" t="s">
        <v>2798</v>
      </c>
      <c r="BZ165" s="111" t="s">
        <v>2775</v>
      </c>
      <c r="CA165" s="111" t="s">
        <v>2776</v>
      </c>
      <c r="CB165" s="111" t="s">
        <v>2777</v>
      </c>
      <c r="CC165" s="111" t="s">
        <v>2778</v>
      </c>
      <c r="CD165" s="111" t="s">
        <v>2779</v>
      </c>
      <c r="CE165" s="111" t="s">
        <v>2780</v>
      </c>
      <c r="CF165" s="111" t="s">
        <v>2781</v>
      </c>
      <c r="CG165" s="111" t="s">
        <v>2782</v>
      </c>
      <c r="CH165" s="111" t="s">
        <v>2783</v>
      </c>
      <c r="CI165" s="111" t="s">
        <v>2798</v>
      </c>
      <c r="CJ165" s="111" t="s">
        <v>2785</v>
      </c>
      <c r="CK165" s="111" t="s">
        <v>2786</v>
      </c>
      <c r="CL165" s="111" t="s">
        <v>2787</v>
      </c>
      <c r="CM165" s="111" t="s">
        <v>2788</v>
      </c>
      <c r="CN165" s="111" t="s">
        <v>2789</v>
      </c>
      <c r="CO165" s="111" t="s">
        <v>2790</v>
      </c>
      <c r="CP165" s="111" t="s">
        <v>2791</v>
      </c>
      <c r="CQ165" s="111" t="s">
        <v>2792</v>
      </c>
    </row>
    <row r="166" spans="2:95" ht="14.25" customHeight="1">
      <c r="B166" s="106" t="s">
        <v>873</v>
      </c>
      <c r="C166" s="106" t="s">
        <v>2956</v>
      </c>
      <c r="D166" s="109">
        <v>14616.12</v>
      </c>
      <c r="E166" s="106" t="s">
        <v>2585</v>
      </c>
      <c r="F166" s="110">
        <v>40.970000000001164</v>
      </c>
      <c r="G166" s="106" t="s">
        <v>2795</v>
      </c>
      <c r="H166" s="102">
        <v>0</v>
      </c>
      <c r="I166" s="102">
        <v>0</v>
      </c>
      <c r="J166" s="111" t="s">
        <v>87</v>
      </c>
      <c r="K166" s="111" t="s">
        <v>2708</v>
      </c>
      <c r="L166" s="111" t="s">
        <v>2709</v>
      </c>
      <c r="M166" s="111" t="s">
        <v>2710</v>
      </c>
      <c r="N166" s="111" t="s">
        <v>2711</v>
      </c>
      <c r="O166" s="111" t="s">
        <v>2712</v>
      </c>
      <c r="P166" s="111" t="s">
        <v>2713</v>
      </c>
      <c r="Q166" s="111" t="s">
        <v>2714</v>
      </c>
      <c r="R166" s="111" t="s">
        <v>2715</v>
      </c>
      <c r="S166" s="111" t="s">
        <v>2716</v>
      </c>
      <c r="T166" s="111" t="s">
        <v>2717</v>
      </c>
      <c r="U166" s="111" t="s">
        <v>2718</v>
      </c>
      <c r="V166" s="111" t="s">
        <v>2719</v>
      </c>
      <c r="W166" s="111" t="s">
        <v>2720</v>
      </c>
      <c r="X166" s="111" t="s">
        <v>2798</v>
      </c>
      <c r="Y166" s="111" t="s">
        <v>2798</v>
      </c>
      <c r="Z166" s="111" t="s">
        <v>2798</v>
      </c>
      <c r="AA166" s="111" t="s">
        <v>2798</v>
      </c>
      <c r="AB166" s="111" t="s">
        <v>2798</v>
      </c>
      <c r="AC166" s="111" t="s">
        <v>2798</v>
      </c>
      <c r="AD166" s="111" t="s">
        <v>2798</v>
      </c>
      <c r="AE166" s="111" t="s">
        <v>2798</v>
      </c>
      <c r="AF166" s="111" t="s">
        <v>2798</v>
      </c>
      <c r="AG166" s="111" t="s">
        <v>2798</v>
      </c>
      <c r="AH166" s="111" t="s">
        <v>2798</v>
      </c>
      <c r="AI166" s="111" t="s">
        <v>2798</v>
      </c>
      <c r="AJ166" s="111" t="s">
        <v>2798</v>
      </c>
      <c r="AK166" s="111" t="s">
        <v>2798</v>
      </c>
      <c r="AL166" s="111" t="s">
        <v>2798</v>
      </c>
      <c r="AM166" s="111" t="s">
        <v>2798</v>
      </c>
      <c r="AN166" s="111" t="s">
        <v>2798</v>
      </c>
      <c r="AO166" s="111" t="s">
        <v>2798</v>
      </c>
      <c r="AP166" s="111" t="s">
        <v>2798</v>
      </c>
      <c r="AQ166" s="111" t="s">
        <v>2798</v>
      </c>
      <c r="AR166" s="111" t="s">
        <v>2798</v>
      </c>
      <c r="AS166" s="111" t="s">
        <v>2798</v>
      </c>
      <c r="AT166" s="111" t="s">
        <v>2798</v>
      </c>
      <c r="AU166" s="111" t="s">
        <v>2798</v>
      </c>
      <c r="AV166" s="111" t="s">
        <v>2798</v>
      </c>
      <c r="AW166" s="111" t="s">
        <v>2798</v>
      </c>
      <c r="AX166" s="111" t="s">
        <v>2798</v>
      </c>
      <c r="AY166" s="111" t="s">
        <v>2798</v>
      </c>
      <c r="AZ166" s="111" t="s">
        <v>2798</v>
      </c>
      <c r="BA166" s="111" t="s">
        <v>2798</v>
      </c>
      <c r="BB166" s="111" t="s">
        <v>2798</v>
      </c>
      <c r="BC166" s="111" t="s">
        <v>2798</v>
      </c>
      <c r="BD166" s="111" t="s">
        <v>2798</v>
      </c>
      <c r="BE166" s="111" t="s">
        <v>2798</v>
      </c>
      <c r="BF166" s="111" t="s">
        <v>2798</v>
      </c>
      <c r="BG166" s="111" t="s">
        <v>2798</v>
      </c>
      <c r="BH166" s="111" t="s">
        <v>2798</v>
      </c>
      <c r="BI166" s="111" t="s">
        <v>2798</v>
      </c>
      <c r="BJ166" s="111" t="s">
        <v>2798</v>
      </c>
      <c r="BK166" s="111" t="s">
        <v>2798</v>
      </c>
      <c r="BL166" s="111" t="s">
        <v>2798</v>
      </c>
      <c r="BM166" s="111" t="s">
        <v>2798</v>
      </c>
      <c r="BN166" s="111" t="s">
        <v>2798</v>
      </c>
      <c r="BO166" s="111" t="s">
        <v>2798</v>
      </c>
      <c r="BP166" s="111" t="s">
        <v>2798</v>
      </c>
      <c r="BQ166" s="111" t="s">
        <v>2798</v>
      </c>
      <c r="BR166" s="111" t="s">
        <v>2798</v>
      </c>
      <c r="BS166" s="111" t="s">
        <v>2798</v>
      </c>
      <c r="BT166" s="111" t="s">
        <v>2798</v>
      </c>
      <c r="BU166" s="111" t="s">
        <v>2798</v>
      </c>
      <c r="BV166" s="111" t="s">
        <v>2798</v>
      </c>
      <c r="BW166" s="111" t="s">
        <v>2798</v>
      </c>
      <c r="BX166" s="111" t="s">
        <v>2798</v>
      </c>
      <c r="BY166" s="111" t="s">
        <v>2798</v>
      </c>
      <c r="BZ166" s="111" t="s">
        <v>2798</v>
      </c>
      <c r="CA166" s="111" t="s">
        <v>2798</v>
      </c>
      <c r="CB166" s="111" t="s">
        <v>2798</v>
      </c>
      <c r="CC166" s="111" t="s">
        <v>2798</v>
      </c>
      <c r="CD166" s="111" t="s">
        <v>2798</v>
      </c>
      <c r="CE166" s="111" t="s">
        <v>2798</v>
      </c>
      <c r="CF166" s="111" t="s">
        <v>2798</v>
      </c>
      <c r="CG166" s="111" t="s">
        <v>2798</v>
      </c>
      <c r="CH166" s="111" t="s">
        <v>2798</v>
      </c>
      <c r="CI166" s="111" t="s">
        <v>2798</v>
      </c>
      <c r="CJ166" s="111" t="s">
        <v>2798</v>
      </c>
      <c r="CK166" s="111" t="s">
        <v>2798</v>
      </c>
      <c r="CL166" s="111" t="s">
        <v>2798</v>
      </c>
      <c r="CM166" s="111" t="s">
        <v>2798</v>
      </c>
      <c r="CN166" s="111" t="s">
        <v>2798</v>
      </c>
      <c r="CO166" s="111" t="s">
        <v>2798</v>
      </c>
      <c r="CP166" s="111" t="s">
        <v>2798</v>
      </c>
      <c r="CQ166" s="111" t="s">
        <v>2798</v>
      </c>
    </row>
    <row r="167" spans="2:95" ht="14.25" customHeight="1">
      <c r="B167" s="106" t="s">
        <v>874</v>
      </c>
      <c r="C167" s="106" t="s">
        <v>2957</v>
      </c>
      <c r="D167" s="109">
        <v>14657.09</v>
      </c>
      <c r="E167" s="106" t="s">
        <v>2585</v>
      </c>
      <c r="F167" s="110">
        <v>40.969999999999345</v>
      </c>
      <c r="G167" s="106" t="s">
        <v>2793</v>
      </c>
      <c r="H167" s="102">
        <v>0</v>
      </c>
      <c r="I167" s="102">
        <v>0</v>
      </c>
      <c r="J167" s="111" t="s">
        <v>2798</v>
      </c>
      <c r="K167" s="111" t="s">
        <v>2798</v>
      </c>
      <c r="L167" s="111" t="s">
        <v>2798</v>
      </c>
      <c r="M167" s="111" t="s">
        <v>2798</v>
      </c>
      <c r="N167" s="111" t="s">
        <v>2798</v>
      </c>
      <c r="O167" s="111" t="s">
        <v>2798</v>
      </c>
      <c r="P167" s="111" t="s">
        <v>2798</v>
      </c>
      <c r="Q167" s="111" t="s">
        <v>2798</v>
      </c>
      <c r="R167" s="111" t="s">
        <v>2798</v>
      </c>
      <c r="S167" s="111" t="s">
        <v>2798</v>
      </c>
      <c r="T167" s="111" t="s">
        <v>2798</v>
      </c>
      <c r="U167" s="111" t="s">
        <v>2798</v>
      </c>
      <c r="V167" s="111" t="s">
        <v>2798</v>
      </c>
      <c r="W167" s="111" t="s">
        <v>2798</v>
      </c>
      <c r="X167" s="111" t="s">
        <v>2798</v>
      </c>
      <c r="Y167" s="111" t="s">
        <v>2798</v>
      </c>
      <c r="Z167" s="111" t="s">
        <v>2798</v>
      </c>
      <c r="AA167" s="111" t="s">
        <v>2798</v>
      </c>
      <c r="AB167" s="111" t="s">
        <v>2798</v>
      </c>
      <c r="AC167" s="111" t="s">
        <v>2798</v>
      </c>
      <c r="AD167" s="111" t="s">
        <v>2798</v>
      </c>
      <c r="AE167" s="111" t="s">
        <v>2798</v>
      </c>
      <c r="AF167" s="111" t="s">
        <v>2798</v>
      </c>
      <c r="AG167" s="111" t="s">
        <v>2798</v>
      </c>
      <c r="AH167" s="111" t="s">
        <v>2798</v>
      </c>
      <c r="AI167" s="111" t="s">
        <v>2798</v>
      </c>
      <c r="AJ167" s="111" t="s">
        <v>2798</v>
      </c>
      <c r="AK167" s="111" t="s">
        <v>2798</v>
      </c>
      <c r="AL167" s="111" t="s">
        <v>2798</v>
      </c>
      <c r="AM167" s="111" t="s">
        <v>2798</v>
      </c>
      <c r="AN167" s="111" t="s">
        <v>2798</v>
      </c>
      <c r="AO167" s="111" t="s">
        <v>2798</v>
      </c>
      <c r="AP167" s="111" t="s">
        <v>2798</v>
      </c>
      <c r="AQ167" s="111" t="s">
        <v>2798</v>
      </c>
      <c r="AR167" s="111" t="s">
        <v>2798</v>
      </c>
      <c r="AS167" s="111" t="s">
        <v>2798</v>
      </c>
      <c r="AT167" s="111" t="s">
        <v>2798</v>
      </c>
      <c r="AU167" s="111" t="s">
        <v>2798</v>
      </c>
      <c r="AV167" s="111" t="s">
        <v>2798</v>
      </c>
      <c r="AW167" s="111" t="s">
        <v>2798</v>
      </c>
      <c r="AX167" s="111" t="s">
        <v>2798</v>
      </c>
      <c r="AY167" s="111" t="s">
        <v>2798</v>
      </c>
      <c r="AZ167" s="111" t="s">
        <v>2798</v>
      </c>
      <c r="BA167" s="111" t="s">
        <v>2798</v>
      </c>
      <c r="BB167" s="111" t="s">
        <v>2798</v>
      </c>
      <c r="BC167" s="111" t="s">
        <v>2798</v>
      </c>
      <c r="BD167" s="111" t="s">
        <v>2798</v>
      </c>
      <c r="BE167" s="111" t="s">
        <v>2798</v>
      </c>
      <c r="BF167" s="111" t="s">
        <v>2798</v>
      </c>
      <c r="BG167" s="111" t="s">
        <v>2798</v>
      </c>
      <c r="BH167" s="111" t="s">
        <v>2798</v>
      </c>
      <c r="BI167" s="111" t="s">
        <v>2798</v>
      </c>
      <c r="BJ167" s="111" t="s">
        <v>2798</v>
      </c>
      <c r="BK167" s="111" t="s">
        <v>2798</v>
      </c>
      <c r="BL167" s="111" t="s">
        <v>2798</v>
      </c>
      <c r="BM167" s="111" t="s">
        <v>2798</v>
      </c>
      <c r="BN167" s="111" t="s">
        <v>2798</v>
      </c>
      <c r="BO167" s="111" t="s">
        <v>2798</v>
      </c>
      <c r="BP167" s="111" t="s">
        <v>2798</v>
      </c>
      <c r="BQ167" s="111" t="s">
        <v>2798</v>
      </c>
      <c r="BR167" s="111" t="s">
        <v>2798</v>
      </c>
      <c r="BS167" s="111" t="s">
        <v>2798</v>
      </c>
      <c r="BT167" s="111" t="s">
        <v>2798</v>
      </c>
      <c r="BU167" s="111" t="s">
        <v>2798</v>
      </c>
      <c r="BV167" s="111" t="s">
        <v>2798</v>
      </c>
      <c r="BW167" s="111" t="s">
        <v>2798</v>
      </c>
      <c r="BX167" s="111" t="s">
        <v>2798</v>
      </c>
      <c r="BY167" s="111" t="s">
        <v>2798</v>
      </c>
      <c r="BZ167" s="111" t="s">
        <v>2798</v>
      </c>
      <c r="CA167" s="111" t="s">
        <v>2798</v>
      </c>
      <c r="CB167" s="111" t="s">
        <v>2798</v>
      </c>
      <c r="CC167" s="111" t="s">
        <v>2778</v>
      </c>
      <c r="CD167" s="111" t="s">
        <v>2779</v>
      </c>
      <c r="CE167" s="111" t="s">
        <v>2780</v>
      </c>
      <c r="CF167" s="111" t="s">
        <v>2781</v>
      </c>
      <c r="CG167" s="111" t="s">
        <v>2782</v>
      </c>
      <c r="CH167" s="111" t="s">
        <v>2783</v>
      </c>
      <c r="CI167" s="111" t="s">
        <v>2798</v>
      </c>
      <c r="CJ167" s="111" t="s">
        <v>2785</v>
      </c>
      <c r="CK167" s="111" t="s">
        <v>2786</v>
      </c>
      <c r="CL167" s="111" t="s">
        <v>2787</v>
      </c>
      <c r="CM167" s="111" t="s">
        <v>2788</v>
      </c>
      <c r="CN167" s="111" t="s">
        <v>2789</v>
      </c>
      <c r="CO167" s="111" t="s">
        <v>2790</v>
      </c>
      <c r="CP167" s="111" t="s">
        <v>2791</v>
      </c>
      <c r="CQ167" s="111" t="s">
        <v>2792</v>
      </c>
    </row>
    <row r="168" spans="2:95" ht="14.25" customHeight="1">
      <c r="B168" s="106" t="s">
        <v>875</v>
      </c>
      <c r="C168" s="106" t="s">
        <v>2958</v>
      </c>
      <c r="D168" s="109">
        <v>14698.06</v>
      </c>
      <c r="E168" s="106" t="s">
        <v>2590</v>
      </c>
      <c r="F168" s="110">
        <v>40.969999999999345</v>
      </c>
      <c r="G168" s="106" t="s">
        <v>2795</v>
      </c>
      <c r="H168" s="102">
        <v>0</v>
      </c>
      <c r="I168" s="102">
        <v>0</v>
      </c>
      <c r="J168" s="111" t="s">
        <v>87</v>
      </c>
      <c r="K168" s="111" t="s">
        <v>2708</v>
      </c>
      <c r="L168" s="111" t="s">
        <v>2709</v>
      </c>
      <c r="M168" s="111" t="s">
        <v>2710</v>
      </c>
      <c r="N168" s="111" t="s">
        <v>2711</v>
      </c>
      <c r="O168" s="111" t="s">
        <v>2712</v>
      </c>
      <c r="P168" s="111" t="s">
        <v>2713</v>
      </c>
      <c r="Q168" s="111" t="s">
        <v>2714</v>
      </c>
      <c r="R168" s="111" t="s">
        <v>2715</v>
      </c>
      <c r="S168" s="111" t="s">
        <v>2716</v>
      </c>
      <c r="T168" s="111" t="s">
        <v>2717</v>
      </c>
      <c r="U168" s="111" t="s">
        <v>2718</v>
      </c>
      <c r="V168" s="111" t="s">
        <v>2719</v>
      </c>
      <c r="W168" s="111" t="s">
        <v>2720</v>
      </c>
      <c r="X168" s="111" t="s">
        <v>2798</v>
      </c>
      <c r="Y168" s="111" t="s">
        <v>2798</v>
      </c>
      <c r="Z168" s="111" t="s">
        <v>2798</v>
      </c>
      <c r="AA168" s="111" t="s">
        <v>2798</v>
      </c>
      <c r="AB168" s="111" t="s">
        <v>2798</v>
      </c>
      <c r="AC168" s="111" t="s">
        <v>2798</v>
      </c>
      <c r="AD168" s="111" t="s">
        <v>2798</v>
      </c>
      <c r="AE168" s="111" t="s">
        <v>2798</v>
      </c>
      <c r="AF168" s="111" t="s">
        <v>2798</v>
      </c>
      <c r="AG168" s="111" t="s">
        <v>2798</v>
      </c>
      <c r="AH168" s="111" t="s">
        <v>2798</v>
      </c>
      <c r="AI168" s="111" t="s">
        <v>2798</v>
      </c>
      <c r="AJ168" s="111" t="s">
        <v>2798</v>
      </c>
      <c r="AK168" s="111" t="s">
        <v>2798</v>
      </c>
      <c r="AL168" s="111" t="s">
        <v>2798</v>
      </c>
      <c r="AM168" s="111" t="s">
        <v>2798</v>
      </c>
      <c r="AN168" s="111" t="s">
        <v>2798</v>
      </c>
      <c r="AO168" s="111" t="s">
        <v>2798</v>
      </c>
      <c r="AP168" s="111" t="s">
        <v>2798</v>
      </c>
      <c r="AQ168" s="111" t="s">
        <v>2798</v>
      </c>
      <c r="AR168" s="111" t="s">
        <v>2798</v>
      </c>
      <c r="AS168" s="111" t="s">
        <v>2798</v>
      </c>
      <c r="AT168" s="111" t="s">
        <v>2798</v>
      </c>
      <c r="AU168" s="111" t="s">
        <v>2798</v>
      </c>
      <c r="AV168" s="111" t="s">
        <v>2798</v>
      </c>
      <c r="AW168" s="111" t="s">
        <v>2798</v>
      </c>
      <c r="AX168" s="111" t="s">
        <v>2798</v>
      </c>
      <c r="AY168" s="111" t="s">
        <v>2798</v>
      </c>
      <c r="AZ168" s="111" t="s">
        <v>2798</v>
      </c>
      <c r="BA168" s="111" t="s">
        <v>2798</v>
      </c>
      <c r="BB168" s="111" t="s">
        <v>2798</v>
      </c>
      <c r="BC168" s="111" t="s">
        <v>2798</v>
      </c>
      <c r="BD168" s="111" t="s">
        <v>2798</v>
      </c>
      <c r="BE168" s="111" t="s">
        <v>2798</v>
      </c>
      <c r="BF168" s="111" t="s">
        <v>2798</v>
      </c>
      <c r="BG168" s="111" t="s">
        <v>2798</v>
      </c>
      <c r="BH168" s="111" t="s">
        <v>2798</v>
      </c>
      <c r="BI168" s="111" t="s">
        <v>2798</v>
      </c>
      <c r="BJ168" s="111" t="s">
        <v>2798</v>
      </c>
      <c r="BK168" s="111" t="s">
        <v>2798</v>
      </c>
      <c r="BL168" s="111" t="s">
        <v>2798</v>
      </c>
      <c r="BM168" s="111" t="s">
        <v>2798</v>
      </c>
      <c r="BN168" s="111" t="s">
        <v>2798</v>
      </c>
      <c r="BO168" s="111" t="s">
        <v>2798</v>
      </c>
      <c r="BP168" s="111" t="s">
        <v>2798</v>
      </c>
      <c r="BQ168" s="111" t="s">
        <v>2798</v>
      </c>
      <c r="BR168" s="111" t="s">
        <v>2798</v>
      </c>
      <c r="BS168" s="111" t="s">
        <v>2798</v>
      </c>
      <c r="BT168" s="111" t="s">
        <v>2798</v>
      </c>
      <c r="BU168" s="111" t="s">
        <v>2798</v>
      </c>
      <c r="BV168" s="111" t="s">
        <v>2798</v>
      </c>
      <c r="BW168" s="111" t="s">
        <v>2798</v>
      </c>
      <c r="BX168" s="111" t="s">
        <v>2798</v>
      </c>
      <c r="BY168" s="111" t="s">
        <v>2798</v>
      </c>
      <c r="BZ168" s="111" t="s">
        <v>2798</v>
      </c>
      <c r="CA168" s="111" t="s">
        <v>2798</v>
      </c>
      <c r="CB168" s="111" t="s">
        <v>2798</v>
      </c>
      <c r="CC168" s="111" t="s">
        <v>2798</v>
      </c>
      <c r="CD168" s="111" t="s">
        <v>2798</v>
      </c>
      <c r="CE168" s="111" t="s">
        <v>2798</v>
      </c>
      <c r="CF168" s="111" t="s">
        <v>2798</v>
      </c>
      <c r="CG168" s="111" t="s">
        <v>2798</v>
      </c>
      <c r="CH168" s="111" t="s">
        <v>2798</v>
      </c>
      <c r="CI168" s="111" t="s">
        <v>2798</v>
      </c>
      <c r="CJ168" s="111" t="s">
        <v>2798</v>
      </c>
      <c r="CK168" s="111" t="s">
        <v>2798</v>
      </c>
      <c r="CL168" s="111" t="s">
        <v>2798</v>
      </c>
      <c r="CM168" s="111" t="s">
        <v>2798</v>
      </c>
      <c r="CN168" s="111" t="s">
        <v>2798</v>
      </c>
      <c r="CO168" s="111" t="s">
        <v>2798</v>
      </c>
      <c r="CP168" s="111" t="s">
        <v>2798</v>
      </c>
      <c r="CQ168" s="111" t="s">
        <v>2798</v>
      </c>
    </row>
    <row r="169" spans="2:95" ht="14.25" customHeight="1">
      <c r="B169" s="106" t="s">
        <v>876</v>
      </c>
      <c r="C169" s="106" t="s">
        <v>2959</v>
      </c>
      <c r="D169" s="109">
        <v>14739.03</v>
      </c>
      <c r="E169" s="106" t="s">
        <v>2590</v>
      </c>
      <c r="F169" s="110">
        <v>40.970000000001164</v>
      </c>
      <c r="G169" s="106" t="s">
        <v>2795</v>
      </c>
      <c r="H169" s="102">
        <v>0</v>
      </c>
      <c r="I169" s="102">
        <v>0</v>
      </c>
      <c r="J169" s="111" t="s">
        <v>2798</v>
      </c>
      <c r="K169" s="111" t="s">
        <v>2798</v>
      </c>
      <c r="L169" s="111" t="s">
        <v>2798</v>
      </c>
      <c r="M169" s="111" t="s">
        <v>2798</v>
      </c>
      <c r="N169" s="111" t="s">
        <v>2798</v>
      </c>
      <c r="O169" s="111" t="s">
        <v>2798</v>
      </c>
      <c r="P169" s="111" t="s">
        <v>2798</v>
      </c>
      <c r="Q169" s="111" t="s">
        <v>2798</v>
      </c>
      <c r="R169" s="111" t="s">
        <v>2798</v>
      </c>
      <c r="S169" s="111" t="s">
        <v>2798</v>
      </c>
      <c r="T169" s="111" t="s">
        <v>2798</v>
      </c>
      <c r="U169" s="111" t="s">
        <v>2798</v>
      </c>
      <c r="V169" s="111" t="s">
        <v>2798</v>
      </c>
      <c r="W169" s="111" t="s">
        <v>2798</v>
      </c>
      <c r="X169" s="111" t="s">
        <v>2721</v>
      </c>
      <c r="Y169" s="111" t="s">
        <v>2722</v>
      </c>
      <c r="Z169" s="111" t="s">
        <v>2723</v>
      </c>
      <c r="AA169" s="111" t="s">
        <v>2724</v>
      </c>
      <c r="AB169" s="111" t="s">
        <v>2725</v>
      </c>
      <c r="AC169" s="111" t="s">
        <v>2726</v>
      </c>
      <c r="AD169" s="111" t="s">
        <v>2727</v>
      </c>
      <c r="AE169" s="111" t="s">
        <v>2798</v>
      </c>
      <c r="AF169" s="111" t="s">
        <v>2798</v>
      </c>
      <c r="AG169" s="111" t="s">
        <v>2798</v>
      </c>
      <c r="AH169" s="111" t="s">
        <v>2798</v>
      </c>
      <c r="AI169" s="111" t="s">
        <v>2798</v>
      </c>
      <c r="AJ169" s="111" t="s">
        <v>2798</v>
      </c>
      <c r="AK169" s="111" t="s">
        <v>2798</v>
      </c>
      <c r="AL169" s="111" t="s">
        <v>2798</v>
      </c>
      <c r="AM169" s="111" t="s">
        <v>2798</v>
      </c>
      <c r="AN169" s="111" t="s">
        <v>2798</v>
      </c>
      <c r="AO169" s="111" t="s">
        <v>2798</v>
      </c>
      <c r="AP169" s="111" t="s">
        <v>2798</v>
      </c>
      <c r="AQ169" s="111" t="s">
        <v>2798</v>
      </c>
      <c r="AR169" s="111" t="s">
        <v>2798</v>
      </c>
      <c r="AS169" s="111" t="s">
        <v>2798</v>
      </c>
      <c r="AT169" s="111" t="s">
        <v>2798</v>
      </c>
      <c r="AU169" s="111" t="s">
        <v>2798</v>
      </c>
      <c r="AV169" s="111" t="s">
        <v>2798</v>
      </c>
      <c r="AW169" s="111" t="s">
        <v>2798</v>
      </c>
      <c r="AX169" s="111" t="s">
        <v>2798</v>
      </c>
      <c r="AY169" s="111" t="s">
        <v>2798</v>
      </c>
      <c r="AZ169" s="111" t="s">
        <v>2798</v>
      </c>
      <c r="BA169" s="111" t="s">
        <v>2798</v>
      </c>
      <c r="BB169" s="111" t="s">
        <v>2798</v>
      </c>
      <c r="BC169" s="111" t="s">
        <v>2798</v>
      </c>
      <c r="BD169" s="111" t="s">
        <v>2798</v>
      </c>
      <c r="BE169" s="111" t="s">
        <v>2798</v>
      </c>
      <c r="BF169" s="111" t="s">
        <v>2798</v>
      </c>
      <c r="BG169" s="111" t="s">
        <v>2798</v>
      </c>
      <c r="BH169" s="111" t="s">
        <v>2798</v>
      </c>
      <c r="BI169" s="111" t="s">
        <v>2798</v>
      </c>
      <c r="BJ169" s="111" t="s">
        <v>2798</v>
      </c>
      <c r="BK169" s="111" t="s">
        <v>2798</v>
      </c>
      <c r="BL169" s="111" t="s">
        <v>2798</v>
      </c>
      <c r="BM169" s="111" t="s">
        <v>2798</v>
      </c>
      <c r="BN169" s="111" t="s">
        <v>2798</v>
      </c>
      <c r="BO169" s="111" t="s">
        <v>2798</v>
      </c>
      <c r="BP169" s="111" t="s">
        <v>2798</v>
      </c>
      <c r="BQ169" s="111" t="s">
        <v>2798</v>
      </c>
      <c r="BR169" s="111" t="s">
        <v>2798</v>
      </c>
      <c r="BS169" s="111" t="s">
        <v>2798</v>
      </c>
      <c r="BT169" s="111" t="s">
        <v>2798</v>
      </c>
      <c r="BU169" s="111" t="s">
        <v>2798</v>
      </c>
      <c r="BV169" s="111" t="s">
        <v>2771</v>
      </c>
      <c r="BW169" s="111" t="s">
        <v>2772</v>
      </c>
      <c r="BX169" s="111" t="s">
        <v>2773</v>
      </c>
      <c r="BY169" s="111" t="s">
        <v>2774</v>
      </c>
      <c r="BZ169" s="111" t="s">
        <v>2775</v>
      </c>
      <c r="CA169" s="111" t="s">
        <v>2776</v>
      </c>
      <c r="CB169" s="111" t="s">
        <v>2777</v>
      </c>
      <c r="CC169" s="111" t="s">
        <v>2798</v>
      </c>
      <c r="CD169" s="111" t="s">
        <v>2798</v>
      </c>
      <c r="CE169" s="111" t="s">
        <v>2798</v>
      </c>
      <c r="CF169" s="111" t="s">
        <v>2798</v>
      </c>
      <c r="CG169" s="111" t="s">
        <v>2798</v>
      </c>
      <c r="CH169" s="111" t="s">
        <v>2798</v>
      </c>
      <c r="CI169" s="111" t="s">
        <v>2798</v>
      </c>
      <c r="CJ169" s="111" t="s">
        <v>2798</v>
      </c>
      <c r="CK169" s="111" t="s">
        <v>2798</v>
      </c>
      <c r="CL169" s="111" t="s">
        <v>2798</v>
      </c>
      <c r="CM169" s="111" t="s">
        <v>2798</v>
      </c>
      <c r="CN169" s="111" t="s">
        <v>2798</v>
      </c>
      <c r="CO169" s="111" t="s">
        <v>2798</v>
      </c>
      <c r="CP169" s="111" t="s">
        <v>2798</v>
      </c>
      <c r="CQ169" s="111" t="s">
        <v>2798</v>
      </c>
    </row>
    <row r="170" spans="2:95" ht="14.25" customHeight="1">
      <c r="B170" s="106" t="s">
        <v>877</v>
      </c>
      <c r="C170" s="106" t="s">
        <v>2960</v>
      </c>
      <c r="D170" s="109">
        <v>14780</v>
      </c>
      <c r="E170" s="106" t="s">
        <v>2590</v>
      </c>
      <c r="F170" s="110">
        <v>40.969999999999345</v>
      </c>
      <c r="G170" s="106" t="s">
        <v>2793</v>
      </c>
      <c r="H170" s="102">
        <v>0</v>
      </c>
      <c r="I170" s="102">
        <v>0</v>
      </c>
      <c r="J170" s="111" t="s">
        <v>2798</v>
      </c>
      <c r="K170" s="111" t="s">
        <v>2798</v>
      </c>
      <c r="L170" s="111" t="s">
        <v>2798</v>
      </c>
      <c r="M170" s="111" t="s">
        <v>2798</v>
      </c>
      <c r="N170" s="111" t="s">
        <v>2798</v>
      </c>
      <c r="O170" s="111" t="s">
        <v>2798</v>
      </c>
      <c r="P170" s="111" t="s">
        <v>2798</v>
      </c>
      <c r="Q170" s="111" t="s">
        <v>2798</v>
      </c>
      <c r="R170" s="111" t="s">
        <v>2798</v>
      </c>
      <c r="S170" s="111" t="s">
        <v>2798</v>
      </c>
      <c r="T170" s="111" t="s">
        <v>2798</v>
      </c>
      <c r="U170" s="111" t="s">
        <v>2798</v>
      </c>
      <c r="V170" s="111" t="s">
        <v>2798</v>
      </c>
      <c r="W170" s="111" t="s">
        <v>2798</v>
      </c>
      <c r="X170" s="111" t="s">
        <v>2798</v>
      </c>
      <c r="Y170" s="111" t="s">
        <v>2798</v>
      </c>
      <c r="Z170" s="111" t="s">
        <v>2798</v>
      </c>
      <c r="AA170" s="111" t="s">
        <v>2798</v>
      </c>
      <c r="AB170" s="111" t="s">
        <v>2798</v>
      </c>
      <c r="AC170" s="111" t="s">
        <v>2798</v>
      </c>
      <c r="AD170" s="111" t="s">
        <v>2798</v>
      </c>
      <c r="AE170" s="111" t="s">
        <v>2798</v>
      </c>
      <c r="AF170" s="111" t="s">
        <v>2798</v>
      </c>
      <c r="AG170" s="111" t="s">
        <v>2798</v>
      </c>
      <c r="AH170" s="111" t="s">
        <v>2798</v>
      </c>
      <c r="AI170" s="111" t="s">
        <v>2798</v>
      </c>
      <c r="AJ170" s="111" t="s">
        <v>2798</v>
      </c>
      <c r="AK170" s="111" t="s">
        <v>2798</v>
      </c>
      <c r="AL170" s="111" t="s">
        <v>2798</v>
      </c>
      <c r="AM170" s="111" t="s">
        <v>2798</v>
      </c>
      <c r="AN170" s="111" t="s">
        <v>2798</v>
      </c>
      <c r="AO170" s="111" t="s">
        <v>2798</v>
      </c>
      <c r="AP170" s="111" t="s">
        <v>2798</v>
      </c>
      <c r="AQ170" s="111" t="s">
        <v>2798</v>
      </c>
      <c r="AR170" s="111" t="s">
        <v>2798</v>
      </c>
      <c r="AS170" s="111" t="s">
        <v>2798</v>
      </c>
      <c r="AT170" s="111" t="s">
        <v>2798</v>
      </c>
      <c r="AU170" s="111" t="s">
        <v>2798</v>
      </c>
      <c r="AV170" s="111" t="s">
        <v>2798</v>
      </c>
      <c r="AW170" s="111" t="s">
        <v>2798</v>
      </c>
      <c r="AX170" s="111" t="s">
        <v>2798</v>
      </c>
      <c r="AY170" s="111" t="s">
        <v>2798</v>
      </c>
      <c r="AZ170" s="111" t="s">
        <v>2798</v>
      </c>
      <c r="BA170" s="111" t="s">
        <v>2798</v>
      </c>
      <c r="BB170" s="111" t="s">
        <v>2798</v>
      </c>
      <c r="BC170" s="111" t="s">
        <v>2798</v>
      </c>
      <c r="BD170" s="111" t="s">
        <v>2798</v>
      </c>
      <c r="BE170" s="111" t="s">
        <v>2798</v>
      </c>
      <c r="BF170" s="111" t="s">
        <v>2798</v>
      </c>
      <c r="BG170" s="111" t="s">
        <v>2798</v>
      </c>
      <c r="BH170" s="111" t="s">
        <v>2798</v>
      </c>
      <c r="BI170" s="111" t="s">
        <v>2798</v>
      </c>
      <c r="BJ170" s="111" t="s">
        <v>2798</v>
      </c>
      <c r="BK170" s="111" t="s">
        <v>2798</v>
      </c>
      <c r="BL170" s="111" t="s">
        <v>2798</v>
      </c>
      <c r="BM170" s="111" t="s">
        <v>2798</v>
      </c>
      <c r="BN170" s="111" t="s">
        <v>2798</v>
      </c>
      <c r="BO170" s="111" t="s">
        <v>2798</v>
      </c>
      <c r="BP170" s="111" t="s">
        <v>2798</v>
      </c>
      <c r="BQ170" s="111" t="s">
        <v>2798</v>
      </c>
      <c r="BR170" s="111" t="s">
        <v>2798</v>
      </c>
      <c r="BS170" s="111" t="s">
        <v>2798</v>
      </c>
      <c r="BT170" s="111" t="s">
        <v>2798</v>
      </c>
      <c r="BU170" s="111" t="s">
        <v>2798</v>
      </c>
      <c r="BV170" s="111" t="s">
        <v>2798</v>
      </c>
      <c r="BW170" s="111" t="s">
        <v>2798</v>
      </c>
      <c r="BX170" s="111" t="s">
        <v>2798</v>
      </c>
      <c r="BY170" s="111" t="s">
        <v>2798</v>
      </c>
      <c r="BZ170" s="111" t="s">
        <v>2798</v>
      </c>
      <c r="CA170" s="111" t="s">
        <v>2798</v>
      </c>
      <c r="CB170" s="111" t="s">
        <v>2798</v>
      </c>
      <c r="CC170" s="111" t="s">
        <v>2778</v>
      </c>
      <c r="CD170" s="111" t="s">
        <v>2779</v>
      </c>
      <c r="CE170" s="111" t="s">
        <v>2780</v>
      </c>
      <c r="CF170" s="111" t="s">
        <v>2781</v>
      </c>
      <c r="CG170" s="111" t="s">
        <v>2782</v>
      </c>
      <c r="CH170" s="111" t="s">
        <v>2783</v>
      </c>
      <c r="CI170" s="111" t="s">
        <v>2798</v>
      </c>
      <c r="CJ170" s="111" t="s">
        <v>2785</v>
      </c>
      <c r="CK170" s="111" t="s">
        <v>2786</v>
      </c>
      <c r="CL170" s="111" t="s">
        <v>2787</v>
      </c>
      <c r="CM170" s="111" t="s">
        <v>2788</v>
      </c>
      <c r="CN170" s="111" t="s">
        <v>2789</v>
      </c>
      <c r="CO170" s="111" t="s">
        <v>2790</v>
      </c>
      <c r="CP170" s="111" t="s">
        <v>2791</v>
      </c>
      <c r="CQ170" s="111" t="s">
        <v>2792</v>
      </c>
    </row>
    <row r="171" spans="2:95" ht="14.25" customHeight="1">
      <c r="G171" s="106"/>
      <c r="H171" s="102"/>
      <c r="I171" s="102"/>
      <c r="J171" s="102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</row>
    <row r="172" spans="2:95" ht="14.25" customHeight="1">
      <c r="G172" s="106"/>
      <c r="H172" s="102"/>
      <c r="I172" s="102"/>
      <c r="J172" s="102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</row>
    <row r="173" spans="2:95" ht="14.25" customHeight="1">
      <c r="H173" s="102"/>
      <c r="I173" s="102"/>
      <c r="J173" s="102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</row>
    <row r="174" spans="2:95" ht="14.25" customHeight="1">
      <c r="H174" s="102"/>
      <c r="I174" s="102"/>
      <c r="J174" s="102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  <c r="CJ174" s="106"/>
      <c r="CK174" s="106"/>
      <c r="CL174" s="106"/>
      <c r="CM174" s="106"/>
      <c r="CN174" s="106"/>
      <c r="CO174" s="106"/>
      <c r="CP174" s="106"/>
      <c r="CQ174" s="106"/>
    </row>
    <row r="175" spans="2:95" ht="14.25" customHeight="1">
      <c r="H175" s="102"/>
      <c r="I175" s="102"/>
      <c r="J175" s="102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  <c r="CJ175" s="106"/>
      <c r="CK175" s="106"/>
      <c r="CL175" s="106"/>
      <c r="CM175" s="106"/>
      <c r="CN175" s="106"/>
      <c r="CO175" s="106"/>
      <c r="CP175" s="106"/>
      <c r="CQ175" s="106"/>
    </row>
    <row r="176" spans="2:95" ht="14.25" customHeight="1">
      <c r="H176" s="102"/>
      <c r="I176" s="102"/>
      <c r="J176" s="102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  <c r="CJ176" s="106"/>
      <c r="CK176" s="106"/>
      <c r="CL176" s="106"/>
      <c r="CM176" s="106"/>
      <c r="CN176" s="106"/>
      <c r="CO176" s="106"/>
      <c r="CP176" s="106"/>
      <c r="CQ176" s="106"/>
    </row>
    <row r="177" spans="8:95" ht="14.25" customHeight="1">
      <c r="H177" s="102"/>
      <c r="I177" s="102"/>
      <c r="J177" s="102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  <c r="CJ177" s="106"/>
      <c r="CK177" s="106"/>
      <c r="CL177" s="106"/>
      <c r="CM177" s="106"/>
      <c r="CN177" s="106"/>
      <c r="CO177" s="106"/>
      <c r="CP177" s="106"/>
      <c r="CQ177" s="106"/>
    </row>
    <row r="178" spans="8:95" ht="14.25" customHeight="1">
      <c r="H178" s="102"/>
      <c r="I178" s="102"/>
      <c r="J178" s="102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  <c r="CJ178" s="106"/>
      <c r="CK178" s="106"/>
      <c r="CL178" s="106"/>
      <c r="CM178" s="106"/>
      <c r="CN178" s="106"/>
      <c r="CO178" s="106"/>
      <c r="CP178" s="106"/>
      <c r="CQ178" s="106"/>
    </row>
    <row r="179" spans="8:95" ht="14.25" customHeight="1">
      <c r="H179" s="102"/>
      <c r="I179" s="102"/>
      <c r="J179" s="102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  <c r="CJ179" s="106"/>
      <c r="CK179" s="106"/>
      <c r="CL179" s="106"/>
      <c r="CM179" s="106"/>
      <c r="CN179" s="106"/>
      <c r="CO179" s="106"/>
      <c r="CP179" s="106"/>
      <c r="CQ179" s="106"/>
    </row>
    <row r="180" spans="8:95" ht="14.25" customHeight="1">
      <c r="H180" s="102"/>
      <c r="I180" s="102"/>
      <c r="J180" s="102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  <c r="CJ180" s="106"/>
      <c r="CK180" s="106"/>
      <c r="CL180" s="106"/>
      <c r="CM180" s="106"/>
      <c r="CN180" s="106"/>
      <c r="CO180" s="106"/>
      <c r="CP180" s="106"/>
      <c r="CQ180" s="106"/>
    </row>
    <row r="181" spans="8:95" ht="14.25" customHeight="1">
      <c r="H181" s="102"/>
      <c r="I181" s="102"/>
      <c r="J181" s="102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  <c r="CJ181" s="106"/>
      <c r="CK181" s="106"/>
      <c r="CL181" s="106"/>
      <c r="CM181" s="106"/>
      <c r="CN181" s="106"/>
      <c r="CO181" s="106"/>
      <c r="CP181" s="106"/>
      <c r="CQ181" s="106"/>
    </row>
    <row r="182" spans="8:95" ht="14.25" customHeight="1">
      <c r="H182" s="102"/>
      <c r="I182" s="102"/>
      <c r="J182" s="102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  <c r="CJ182" s="106"/>
      <c r="CK182" s="106"/>
      <c r="CL182" s="106"/>
      <c r="CM182" s="106"/>
      <c r="CN182" s="106"/>
      <c r="CO182" s="106"/>
      <c r="CP182" s="106"/>
      <c r="CQ182" s="106"/>
    </row>
    <row r="183" spans="8:95" ht="14.25" customHeight="1">
      <c r="H183" s="102"/>
      <c r="I183" s="102"/>
      <c r="J183" s="102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  <c r="CJ183" s="106"/>
      <c r="CK183" s="106"/>
      <c r="CL183" s="106"/>
      <c r="CM183" s="106"/>
      <c r="CN183" s="106"/>
      <c r="CO183" s="106"/>
      <c r="CP183" s="106"/>
      <c r="CQ183" s="106"/>
    </row>
    <row r="184" spans="8:95" ht="14.25" customHeight="1">
      <c r="H184" s="102"/>
      <c r="I184" s="102"/>
      <c r="J184" s="102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  <c r="CJ184" s="106"/>
      <c r="CK184" s="106"/>
      <c r="CL184" s="106"/>
      <c r="CM184" s="106"/>
      <c r="CN184" s="106"/>
      <c r="CO184" s="106"/>
      <c r="CP184" s="106"/>
      <c r="CQ184" s="106"/>
    </row>
    <row r="185" spans="8:95" ht="14.25" customHeight="1">
      <c r="H185" s="102"/>
      <c r="I185" s="102"/>
      <c r="J185" s="102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</row>
    <row r="186" spans="8:95" ht="14.25" customHeight="1">
      <c r="H186" s="102"/>
      <c r="I186" s="102"/>
      <c r="J186" s="102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  <c r="CJ186" s="106"/>
      <c r="CK186" s="106"/>
      <c r="CL186" s="106"/>
      <c r="CM186" s="106"/>
      <c r="CN186" s="106"/>
      <c r="CO186" s="106"/>
      <c r="CP186" s="106"/>
      <c r="CQ186" s="106"/>
    </row>
    <row r="187" spans="8:95" ht="14.25" customHeight="1">
      <c r="H187" s="102"/>
      <c r="I187" s="102"/>
      <c r="J187" s="102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  <c r="CJ187" s="106"/>
      <c r="CK187" s="106"/>
      <c r="CL187" s="106"/>
      <c r="CM187" s="106"/>
      <c r="CN187" s="106"/>
      <c r="CO187" s="106"/>
      <c r="CP187" s="106"/>
      <c r="CQ187" s="106"/>
    </row>
    <row r="188" spans="8:95" ht="14.25" customHeight="1">
      <c r="H188" s="102"/>
      <c r="I188" s="102"/>
      <c r="J188" s="102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  <c r="CJ188" s="106"/>
      <c r="CK188" s="106"/>
      <c r="CL188" s="106"/>
      <c r="CM188" s="106"/>
      <c r="CN188" s="106"/>
      <c r="CO188" s="106"/>
      <c r="CP188" s="106"/>
      <c r="CQ188" s="106"/>
    </row>
    <row r="189" spans="8:95" ht="14.25" customHeight="1">
      <c r="H189" s="102"/>
      <c r="I189" s="102"/>
      <c r="J189" s="102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  <c r="CJ189" s="106"/>
      <c r="CK189" s="106"/>
      <c r="CL189" s="106"/>
      <c r="CM189" s="106"/>
      <c r="CN189" s="106"/>
      <c r="CO189" s="106"/>
      <c r="CP189" s="106"/>
      <c r="CQ189" s="106"/>
    </row>
    <row r="190" spans="8:95" ht="14.25" customHeight="1">
      <c r="H190" s="102"/>
      <c r="I190" s="102"/>
      <c r="J190" s="102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  <c r="CJ190" s="106"/>
      <c r="CK190" s="106"/>
      <c r="CL190" s="106"/>
      <c r="CM190" s="106"/>
      <c r="CN190" s="106"/>
      <c r="CO190" s="106"/>
      <c r="CP190" s="106"/>
      <c r="CQ190" s="106"/>
    </row>
    <row r="191" spans="8:95" ht="14.25" customHeight="1">
      <c r="H191" s="102"/>
      <c r="I191" s="102"/>
      <c r="J191" s="102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06"/>
      <c r="CL191" s="106"/>
      <c r="CM191" s="106"/>
      <c r="CN191" s="106"/>
      <c r="CO191" s="106"/>
      <c r="CP191" s="106"/>
      <c r="CQ191" s="106"/>
    </row>
    <row r="192" spans="8:95" ht="14.25" customHeight="1">
      <c r="H192" s="102"/>
      <c r="I192" s="102"/>
      <c r="J192" s="102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06"/>
      <c r="CL192" s="106"/>
      <c r="CM192" s="106"/>
      <c r="CN192" s="106"/>
      <c r="CO192" s="106"/>
      <c r="CP192" s="106"/>
      <c r="CQ192" s="106"/>
    </row>
    <row r="193" spans="8:95" ht="14.25" customHeight="1">
      <c r="H193" s="102"/>
      <c r="I193" s="102"/>
      <c r="J193" s="102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  <c r="CJ193" s="106"/>
      <c r="CK193" s="106"/>
      <c r="CL193" s="106"/>
      <c r="CM193" s="106"/>
      <c r="CN193" s="106"/>
      <c r="CO193" s="106"/>
      <c r="CP193" s="106"/>
      <c r="CQ193" s="106"/>
    </row>
    <row r="194" spans="8:95" ht="14.25" customHeight="1">
      <c r="H194" s="102"/>
      <c r="I194" s="102"/>
      <c r="J194" s="102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</row>
    <row r="195" spans="8:95" ht="14.25" customHeight="1">
      <c r="H195" s="102"/>
      <c r="I195" s="102"/>
      <c r="J195" s="102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  <c r="CJ195" s="106"/>
      <c r="CK195" s="106"/>
      <c r="CL195" s="106"/>
      <c r="CM195" s="106"/>
      <c r="CN195" s="106"/>
      <c r="CO195" s="106"/>
      <c r="CP195" s="106"/>
      <c r="CQ195" s="106"/>
    </row>
    <row r="196" spans="8:95" ht="14.25" customHeight="1">
      <c r="H196" s="102"/>
      <c r="I196" s="102"/>
      <c r="J196" s="102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  <c r="CJ196" s="106"/>
      <c r="CK196" s="106"/>
      <c r="CL196" s="106"/>
      <c r="CM196" s="106"/>
      <c r="CN196" s="106"/>
      <c r="CO196" s="106"/>
      <c r="CP196" s="106"/>
      <c r="CQ196" s="106"/>
    </row>
    <row r="197" spans="8:95" ht="14.25" customHeight="1">
      <c r="H197" s="102"/>
      <c r="I197" s="102"/>
      <c r="J197" s="102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  <c r="CJ197" s="106"/>
      <c r="CK197" s="106"/>
      <c r="CL197" s="106"/>
      <c r="CM197" s="106"/>
      <c r="CN197" s="106"/>
      <c r="CO197" s="106"/>
      <c r="CP197" s="106"/>
      <c r="CQ197" s="106"/>
    </row>
    <row r="198" spans="8:95" ht="14.25" customHeight="1">
      <c r="H198" s="102"/>
      <c r="I198" s="102"/>
      <c r="J198" s="102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  <c r="CJ198" s="106"/>
      <c r="CK198" s="106"/>
      <c r="CL198" s="106"/>
      <c r="CM198" s="106"/>
      <c r="CN198" s="106"/>
      <c r="CO198" s="106"/>
      <c r="CP198" s="106"/>
      <c r="CQ198" s="106"/>
    </row>
    <row r="199" spans="8:95" ht="14.25" customHeight="1">
      <c r="H199" s="102"/>
      <c r="I199" s="102"/>
      <c r="J199" s="102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  <c r="CJ199" s="106"/>
      <c r="CK199" s="106"/>
      <c r="CL199" s="106"/>
      <c r="CM199" s="106"/>
      <c r="CN199" s="106"/>
      <c r="CO199" s="106"/>
      <c r="CP199" s="106"/>
      <c r="CQ199" s="106"/>
    </row>
    <row r="200" spans="8:95" ht="14.25" customHeight="1">
      <c r="H200" s="102"/>
      <c r="I200" s="102"/>
      <c r="J200" s="102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  <c r="CJ200" s="106"/>
      <c r="CK200" s="106"/>
      <c r="CL200" s="106"/>
      <c r="CM200" s="106"/>
      <c r="CN200" s="106"/>
      <c r="CO200" s="106"/>
      <c r="CP200" s="106"/>
      <c r="CQ200" s="106"/>
    </row>
    <row r="201" spans="8:95" ht="14.25" customHeight="1">
      <c r="H201" s="102"/>
      <c r="I201" s="102"/>
      <c r="J201" s="102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  <c r="CJ201" s="106"/>
      <c r="CK201" s="106"/>
      <c r="CL201" s="106"/>
      <c r="CM201" s="106"/>
      <c r="CN201" s="106"/>
      <c r="CO201" s="106"/>
      <c r="CP201" s="106"/>
      <c r="CQ201" s="106"/>
    </row>
    <row r="202" spans="8:95" ht="14.25" customHeight="1">
      <c r="H202" s="102"/>
      <c r="I202" s="102"/>
      <c r="J202" s="102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</row>
    <row r="203" spans="8:95" ht="14.25" customHeight="1">
      <c r="H203" s="102"/>
      <c r="I203" s="102"/>
      <c r="J203" s="102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</row>
    <row r="204" spans="8:95" ht="14.25" customHeight="1">
      <c r="H204" s="102"/>
      <c r="I204" s="102"/>
      <c r="J204" s="102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  <c r="CJ204" s="106"/>
      <c r="CK204" s="106"/>
      <c r="CL204" s="106"/>
      <c r="CM204" s="106"/>
      <c r="CN204" s="106"/>
      <c r="CO204" s="106"/>
      <c r="CP204" s="106"/>
      <c r="CQ204" s="106"/>
    </row>
    <row r="205" spans="8:95" ht="14.25" customHeight="1">
      <c r="H205" s="102"/>
      <c r="I205" s="102"/>
      <c r="J205" s="102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  <c r="CJ205" s="106"/>
      <c r="CK205" s="106"/>
      <c r="CL205" s="106"/>
      <c r="CM205" s="106"/>
      <c r="CN205" s="106"/>
      <c r="CO205" s="106"/>
      <c r="CP205" s="106"/>
      <c r="CQ205" s="106"/>
    </row>
    <row r="206" spans="8:95" ht="14.25" customHeight="1">
      <c r="H206" s="102"/>
      <c r="I206" s="102"/>
      <c r="J206" s="102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  <c r="CJ206" s="106"/>
      <c r="CK206" s="106"/>
      <c r="CL206" s="106"/>
      <c r="CM206" s="106"/>
      <c r="CN206" s="106"/>
      <c r="CO206" s="106"/>
      <c r="CP206" s="106"/>
      <c r="CQ206" s="106"/>
    </row>
    <row r="207" spans="8:95" ht="14.25" customHeight="1">
      <c r="H207" s="102"/>
      <c r="I207" s="102"/>
      <c r="J207" s="102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  <c r="CJ207" s="106"/>
      <c r="CK207" s="106"/>
      <c r="CL207" s="106"/>
      <c r="CM207" s="106"/>
      <c r="CN207" s="106"/>
      <c r="CO207" s="106"/>
      <c r="CP207" s="106"/>
      <c r="CQ207" s="106"/>
    </row>
    <row r="208" spans="8:95" ht="14.25" customHeight="1">
      <c r="H208" s="102"/>
      <c r="I208" s="102"/>
      <c r="J208" s="102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  <c r="CJ208" s="106"/>
      <c r="CK208" s="106"/>
      <c r="CL208" s="106"/>
      <c r="CM208" s="106"/>
      <c r="CN208" s="106"/>
      <c r="CO208" s="106"/>
      <c r="CP208" s="106"/>
      <c r="CQ208" s="106"/>
    </row>
    <row r="209" spans="8:95" ht="14.25" customHeight="1">
      <c r="H209" s="102"/>
      <c r="I209" s="102"/>
      <c r="J209" s="102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</row>
    <row r="210" spans="8:95" ht="14.25" customHeight="1">
      <c r="H210" s="102"/>
      <c r="I210" s="102"/>
      <c r="J210" s="102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</row>
    <row r="211" spans="8:95" ht="14.25" customHeight="1">
      <c r="H211" s="102"/>
      <c r="I211" s="102"/>
      <c r="J211" s="102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</row>
    <row r="212" spans="8:95" ht="14.25" customHeight="1">
      <c r="H212" s="102"/>
      <c r="I212" s="102"/>
      <c r="J212" s="102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  <c r="CJ212" s="106"/>
      <c r="CK212" s="106"/>
      <c r="CL212" s="106"/>
      <c r="CM212" s="106"/>
      <c r="CN212" s="106"/>
      <c r="CO212" s="106"/>
      <c r="CP212" s="106"/>
      <c r="CQ212" s="106"/>
    </row>
    <row r="213" spans="8:95" ht="14.25" customHeight="1">
      <c r="H213" s="102"/>
      <c r="I213" s="102"/>
      <c r="J213" s="102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  <c r="CJ213" s="106"/>
      <c r="CK213" s="106"/>
      <c r="CL213" s="106"/>
      <c r="CM213" s="106"/>
      <c r="CN213" s="106"/>
      <c r="CO213" s="106"/>
      <c r="CP213" s="106"/>
      <c r="CQ213" s="106"/>
    </row>
    <row r="214" spans="8:95" ht="14.25" customHeight="1">
      <c r="H214" s="102"/>
      <c r="I214" s="102"/>
      <c r="J214" s="102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</row>
    <row r="215" spans="8:95" ht="14.25" customHeight="1">
      <c r="H215" s="102"/>
      <c r="I215" s="102"/>
      <c r="J215" s="102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</row>
    <row r="216" spans="8:95" ht="14.25" customHeight="1">
      <c r="H216" s="102"/>
      <c r="I216" s="102"/>
      <c r="J216" s="102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</row>
    <row r="217" spans="8:95" ht="14.25" customHeight="1">
      <c r="H217" s="102"/>
      <c r="I217" s="102"/>
      <c r="J217" s="102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</row>
    <row r="218" spans="8:95" ht="14.25" customHeight="1">
      <c r="H218" s="102"/>
      <c r="I218" s="102"/>
      <c r="J218" s="102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</row>
    <row r="219" spans="8:95" ht="14.25" customHeight="1">
      <c r="H219" s="102"/>
      <c r="I219" s="102"/>
      <c r="J219" s="102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</row>
    <row r="220" spans="8:95" ht="14.25" customHeight="1">
      <c r="H220" s="102"/>
      <c r="I220" s="102"/>
      <c r="J220" s="102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</row>
    <row r="221" spans="8:95" ht="14.25" customHeight="1">
      <c r="H221" s="102"/>
      <c r="I221" s="102"/>
      <c r="J221" s="102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</row>
    <row r="222" spans="8:95" ht="14.25" customHeight="1">
      <c r="H222" s="102"/>
      <c r="I222" s="102"/>
      <c r="J222" s="102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</row>
    <row r="223" spans="8:95" ht="14.25" customHeight="1">
      <c r="H223" s="102"/>
      <c r="I223" s="102"/>
      <c r="J223" s="102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</row>
    <row r="224" spans="8:95" ht="14.25" customHeight="1">
      <c r="H224" s="102"/>
      <c r="I224" s="102"/>
      <c r="J224" s="102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</row>
    <row r="225" spans="8:95" ht="14.25" customHeight="1">
      <c r="H225" s="102"/>
      <c r="I225" s="102"/>
      <c r="J225" s="102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</row>
    <row r="226" spans="8:95" ht="14.25" customHeight="1">
      <c r="H226" s="102"/>
      <c r="I226" s="102"/>
      <c r="J226" s="102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</row>
    <row r="227" spans="8:95" ht="14.25" customHeight="1">
      <c r="H227" s="102"/>
      <c r="I227" s="102"/>
      <c r="J227" s="102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</row>
    <row r="228" spans="8:95" ht="14.25" customHeight="1">
      <c r="H228" s="102"/>
      <c r="I228" s="102"/>
      <c r="J228" s="102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</row>
    <row r="229" spans="8:95" ht="14.25" customHeight="1">
      <c r="H229" s="102"/>
      <c r="I229" s="102"/>
      <c r="J229" s="102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</row>
    <row r="230" spans="8:95" ht="14.25" customHeight="1">
      <c r="H230" s="102"/>
      <c r="I230" s="102"/>
      <c r="J230" s="102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</row>
    <row r="231" spans="8:95" ht="14.25" customHeight="1">
      <c r="H231" s="102"/>
      <c r="I231" s="102"/>
      <c r="J231" s="102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</row>
    <row r="232" spans="8:95" ht="14.25" customHeight="1">
      <c r="H232" s="102"/>
      <c r="I232" s="102"/>
      <c r="J232" s="102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</row>
    <row r="233" spans="8:95" ht="14.25" customHeight="1">
      <c r="H233" s="102"/>
      <c r="I233" s="102"/>
      <c r="J233" s="102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</row>
    <row r="234" spans="8:95" ht="14.25" customHeight="1">
      <c r="H234" s="102"/>
      <c r="I234" s="102"/>
      <c r="J234" s="102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</row>
    <row r="235" spans="8:95" ht="14.25" customHeight="1">
      <c r="H235" s="102"/>
      <c r="I235" s="102"/>
      <c r="J235" s="102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</row>
    <row r="236" spans="8:95" ht="14.25" customHeight="1">
      <c r="H236" s="102"/>
      <c r="I236" s="102"/>
      <c r="J236" s="102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</row>
    <row r="237" spans="8:95" ht="14.25" customHeight="1">
      <c r="H237" s="102"/>
      <c r="I237" s="102"/>
      <c r="J237" s="102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</row>
    <row r="238" spans="8:95" ht="14.25" customHeight="1">
      <c r="H238" s="102"/>
      <c r="I238" s="102"/>
      <c r="J238" s="102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</row>
    <row r="239" spans="8:95" ht="14.25" customHeight="1">
      <c r="H239" s="102"/>
      <c r="I239" s="102"/>
      <c r="J239" s="102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</row>
    <row r="240" spans="8:95" ht="14.25" customHeight="1">
      <c r="H240" s="102"/>
      <c r="I240" s="102"/>
      <c r="J240" s="102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</row>
    <row r="241" spans="8:95" ht="14.25" customHeight="1">
      <c r="H241" s="102"/>
      <c r="I241" s="102"/>
      <c r="J241" s="102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</row>
    <row r="242" spans="8:95" ht="14.25" customHeight="1">
      <c r="H242" s="102"/>
      <c r="I242" s="102"/>
      <c r="J242" s="102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</row>
    <row r="243" spans="8:95" ht="14.25" customHeight="1">
      <c r="H243" s="102"/>
      <c r="I243" s="102"/>
      <c r="J243" s="102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</row>
    <row r="244" spans="8:95" ht="14.25" customHeight="1">
      <c r="H244" s="102"/>
      <c r="I244" s="102"/>
      <c r="J244" s="102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</row>
    <row r="245" spans="8:95" ht="14.25" customHeight="1">
      <c r="H245" s="102"/>
      <c r="I245" s="102"/>
      <c r="J245" s="102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</row>
    <row r="246" spans="8:95" ht="14.25" customHeight="1">
      <c r="H246" s="102"/>
      <c r="I246" s="102"/>
      <c r="J246" s="102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</row>
    <row r="247" spans="8:95" ht="14.25" customHeight="1">
      <c r="H247" s="102"/>
      <c r="I247" s="102"/>
      <c r="J247" s="102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</row>
    <row r="248" spans="8:95" ht="14.25" customHeight="1">
      <c r="H248" s="102"/>
      <c r="I248" s="102"/>
      <c r="J248" s="102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</row>
    <row r="249" spans="8:95" ht="14.25" customHeight="1">
      <c r="H249" s="102"/>
      <c r="I249" s="102"/>
      <c r="J249" s="102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</row>
    <row r="250" spans="8:95" ht="14.25" customHeight="1">
      <c r="H250" s="102"/>
      <c r="I250" s="102"/>
      <c r="J250" s="102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</row>
    <row r="251" spans="8:95" ht="14.25" customHeight="1">
      <c r="H251" s="102"/>
      <c r="I251" s="102"/>
      <c r="J251" s="102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</row>
    <row r="252" spans="8:95" ht="14.25" customHeight="1">
      <c r="H252" s="102"/>
      <c r="I252" s="102"/>
      <c r="J252" s="102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</row>
    <row r="253" spans="8:95" ht="14.25" customHeight="1">
      <c r="H253" s="102"/>
      <c r="I253" s="102"/>
      <c r="J253" s="102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</row>
    <row r="254" spans="8:95" ht="14.25" customHeight="1">
      <c r="H254" s="102"/>
      <c r="I254" s="102"/>
      <c r="J254" s="102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</row>
    <row r="255" spans="8:95" ht="14.25" customHeight="1">
      <c r="H255" s="102"/>
      <c r="I255" s="102"/>
      <c r="J255" s="102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</row>
    <row r="256" spans="8:95" ht="14.25" customHeight="1">
      <c r="H256" s="102"/>
      <c r="I256" s="102"/>
      <c r="J256" s="102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</row>
    <row r="257" spans="8:95" ht="14.25" customHeight="1">
      <c r="H257" s="102"/>
      <c r="I257" s="102"/>
      <c r="J257" s="102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</row>
    <row r="258" spans="8:95" ht="14.25" customHeight="1">
      <c r="H258" s="102"/>
      <c r="I258" s="102"/>
      <c r="J258" s="102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</row>
    <row r="259" spans="8:95" ht="14.25" customHeight="1">
      <c r="H259" s="102"/>
      <c r="I259" s="102"/>
      <c r="J259" s="102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</row>
    <row r="260" spans="8:95" ht="14.25" customHeight="1">
      <c r="H260" s="102"/>
      <c r="I260" s="102"/>
      <c r="J260" s="102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  <c r="CJ260" s="106"/>
      <c r="CK260" s="106"/>
      <c r="CL260" s="106"/>
      <c r="CM260" s="106"/>
      <c r="CN260" s="106"/>
      <c r="CO260" s="106"/>
      <c r="CP260" s="106"/>
      <c r="CQ260" s="106"/>
    </row>
    <row r="261" spans="8:95" ht="14.25" customHeight="1">
      <c r="H261" s="102"/>
      <c r="I261" s="102"/>
      <c r="J261" s="102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  <c r="CJ261" s="106"/>
      <c r="CK261" s="106"/>
      <c r="CL261" s="106"/>
      <c r="CM261" s="106"/>
      <c r="CN261" s="106"/>
      <c r="CO261" s="106"/>
      <c r="CP261" s="106"/>
      <c r="CQ261" s="106"/>
    </row>
    <row r="262" spans="8:95" ht="14.25" customHeight="1">
      <c r="H262" s="102"/>
      <c r="I262" s="102"/>
      <c r="J262" s="102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  <c r="CJ262" s="106"/>
      <c r="CK262" s="106"/>
      <c r="CL262" s="106"/>
      <c r="CM262" s="106"/>
      <c r="CN262" s="106"/>
      <c r="CO262" s="106"/>
      <c r="CP262" s="106"/>
      <c r="CQ262" s="106"/>
    </row>
    <row r="263" spans="8:95" ht="14.25" customHeight="1">
      <c r="H263" s="102"/>
      <c r="I263" s="102"/>
      <c r="J263" s="102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  <c r="CJ263" s="106"/>
      <c r="CK263" s="106"/>
      <c r="CL263" s="106"/>
      <c r="CM263" s="106"/>
      <c r="CN263" s="106"/>
      <c r="CO263" s="106"/>
      <c r="CP263" s="106"/>
      <c r="CQ263" s="106"/>
    </row>
    <row r="264" spans="8:95" ht="14.25" customHeight="1">
      <c r="H264" s="102"/>
      <c r="I264" s="102"/>
      <c r="J264" s="102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  <c r="CJ264" s="106"/>
      <c r="CK264" s="106"/>
      <c r="CL264" s="106"/>
      <c r="CM264" s="106"/>
      <c r="CN264" s="106"/>
      <c r="CO264" s="106"/>
      <c r="CP264" s="106"/>
      <c r="CQ264" s="106"/>
    </row>
    <row r="265" spans="8:95" ht="14.25" customHeight="1">
      <c r="H265" s="102"/>
      <c r="I265" s="102"/>
      <c r="J265" s="102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  <c r="CJ265" s="106"/>
      <c r="CK265" s="106"/>
      <c r="CL265" s="106"/>
      <c r="CM265" s="106"/>
      <c r="CN265" s="106"/>
      <c r="CO265" s="106"/>
      <c r="CP265" s="106"/>
      <c r="CQ265" s="106"/>
    </row>
    <row r="266" spans="8:95" ht="14.25" customHeight="1">
      <c r="H266" s="102"/>
      <c r="I266" s="102"/>
      <c r="J266" s="102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  <c r="CJ266" s="106"/>
      <c r="CK266" s="106"/>
      <c r="CL266" s="106"/>
      <c r="CM266" s="106"/>
      <c r="CN266" s="106"/>
      <c r="CO266" s="106"/>
      <c r="CP266" s="106"/>
      <c r="CQ266" s="106"/>
    </row>
    <row r="267" spans="8:95" ht="14.25" customHeight="1">
      <c r="H267" s="102"/>
      <c r="I267" s="102"/>
      <c r="J267" s="102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  <c r="CJ267" s="106"/>
      <c r="CK267" s="106"/>
      <c r="CL267" s="106"/>
      <c r="CM267" s="106"/>
      <c r="CN267" s="106"/>
      <c r="CO267" s="106"/>
      <c r="CP267" s="106"/>
      <c r="CQ267" s="106"/>
    </row>
    <row r="268" spans="8:95" ht="14.25" customHeight="1">
      <c r="H268" s="102"/>
      <c r="I268" s="102"/>
      <c r="J268" s="102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  <c r="CJ268" s="106"/>
      <c r="CK268" s="106"/>
      <c r="CL268" s="106"/>
      <c r="CM268" s="106"/>
      <c r="CN268" s="106"/>
      <c r="CO268" s="106"/>
      <c r="CP268" s="106"/>
      <c r="CQ268" s="106"/>
    </row>
    <row r="269" spans="8:95" ht="14.25" customHeight="1">
      <c r="H269" s="102"/>
      <c r="I269" s="102"/>
      <c r="J269" s="102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  <c r="CJ269" s="106"/>
      <c r="CK269" s="106"/>
      <c r="CL269" s="106"/>
      <c r="CM269" s="106"/>
      <c r="CN269" s="106"/>
      <c r="CO269" s="106"/>
      <c r="CP269" s="106"/>
      <c r="CQ269" s="106"/>
    </row>
    <row r="270" spans="8:95" ht="14.25" customHeight="1">
      <c r="H270" s="102"/>
      <c r="I270" s="102"/>
      <c r="J270" s="102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</row>
    <row r="271" spans="8:95" ht="14.25" customHeight="1">
      <c r="H271" s="102"/>
      <c r="I271" s="102"/>
      <c r="J271" s="102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  <c r="CJ271" s="106"/>
      <c r="CK271" s="106"/>
      <c r="CL271" s="106"/>
      <c r="CM271" s="106"/>
      <c r="CN271" s="106"/>
      <c r="CO271" s="106"/>
      <c r="CP271" s="106"/>
      <c r="CQ271" s="106"/>
    </row>
    <row r="272" spans="8:95" ht="14.25" customHeight="1">
      <c r="H272" s="102"/>
      <c r="I272" s="102"/>
      <c r="J272" s="102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6"/>
      <c r="CO272" s="106"/>
      <c r="CP272" s="106"/>
      <c r="CQ272" s="106"/>
    </row>
    <row r="273" spans="8:95" ht="14.25" customHeight="1">
      <c r="H273" s="102"/>
      <c r="I273" s="102"/>
      <c r="J273" s="102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  <c r="CJ273" s="106"/>
      <c r="CK273" s="106"/>
      <c r="CL273" s="106"/>
      <c r="CM273" s="106"/>
      <c r="CN273" s="106"/>
      <c r="CO273" s="106"/>
      <c r="CP273" s="106"/>
      <c r="CQ273" s="106"/>
    </row>
    <row r="274" spans="8:95" ht="14.25" customHeight="1">
      <c r="H274" s="102"/>
      <c r="I274" s="102"/>
      <c r="J274" s="102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  <c r="CJ274" s="106"/>
      <c r="CK274" s="106"/>
      <c r="CL274" s="106"/>
      <c r="CM274" s="106"/>
      <c r="CN274" s="106"/>
      <c r="CO274" s="106"/>
      <c r="CP274" s="106"/>
      <c r="CQ274" s="106"/>
    </row>
    <row r="275" spans="8:95" ht="14.25" customHeight="1">
      <c r="H275" s="102"/>
      <c r="I275" s="102"/>
      <c r="J275" s="102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  <c r="CJ275" s="106"/>
      <c r="CK275" s="106"/>
      <c r="CL275" s="106"/>
      <c r="CM275" s="106"/>
      <c r="CN275" s="106"/>
      <c r="CO275" s="106"/>
      <c r="CP275" s="106"/>
      <c r="CQ275" s="106"/>
    </row>
    <row r="276" spans="8:95" ht="14.25" customHeight="1">
      <c r="H276" s="102"/>
      <c r="I276" s="102"/>
      <c r="J276" s="102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  <c r="CJ276" s="106"/>
      <c r="CK276" s="106"/>
      <c r="CL276" s="106"/>
      <c r="CM276" s="106"/>
      <c r="CN276" s="106"/>
      <c r="CO276" s="106"/>
      <c r="CP276" s="106"/>
      <c r="CQ276" s="106"/>
    </row>
    <row r="277" spans="8:95" ht="14.25" customHeight="1">
      <c r="H277" s="102"/>
      <c r="I277" s="102"/>
      <c r="J277" s="102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  <c r="CJ277" s="106"/>
      <c r="CK277" s="106"/>
      <c r="CL277" s="106"/>
      <c r="CM277" s="106"/>
      <c r="CN277" s="106"/>
      <c r="CO277" s="106"/>
      <c r="CP277" s="106"/>
      <c r="CQ277" s="106"/>
    </row>
    <row r="278" spans="8:95" ht="14.25" customHeight="1">
      <c r="H278" s="102"/>
      <c r="I278" s="102"/>
      <c r="J278" s="102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  <c r="CJ278" s="106"/>
      <c r="CK278" s="106"/>
      <c r="CL278" s="106"/>
      <c r="CM278" s="106"/>
      <c r="CN278" s="106"/>
      <c r="CO278" s="106"/>
      <c r="CP278" s="106"/>
      <c r="CQ278" s="106"/>
    </row>
    <row r="279" spans="8:95" ht="14.25" customHeight="1">
      <c r="H279" s="102"/>
      <c r="I279" s="102"/>
      <c r="J279" s="102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  <c r="CJ279" s="106"/>
      <c r="CK279" s="106"/>
      <c r="CL279" s="106"/>
      <c r="CM279" s="106"/>
      <c r="CN279" s="106"/>
      <c r="CO279" s="106"/>
      <c r="CP279" s="106"/>
      <c r="CQ279" s="106"/>
    </row>
    <row r="280" spans="8:95" ht="14.25" customHeight="1">
      <c r="H280" s="102"/>
      <c r="I280" s="102"/>
      <c r="J280" s="102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  <c r="CJ280" s="106"/>
      <c r="CK280" s="106"/>
      <c r="CL280" s="106"/>
      <c r="CM280" s="106"/>
      <c r="CN280" s="106"/>
      <c r="CO280" s="106"/>
      <c r="CP280" s="106"/>
      <c r="CQ280" s="106"/>
    </row>
    <row r="281" spans="8:95" ht="14.25" customHeight="1">
      <c r="H281" s="102"/>
      <c r="I281" s="102"/>
      <c r="J281" s="102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  <c r="CJ281" s="106"/>
      <c r="CK281" s="106"/>
      <c r="CL281" s="106"/>
      <c r="CM281" s="106"/>
      <c r="CN281" s="106"/>
      <c r="CO281" s="106"/>
      <c r="CP281" s="106"/>
      <c r="CQ281" s="106"/>
    </row>
    <row r="282" spans="8:95" ht="14.25" customHeight="1">
      <c r="H282" s="102"/>
      <c r="I282" s="102"/>
      <c r="J282" s="102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  <c r="CJ282" s="106"/>
      <c r="CK282" s="106"/>
      <c r="CL282" s="106"/>
      <c r="CM282" s="106"/>
      <c r="CN282" s="106"/>
      <c r="CO282" s="106"/>
      <c r="CP282" s="106"/>
      <c r="CQ282" s="106"/>
    </row>
    <row r="283" spans="8:95" ht="14.25" customHeight="1">
      <c r="H283" s="102"/>
      <c r="I283" s="102"/>
      <c r="J283" s="102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  <c r="CJ283" s="106"/>
      <c r="CK283" s="106"/>
      <c r="CL283" s="106"/>
      <c r="CM283" s="106"/>
      <c r="CN283" s="106"/>
      <c r="CO283" s="106"/>
      <c r="CP283" s="106"/>
      <c r="CQ283" s="106"/>
    </row>
    <row r="284" spans="8:95" ht="14.25" customHeight="1">
      <c r="H284" s="102"/>
      <c r="I284" s="102"/>
      <c r="J284" s="102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  <c r="CJ284" s="106"/>
      <c r="CK284" s="106"/>
      <c r="CL284" s="106"/>
      <c r="CM284" s="106"/>
      <c r="CN284" s="106"/>
      <c r="CO284" s="106"/>
      <c r="CP284" s="106"/>
      <c r="CQ284" s="106"/>
    </row>
    <row r="285" spans="8:95" ht="14.25" customHeight="1">
      <c r="H285" s="102"/>
      <c r="I285" s="102"/>
      <c r="J285" s="102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  <c r="CJ285" s="106"/>
      <c r="CK285" s="106"/>
      <c r="CL285" s="106"/>
      <c r="CM285" s="106"/>
      <c r="CN285" s="106"/>
      <c r="CO285" s="106"/>
      <c r="CP285" s="106"/>
      <c r="CQ285" s="106"/>
    </row>
    <row r="286" spans="8:95" ht="14.25" customHeight="1">
      <c r="H286" s="102"/>
      <c r="I286" s="102"/>
      <c r="J286" s="102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</row>
    <row r="287" spans="8:95" ht="14.25" customHeight="1">
      <c r="H287" s="102"/>
      <c r="I287" s="102"/>
      <c r="J287" s="102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  <c r="CJ287" s="106"/>
      <c r="CK287" s="106"/>
      <c r="CL287" s="106"/>
      <c r="CM287" s="106"/>
      <c r="CN287" s="106"/>
      <c r="CO287" s="106"/>
      <c r="CP287" s="106"/>
      <c r="CQ287" s="106"/>
    </row>
    <row r="288" spans="8:95" ht="14.25" customHeight="1">
      <c r="H288" s="102"/>
      <c r="I288" s="102"/>
      <c r="J288" s="102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</row>
    <row r="289" spans="8:95" ht="14.25" customHeight="1">
      <c r="H289" s="102"/>
      <c r="I289" s="102"/>
      <c r="J289" s="102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  <c r="CJ289" s="106"/>
      <c r="CK289" s="106"/>
      <c r="CL289" s="106"/>
      <c r="CM289" s="106"/>
      <c r="CN289" s="106"/>
      <c r="CO289" s="106"/>
      <c r="CP289" s="106"/>
      <c r="CQ289" s="106"/>
    </row>
    <row r="290" spans="8:95" ht="14.25" customHeight="1">
      <c r="H290" s="102"/>
      <c r="I290" s="102"/>
      <c r="J290" s="102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  <c r="CJ290" s="106"/>
      <c r="CK290" s="106"/>
      <c r="CL290" s="106"/>
      <c r="CM290" s="106"/>
      <c r="CN290" s="106"/>
      <c r="CO290" s="106"/>
      <c r="CP290" s="106"/>
      <c r="CQ290" s="106"/>
    </row>
    <row r="291" spans="8:95" ht="14.25" customHeight="1">
      <c r="H291" s="102"/>
      <c r="I291" s="102"/>
      <c r="J291" s="102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  <c r="CJ291" s="106"/>
      <c r="CK291" s="106"/>
      <c r="CL291" s="106"/>
      <c r="CM291" s="106"/>
      <c r="CN291" s="106"/>
      <c r="CO291" s="106"/>
      <c r="CP291" s="106"/>
      <c r="CQ291" s="106"/>
    </row>
    <row r="292" spans="8:95" ht="14.25" customHeight="1">
      <c r="H292" s="102"/>
      <c r="I292" s="102"/>
      <c r="J292" s="102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  <c r="CJ292" s="106"/>
      <c r="CK292" s="106"/>
      <c r="CL292" s="106"/>
      <c r="CM292" s="106"/>
      <c r="CN292" s="106"/>
      <c r="CO292" s="106"/>
      <c r="CP292" s="106"/>
      <c r="CQ292" s="106"/>
    </row>
    <row r="293" spans="8:95" ht="14.25" customHeight="1">
      <c r="H293" s="102"/>
      <c r="I293" s="102"/>
      <c r="J293" s="102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106"/>
      <c r="CM293" s="106"/>
      <c r="CN293" s="106"/>
      <c r="CO293" s="106"/>
      <c r="CP293" s="106"/>
      <c r="CQ293" s="106"/>
    </row>
    <row r="294" spans="8:95" ht="14.25" customHeight="1">
      <c r="H294" s="102"/>
      <c r="I294" s="102"/>
      <c r="J294" s="102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  <c r="CJ294" s="106"/>
      <c r="CK294" s="106"/>
      <c r="CL294" s="106"/>
      <c r="CM294" s="106"/>
      <c r="CN294" s="106"/>
      <c r="CO294" s="106"/>
      <c r="CP294" s="106"/>
      <c r="CQ294" s="106"/>
    </row>
    <row r="295" spans="8:95" ht="14.25" customHeight="1">
      <c r="H295" s="102"/>
      <c r="I295" s="102"/>
      <c r="J295" s="102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  <c r="CJ295" s="106"/>
      <c r="CK295" s="106"/>
      <c r="CL295" s="106"/>
      <c r="CM295" s="106"/>
      <c r="CN295" s="106"/>
      <c r="CO295" s="106"/>
      <c r="CP295" s="106"/>
      <c r="CQ295" s="106"/>
    </row>
    <row r="296" spans="8:95" ht="14.25" customHeight="1">
      <c r="H296" s="102"/>
      <c r="I296" s="102"/>
      <c r="J296" s="102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  <c r="CJ296" s="106"/>
      <c r="CK296" s="106"/>
      <c r="CL296" s="106"/>
      <c r="CM296" s="106"/>
      <c r="CN296" s="106"/>
      <c r="CO296" s="106"/>
      <c r="CP296" s="106"/>
      <c r="CQ296" s="106"/>
    </row>
    <row r="297" spans="8:95" ht="14.25" customHeight="1">
      <c r="H297" s="102"/>
      <c r="I297" s="102"/>
      <c r="J297" s="102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  <c r="CJ297" s="106"/>
      <c r="CK297" s="106"/>
      <c r="CL297" s="106"/>
      <c r="CM297" s="106"/>
      <c r="CN297" s="106"/>
      <c r="CO297" s="106"/>
      <c r="CP297" s="106"/>
      <c r="CQ297" s="106"/>
    </row>
    <row r="298" spans="8:95" ht="14.25" customHeight="1">
      <c r="H298" s="102"/>
      <c r="I298" s="102"/>
      <c r="J298" s="102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  <c r="CJ298" s="106"/>
      <c r="CK298" s="106"/>
      <c r="CL298" s="106"/>
      <c r="CM298" s="106"/>
      <c r="CN298" s="106"/>
      <c r="CO298" s="106"/>
      <c r="CP298" s="106"/>
      <c r="CQ298" s="106"/>
    </row>
    <row r="299" spans="8:95" ht="14.25" customHeight="1">
      <c r="H299" s="102"/>
      <c r="I299" s="102"/>
      <c r="J299" s="102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  <c r="CJ299" s="106"/>
      <c r="CK299" s="106"/>
      <c r="CL299" s="106"/>
      <c r="CM299" s="106"/>
      <c r="CN299" s="106"/>
      <c r="CO299" s="106"/>
      <c r="CP299" s="106"/>
      <c r="CQ299" s="106"/>
    </row>
    <row r="300" spans="8:95" ht="14.25" customHeight="1">
      <c r="H300" s="102"/>
      <c r="I300" s="102"/>
      <c r="J300" s="102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  <c r="CJ300" s="106"/>
      <c r="CK300" s="106"/>
      <c r="CL300" s="106"/>
      <c r="CM300" s="106"/>
      <c r="CN300" s="106"/>
      <c r="CO300" s="106"/>
      <c r="CP300" s="106"/>
      <c r="CQ300" s="106"/>
    </row>
    <row r="301" spans="8:95" ht="14.25" customHeight="1">
      <c r="H301" s="102"/>
      <c r="I301" s="102"/>
      <c r="J301" s="102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  <c r="CJ301" s="106"/>
      <c r="CK301" s="106"/>
      <c r="CL301" s="106"/>
      <c r="CM301" s="106"/>
      <c r="CN301" s="106"/>
      <c r="CO301" s="106"/>
      <c r="CP301" s="106"/>
      <c r="CQ301" s="106"/>
    </row>
    <row r="302" spans="8:95" ht="14.25" customHeight="1">
      <c r="H302" s="102"/>
      <c r="I302" s="102"/>
      <c r="J302" s="102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  <c r="CJ302" s="106"/>
      <c r="CK302" s="106"/>
      <c r="CL302" s="106"/>
      <c r="CM302" s="106"/>
      <c r="CN302" s="106"/>
      <c r="CO302" s="106"/>
      <c r="CP302" s="106"/>
      <c r="CQ302" s="106"/>
    </row>
    <row r="303" spans="8:95" ht="14.25" customHeight="1">
      <c r="H303" s="102"/>
      <c r="I303" s="102"/>
      <c r="J303" s="102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  <c r="CJ303" s="106"/>
      <c r="CK303" s="106"/>
      <c r="CL303" s="106"/>
      <c r="CM303" s="106"/>
      <c r="CN303" s="106"/>
      <c r="CO303" s="106"/>
      <c r="CP303" s="106"/>
      <c r="CQ303" s="106"/>
    </row>
    <row r="304" spans="8:95" ht="14.25" customHeight="1">
      <c r="H304" s="102"/>
      <c r="I304" s="102"/>
      <c r="J304" s="102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  <c r="CJ304" s="106"/>
      <c r="CK304" s="106"/>
      <c r="CL304" s="106"/>
      <c r="CM304" s="106"/>
      <c r="CN304" s="106"/>
      <c r="CO304" s="106"/>
      <c r="CP304" s="106"/>
      <c r="CQ304" s="106"/>
    </row>
    <row r="305" spans="8:95" ht="14.25" customHeight="1">
      <c r="H305" s="102"/>
      <c r="I305" s="102"/>
      <c r="J305" s="102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  <c r="CJ305" s="106"/>
      <c r="CK305" s="106"/>
      <c r="CL305" s="106"/>
      <c r="CM305" s="106"/>
      <c r="CN305" s="106"/>
      <c r="CO305" s="106"/>
      <c r="CP305" s="106"/>
      <c r="CQ305" s="106"/>
    </row>
    <row r="306" spans="8:95" ht="14.25" customHeight="1">
      <c r="H306" s="102"/>
      <c r="I306" s="102"/>
      <c r="J306" s="102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  <c r="CJ306" s="106"/>
      <c r="CK306" s="106"/>
      <c r="CL306" s="106"/>
      <c r="CM306" s="106"/>
      <c r="CN306" s="106"/>
      <c r="CO306" s="106"/>
      <c r="CP306" s="106"/>
      <c r="CQ306" s="106"/>
    </row>
    <row r="307" spans="8:95" ht="14.25" customHeight="1">
      <c r="H307" s="102"/>
      <c r="I307" s="102"/>
      <c r="J307" s="102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  <c r="CJ307" s="106"/>
      <c r="CK307" s="106"/>
      <c r="CL307" s="106"/>
      <c r="CM307" s="106"/>
      <c r="CN307" s="106"/>
      <c r="CO307" s="106"/>
      <c r="CP307" s="106"/>
      <c r="CQ307" s="106"/>
    </row>
    <row r="308" spans="8:95" ht="14.25" customHeight="1">
      <c r="H308" s="102"/>
      <c r="I308" s="102"/>
      <c r="J308" s="102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  <c r="CJ308" s="106"/>
      <c r="CK308" s="106"/>
      <c r="CL308" s="106"/>
      <c r="CM308" s="106"/>
      <c r="CN308" s="106"/>
      <c r="CO308" s="106"/>
      <c r="CP308" s="106"/>
      <c r="CQ308" s="106"/>
    </row>
    <row r="309" spans="8:95" ht="14.25" customHeight="1">
      <c r="H309" s="102"/>
      <c r="I309" s="102"/>
      <c r="J309" s="102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  <c r="CJ309" s="106"/>
      <c r="CK309" s="106"/>
      <c r="CL309" s="106"/>
      <c r="CM309" s="106"/>
      <c r="CN309" s="106"/>
      <c r="CO309" s="106"/>
      <c r="CP309" s="106"/>
      <c r="CQ309" s="106"/>
    </row>
    <row r="310" spans="8:95" ht="14.25" customHeight="1">
      <c r="H310" s="102"/>
      <c r="I310" s="102"/>
      <c r="J310" s="102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  <c r="CJ310" s="106"/>
      <c r="CK310" s="106"/>
      <c r="CL310" s="106"/>
      <c r="CM310" s="106"/>
      <c r="CN310" s="106"/>
      <c r="CO310" s="106"/>
      <c r="CP310" s="106"/>
      <c r="CQ310" s="106"/>
    </row>
    <row r="311" spans="8:95" ht="14.25" customHeight="1">
      <c r="H311" s="102"/>
      <c r="I311" s="102"/>
      <c r="J311" s="102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  <c r="CJ311" s="106"/>
      <c r="CK311" s="106"/>
      <c r="CL311" s="106"/>
      <c r="CM311" s="106"/>
      <c r="CN311" s="106"/>
      <c r="CO311" s="106"/>
      <c r="CP311" s="106"/>
      <c r="CQ311" s="106"/>
    </row>
    <row r="312" spans="8:95" ht="14.25" customHeight="1">
      <c r="H312" s="102"/>
      <c r="I312" s="102"/>
      <c r="J312" s="102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  <c r="CJ312" s="106"/>
      <c r="CK312" s="106"/>
      <c r="CL312" s="106"/>
      <c r="CM312" s="106"/>
      <c r="CN312" s="106"/>
      <c r="CO312" s="106"/>
      <c r="CP312" s="106"/>
      <c r="CQ312" s="106"/>
    </row>
    <row r="313" spans="8:95" ht="14.25" customHeight="1">
      <c r="H313" s="102"/>
      <c r="I313" s="102"/>
      <c r="J313" s="102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  <c r="CJ313" s="106"/>
      <c r="CK313" s="106"/>
      <c r="CL313" s="106"/>
      <c r="CM313" s="106"/>
      <c r="CN313" s="106"/>
      <c r="CO313" s="106"/>
      <c r="CP313" s="106"/>
      <c r="CQ313" s="106"/>
    </row>
    <row r="314" spans="8:95" ht="14.25" customHeight="1">
      <c r="H314" s="102"/>
      <c r="I314" s="102"/>
      <c r="J314" s="102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  <c r="CJ314" s="106"/>
      <c r="CK314" s="106"/>
      <c r="CL314" s="106"/>
      <c r="CM314" s="106"/>
      <c r="CN314" s="106"/>
      <c r="CO314" s="106"/>
      <c r="CP314" s="106"/>
      <c r="CQ314" s="106"/>
    </row>
    <row r="315" spans="8:95" ht="14.25" customHeight="1">
      <c r="H315" s="102"/>
      <c r="I315" s="102"/>
      <c r="J315" s="102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  <c r="CJ315" s="106"/>
      <c r="CK315" s="106"/>
      <c r="CL315" s="106"/>
      <c r="CM315" s="106"/>
      <c r="CN315" s="106"/>
      <c r="CO315" s="106"/>
      <c r="CP315" s="106"/>
      <c r="CQ315" s="106"/>
    </row>
    <row r="316" spans="8:95" ht="14.25" customHeight="1">
      <c r="H316" s="102"/>
      <c r="I316" s="102"/>
      <c r="J316" s="102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  <c r="CJ316" s="106"/>
      <c r="CK316" s="106"/>
      <c r="CL316" s="106"/>
      <c r="CM316" s="106"/>
      <c r="CN316" s="106"/>
      <c r="CO316" s="106"/>
      <c r="CP316" s="106"/>
      <c r="CQ316" s="106"/>
    </row>
    <row r="317" spans="8:95" ht="14.25" customHeight="1">
      <c r="H317" s="102"/>
      <c r="I317" s="102"/>
      <c r="J317" s="102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  <c r="CJ317" s="106"/>
      <c r="CK317" s="106"/>
      <c r="CL317" s="106"/>
      <c r="CM317" s="106"/>
      <c r="CN317" s="106"/>
      <c r="CO317" s="106"/>
      <c r="CP317" s="106"/>
      <c r="CQ317" s="106"/>
    </row>
    <row r="318" spans="8:95" ht="14.25" customHeight="1">
      <c r="H318" s="102"/>
      <c r="I318" s="102"/>
      <c r="J318" s="102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  <c r="CJ318" s="106"/>
      <c r="CK318" s="106"/>
      <c r="CL318" s="106"/>
      <c r="CM318" s="106"/>
      <c r="CN318" s="106"/>
      <c r="CO318" s="106"/>
      <c r="CP318" s="106"/>
      <c r="CQ318" s="106"/>
    </row>
    <row r="319" spans="8:95" ht="14.25" customHeight="1">
      <c r="H319" s="102"/>
      <c r="I319" s="102"/>
      <c r="J319" s="102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</row>
    <row r="320" spans="8:95" ht="14.25" customHeight="1">
      <c r="H320" s="102"/>
      <c r="I320" s="102"/>
      <c r="J320" s="102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  <c r="CJ320" s="106"/>
      <c r="CK320" s="106"/>
      <c r="CL320" s="106"/>
      <c r="CM320" s="106"/>
      <c r="CN320" s="106"/>
      <c r="CO320" s="106"/>
      <c r="CP320" s="106"/>
      <c r="CQ320" s="106"/>
    </row>
    <row r="321" spans="8:95" ht="14.25" customHeight="1">
      <c r="H321" s="102"/>
      <c r="I321" s="102"/>
      <c r="J321" s="102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  <c r="CJ321" s="106"/>
      <c r="CK321" s="106"/>
      <c r="CL321" s="106"/>
      <c r="CM321" s="106"/>
      <c r="CN321" s="106"/>
      <c r="CO321" s="106"/>
      <c r="CP321" s="106"/>
      <c r="CQ321" s="106"/>
    </row>
    <row r="322" spans="8:95" ht="14.25" customHeight="1">
      <c r="H322" s="102"/>
      <c r="I322" s="102"/>
      <c r="J322" s="102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  <c r="CJ322" s="106"/>
      <c r="CK322" s="106"/>
      <c r="CL322" s="106"/>
      <c r="CM322" s="106"/>
      <c r="CN322" s="106"/>
      <c r="CO322" s="106"/>
      <c r="CP322" s="106"/>
      <c r="CQ322" s="106"/>
    </row>
    <row r="323" spans="8:95" ht="14.25" customHeight="1">
      <c r="H323" s="102"/>
      <c r="I323" s="102"/>
      <c r="J323" s="102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  <c r="CJ323" s="106"/>
      <c r="CK323" s="106"/>
      <c r="CL323" s="106"/>
      <c r="CM323" s="106"/>
      <c r="CN323" s="106"/>
      <c r="CO323" s="106"/>
      <c r="CP323" s="106"/>
      <c r="CQ323" s="106"/>
    </row>
    <row r="324" spans="8:95" ht="14.25" customHeight="1">
      <c r="H324" s="102"/>
      <c r="I324" s="102"/>
      <c r="J324" s="102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  <c r="CJ324" s="106"/>
      <c r="CK324" s="106"/>
      <c r="CL324" s="106"/>
      <c r="CM324" s="106"/>
      <c r="CN324" s="106"/>
      <c r="CO324" s="106"/>
      <c r="CP324" s="106"/>
      <c r="CQ324" s="106"/>
    </row>
    <row r="325" spans="8:95" ht="14.25" customHeight="1">
      <c r="H325" s="102"/>
      <c r="I325" s="102"/>
      <c r="J325" s="102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  <c r="CJ325" s="106"/>
      <c r="CK325" s="106"/>
      <c r="CL325" s="106"/>
      <c r="CM325" s="106"/>
      <c r="CN325" s="106"/>
      <c r="CO325" s="106"/>
      <c r="CP325" s="106"/>
      <c r="CQ325" s="106"/>
    </row>
    <row r="326" spans="8:95" ht="14.25" customHeight="1">
      <c r="H326" s="102"/>
      <c r="I326" s="102"/>
      <c r="J326" s="102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  <c r="CJ326" s="106"/>
      <c r="CK326" s="106"/>
      <c r="CL326" s="106"/>
      <c r="CM326" s="106"/>
      <c r="CN326" s="106"/>
      <c r="CO326" s="106"/>
      <c r="CP326" s="106"/>
      <c r="CQ326" s="106"/>
    </row>
    <row r="327" spans="8:95" ht="14.25" customHeight="1">
      <c r="H327" s="102"/>
      <c r="I327" s="102"/>
      <c r="J327" s="102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  <c r="CJ327" s="106"/>
      <c r="CK327" s="106"/>
      <c r="CL327" s="106"/>
      <c r="CM327" s="106"/>
      <c r="CN327" s="106"/>
      <c r="CO327" s="106"/>
      <c r="CP327" s="106"/>
      <c r="CQ327" s="106"/>
    </row>
    <row r="328" spans="8:95" ht="14.25" customHeight="1">
      <c r="H328" s="102"/>
      <c r="I328" s="102"/>
      <c r="J328" s="102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  <c r="CJ328" s="106"/>
      <c r="CK328" s="106"/>
      <c r="CL328" s="106"/>
      <c r="CM328" s="106"/>
      <c r="CN328" s="106"/>
      <c r="CO328" s="106"/>
      <c r="CP328" s="106"/>
      <c r="CQ328" s="106"/>
    </row>
    <row r="329" spans="8:95" ht="14.25" customHeight="1">
      <c r="H329" s="102"/>
      <c r="I329" s="102"/>
      <c r="J329" s="102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  <c r="CJ329" s="106"/>
      <c r="CK329" s="106"/>
      <c r="CL329" s="106"/>
      <c r="CM329" s="106"/>
      <c r="CN329" s="106"/>
      <c r="CO329" s="106"/>
      <c r="CP329" s="106"/>
      <c r="CQ329" s="106"/>
    </row>
    <row r="330" spans="8:95" ht="14.25" customHeight="1">
      <c r="H330" s="102"/>
      <c r="I330" s="102"/>
      <c r="J330" s="102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  <c r="CJ330" s="106"/>
      <c r="CK330" s="106"/>
      <c r="CL330" s="106"/>
      <c r="CM330" s="106"/>
      <c r="CN330" s="106"/>
      <c r="CO330" s="106"/>
      <c r="CP330" s="106"/>
      <c r="CQ330" s="106"/>
    </row>
    <row r="331" spans="8:95" ht="14.25" customHeight="1">
      <c r="H331" s="102"/>
      <c r="I331" s="102"/>
      <c r="J331" s="102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  <c r="CJ331" s="106"/>
      <c r="CK331" s="106"/>
      <c r="CL331" s="106"/>
      <c r="CM331" s="106"/>
      <c r="CN331" s="106"/>
      <c r="CO331" s="106"/>
      <c r="CP331" s="106"/>
      <c r="CQ331" s="106"/>
    </row>
    <row r="332" spans="8:95" ht="14.25" customHeight="1">
      <c r="H332" s="102"/>
      <c r="I332" s="102"/>
      <c r="J332" s="102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  <c r="CJ332" s="106"/>
      <c r="CK332" s="106"/>
      <c r="CL332" s="106"/>
      <c r="CM332" s="106"/>
      <c r="CN332" s="106"/>
      <c r="CO332" s="106"/>
      <c r="CP332" s="106"/>
      <c r="CQ332" s="106"/>
    </row>
    <row r="333" spans="8:95" ht="14.25" customHeight="1">
      <c r="H333" s="102"/>
      <c r="I333" s="102"/>
      <c r="J333" s="102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  <c r="CJ333" s="106"/>
      <c r="CK333" s="106"/>
      <c r="CL333" s="106"/>
      <c r="CM333" s="106"/>
      <c r="CN333" s="106"/>
      <c r="CO333" s="106"/>
      <c r="CP333" s="106"/>
      <c r="CQ333" s="106"/>
    </row>
    <row r="334" spans="8:95" ht="14.25" customHeight="1">
      <c r="H334" s="102"/>
      <c r="I334" s="102"/>
      <c r="J334" s="102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  <c r="CJ334" s="106"/>
      <c r="CK334" s="106"/>
      <c r="CL334" s="106"/>
      <c r="CM334" s="106"/>
      <c r="CN334" s="106"/>
      <c r="CO334" s="106"/>
      <c r="CP334" s="106"/>
      <c r="CQ334" s="106"/>
    </row>
    <row r="335" spans="8:95" ht="14.25" customHeight="1">
      <c r="H335" s="102"/>
      <c r="I335" s="102"/>
      <c r="J335" s="102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  <c r="CJ335" s="106"/>
      <c r="CK335" s="106"/>
      <c r="CL335" s="106"/>
      <c r="CM335" s="106"/>
      <c r="CN335" s="106"/>
      <c r="CO335" s="106"/>
      <c r="CP335" s="106"/>
      <c r="CQ335" s="106"/>
    </row>
    <row r="336" spans="8:95" ht="14.25" customHeight="1">
      <c r="H336" s="102"/>
      <c r="I336" s="102"/>
      <c r="J336" s="102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  <c r="CJ336" s="106"/>
      <c r="CK336" s="106"/>
      <c r="CL336" s="106"/>
      <c r="CM336" s="106"/>
      <c r="CN336" s="106"/>
      <c r="CO336" s="106"/>
      <c r="CP336" s="106"/>
      <c r="CQ336" s="106"/>
    </row>
    <row r="337" spans="8:95" ht="14.25" customHeight="1">
      <c r="H337" s="102"/>
      <c r="I337" s="102"/>
      <c r="J337" s="102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  <c r="CJ337" s="106"/>
      <c r="CK337" s="106"/>
      <c r="CL337" s="106"/>
      <c r="CM337" s="106"/>
      <c r="CN337" s="106"/>
      <c r="CO337" s="106"/>
      <c r="CP337" s="106"/>
      <c r="CQ337" s="106"/>
    </row>
    <row r="338" spans="8:95" ht="14.25" customHeight="1">
      <c r="H338" s="102"/>
      <c r="I338" s="102"/>
      <c r="J338" s="102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  <c r="CJ338" s="106"/>
      <c r="CK338" s="106"/>
      <c r="CL338" s="106"/>
      <c r="CM338" s="106"/>
      <c r="CN338" s="106"/>
      <c r="CO338" s="106"/>
      <c r="CP338" s="106"/>
      <c r="CQ338" s="106"/>
    </row>
    <row r="339" spans="8:95" ht="14.25" customHeight="1">
      <c r="H339" s="102"/>
      <c r="I339" s="102"/>
      <c r="J339" s="102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  <c r="CJ339" s="106"/>
      <c r="CK339" s="106"/>
      <c r="CL339" s="106"/>
      <c r="CM339" s="106"/>
      <c r="CN339" s="106"/>
      <c r="CO339" s="106"/>
      <c r="CP339" s="106"/>
      <c r="CQ339" s="106"/>
    </row>
    <row r="340" spans="8:95" ht="14.25" customHeight="1">
      <c r="H340" s="102"/>
      <c r="I340" s="102"/>
      <c r="J340" s="102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  <c r="CJ340" s="106"/>
      <c r="CK340" s="106"/>
      <c r="CL340" s="106"/>
      <c r="CM340" s="106"/>
      <c r="CN340" s="106"/>
      <c r="CO340" s="106"/>
      <c r="CP340" s="106"/>
      <c r="CQ340" s="106"/>
    </row>
    <row r="341" spans="8:95" ht="14.25" customHeight="1">
      <c r="H341" s="102"/>
      <c r="I341" s="102"/>
      <c r="J341" s="102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  <c r="CJ341" s="106"/>
      <c r="CK341" s="106"/>
      <c r="CL341" s="106"/>
      <c r="CM341" s="106"/>
      <c r="CN341" s="106"/>
      <c r="CO341" s="106"/>
      <c r="CP341" s="106"/>
      <c r="CQ341" s="106"/>
    </row>
    <row r="342" spans="8:95" ht="14.25" customHeight="1">
      <c r="H342" s="102"/>
      <c r="I342" s="102"/>
      <c r="J342" s="102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  <c r="CJ342" s="106"/>
      <c r="CK342" s="106"/>
      <c r="CL342" s="106"/>
      <c r="CM342" s="106"/>
      <c r="CN342" s="106"/>
      <c r="CO342" s="106"/>
      <c r="CP342" s="106"/>
      <c r="CQ342" s="106"/>
    </row>
    <row r="343" spans="8:95" ht="14.25" customHeight="1">
      <c r="H343" s="102"/>
      <c r="I343" s="102"/>
      <c r="J343" s="102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  <c r="CJ343" s="106"/>
      <c r="CK343" s="106"/>
      <c r="CL343" s="106"/>
      <c r="CM343" s="106"/>
      <c r="CN343" s="106"/>
      <c r="CO343" s="106"/>
      <c r="CP343" s="106"/>
      <c r="CQ343" s="106"/>
    </row>
    <row r="344" spans="8:95" ht="14.25" customHeight="1">
      <c r="H344" s="102"/>
      <c r="I344" s="102"/>
      <c r="J344" s="102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  <c r="CJ344" s="106"/>
      <c r="CK344" s="106"/>
      <c r="CL344" s="106"/>
      <c r="CM344" s="106"/>
      <c r="CN344" s="106"/>
      <c r="CO344" s="106"/>
      <c r="CP344" s="106"/>
      <c r="CQ344" s="106"/>
    </row>
    <row r="345" spans="8:95" ht="14.25" customHeight="1">
      <c r="H345" s="102"/>
      <c r="I345" s="102"/>
      <c r="J345" s="102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  <c r="CJ345" s="106"/>
      <c r="CK345" s="106"/>
      <c r="CL345" s="106"/>
      <c r="CM345" s="106"/>
      <c r="CN345" s="106"/>
      <c r="CO345" s="106"/>
      <c r="CP345" s="106"/>
      <c r="CQ345" s="106"/>
    </row>
    <row r="346" spans="8:95" ht="14.25" customHeight="1">
      <c r="H346" s="102"/>
      <c r="I346" s="102"/>
      <c r="J346" s="102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  <c r="CJ346" s="106"/>
      <c r="CK346" s="106"/>
      <c r="CL346" s="106"/>
      <c r="CM346" s="106"/>
      <c r="CN346" s="106"/>
      <c r="CO346" s="106"/>
      <c r="CP346" s="106"/>
      <c r="CQ346" s="106"/>
    </row>
    <row r="347" spans="8:95" ht="14.25" customHeight="1">
      <c r="H347" s="102"/>
      <c r="I347" s="102"/>
      <c r="J347" s="102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  <c r="CJ347" s="106"/>
      <c r="CK347" s="106"/>
      <c r="CL347" s="106"/>
      <c r="CM347" s="106"/>
      <c r="CN347" s="106"/>
      <c r="CO347" s="106"/>
      <c r="CP347" s="106"/>
      <c r="CQ347" s="106"/>
    </row>
    <row r="348" spans="8:95" ht="14.25" customHeight="1">
      <c r="H348" s="102"/>
      <c r="I348" s="102"/>
      <c r="J348" s="102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  <c r="CJ348" s="106"/>
      <c r="CK348" s="106"/>
      <c r="CL348" s="106"/>
      <c r="CM348" s="106"/>
      <c r="CN348" s="106"/>
      <c r="CO348" s="106"/>
      <c r="CP348" s="106"/>
      <c r="CQ348" s="106"/>
    </row>
    <row r="349" spans="8:95" ht="14.25" customHeight="1">
      <c r="H349" s="102"/>
      <c r="I349" s="102"/>
      <c r="J349" s="102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  <c r="CJ349" s="106"/>
      <c r="CK349" s="106"/>
      <c r="CL349" s="106"/>
      <c r="CM349" s="106"/>
      <c r="CN349" s="106"/>
      <c r="CO349" s="106"/>
      <c r="CP349" s="106"/>
      <c r="CQ349" s="106"/>
    </row>
    <row r="350" spans="8:95" ht="14.25" customHeight="1">
      <c r="H350" s="102"/>
      <c r="I350" s="102"/>
      <c r="J350" s="102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  <c r="CJ350" s="106"/>
      <c r="CK350" s="106"/>
      <c r="CL350" s="106"/>
      <c r="CM350" s="106"/>
      <c r="CN350" s="106"/>
      <c r="CO350" s="106"/>
      <c r="CP350" s="106"/>
      <c r="CQ350" s="106"/>
    </row>
    <row r="351" spans="8:95" ht="14.25" customHeight="1">
      <c r="H351" s="102"/>
      <c r="I351" s="102"/>
      <c r="J351" s="102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  <c r="CJ351" s="106"/>
      <c r="CK351" s="106"/>
      <c r="CL351" s="106"/>
      <c r="CM351" s="106"/>
      <c r="CN351" s="106"/>
      <c r="CO351" s="106"/>
      <c r="CP351" s="106"/>
      <c r="CQ351" s="106"/>
    </row>
    <row r="352" spans="8:95" ht="14.25" customHeight="1">
      <c r="H352" s="102"/>
      <c r="I352" s="102"/>
      <c r="J352" s="102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  <c r="CJ352" s="106"/>
      <c r="CK352" s="106"/>
      <c r="CL352" s="106"/>
      <c r="CM352" s="106"/>
      <c r="CN352" s="106"/>
      <c r="CO352" s="106"/>
      <c r="CP352" s="106"/>
      <c r="CQ352" s="106"/>
    </row>
    <row r="353" spans="8:95" ht="14.25" customHeight="1">
      <c r="H353" s="102"/>
      <c r="I353" s="102"/>
      <c r="J353" s="102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</row>
    <row r="354" spans="8:95" ht="14.25" customHeight="1">
      <c r="H354" s="102"/>
      <c r="I354" s="102"/>
      <c r="J354" s="102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  <c r="CJ354" s="106"/>
      <c r="CK354" s="106"/>
      <c r="CL354" s="106"/>
      <c r="CM354" s="106"/>
      <c r="CN354" s="106"/>
      <c r="CO354" s="106"/>
      <c r="CP354" s="106"/>
      <c r="CQ354" s="106"/>
    </row>
    <row r="355" spans="8:95" ht="14.25" customHeight="1">
      <c r="H355" s="102"/>
      <c r="I355" s="102"/>
      <c r="J355" s="102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</row>
    <row r="356" spans="8:95" ht="14.25" customHeight="1">
      <c r="H356" s="102"/>
      <c r="I356" s="102"/>
      <c r="J356" s="102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</row>
    <row r="357" spans="8:95" ht="14.25" customHeight="1">
      <c r="H357" s="102"/>
      <c r="I357" s="102"/>
      <c r="J357" s="102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</row>
    <row r="358" spans="8:95" ht="14.25" customHeight="1">
      <c r="H358" s="102"/>
      <c r="I358" s="102"/>
      <c r="J358" s="102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</row>
    <row r="359" spans="8:95" ht="14.25" customHeight="1">
      <c r="H359" s="102"/>
      <c r="I359" s="102"/>
      <c r="J359" s="102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</row>
    <row r="360" spans="8:95" ht="14.25" customHeight="1">
      <c r="H360" s="102"/>
      <c r="I360" s="102"/>
      <c r="J360" s="102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</row>
    <row r="361" spans="8:95" ht="14.25" customHeight="1">
      <c r="H361" s="102"/>
      <c r="I361" s="102"/>
      <c r="J361" s="102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</row>
    <row r="362" spans="8:95" ht="14.25" customHeight="1">
      <c r="H362" s="102"/>
      <c r="I362" s="102"/>
      <c r="J362" s="102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</row>
    <row r="363" spans="8:95" ht="14.25" customHeight="1">
      <c r="H363" s="102"/>
      <c r="I363" s="102"/>
      <c r="J363" s="102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  <c r="CJ363" s="106"/>
      <c r="CK363" s="106"/>
      <c r="CL363" s="106"/>
      <c r="CM363" s="106"/>
      <c r="CN363" s="106"/>
      <c r="CO363" s="106"/>
      <c r="CP363" s="106"/>
      <c r="CQ363" s="106"/>
    </row>
    <row r="364" spans="8:95" ht="14.25" customHeight="1">
      <c r="H364" s="102"/>
      <c r="I364" s="102"/>
      <c r="J364" s="102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  <c r="CJ364" s="106"/>
      <c r="CK364" s="106"/>
      <c r="CL364" s="106"/>
      <c r="CM364" s="106"/>
      <c r="CN364" s="106"/>
      <c r="CO364" s="106"/>
      <c r="CP364" s="106"/>
      <c r="CQ364" s="106"/>
    </row>
    <row r="365" spans="8:95" ht="14.25" customHeight="1">
      <c r="H365" s="102"/>
      <c r="I365" s="102"/>
      <c r="J365" s="102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  <c r="CJ365" s="106"/>
      <c r="CK365" s="106"/>
      <c r="CL365" s="106"/>
      <c r="CM365" s="106"/>
      <c r="CN365" s="106"/>
      <c r="CO365" s="106"/>
      <c r="CP365" s="106"/>
      <c r="CQ365" s="106"/>
    </row>
    <row r="366" spans="8:95" ht="14.25" customHeight="1">
      <c r="H366" s="102"/>
      <c r="I366" s="102"/>
      <c r="J366" s="102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</row>
    <row r="367" spans="8:95" ht="14.25" customHeight="1">
      <c r="H367" s="102"/>
      <c r="I367" s="102"/>
      <c r="J367" s="102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  <c r="CJ367" s="106"/>
      <c r="CK367" s="106"/>
      <c r="CL367" s="106"/>
      <c r="CM367" s="106"/>
      <c r="CN367" s="106"/>
      <c r="CO367" s="106"/>
      <c r="CP367" s="106"/>
      <c r="CQ367" s="106"/>
    </row>
    <row r="368" spans="8:95" ht="14.25" customHeight="1">
      <c r="H368" s="102"/>
      <c r="I368" s="102"/>
      <c r="J368" s="102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  <c r="CJ368" s="106"/>
      <c r="CK368" s="106"/>
      <c r="CL368" s="106"/>
      <c r="CM368" s="106"/>
      <c r="CN368" s="106"/>
      <c r="CO368" s="106"/>
      <c r="CP368" s="106"/>
      <c r="CQ368" s="106"/>
    </row>
    <row r="369" spans="8:95" ht="14.25" customHeight="1">
      <c r="H369" s="102"/>
      <c r="I369" s="102"/>
      <c r="J369" s="102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  <c r="CJ369" s="106"/>
      <c r="CK369" s="106"/>
      <c r="CL369" s="106"/>
      <c r="CM369" s="106"/>
      <c r="CN369" s="106"/>
      <c r="CO369" s="106"/>
      <c r="CP369" s="106"/>
      <c r="CQ369" s="106"/>
    </row>
    <row r="370" spans="8:95" ht="14.25" customHeight="1">
      <c r="H370" s="102"/>
      <c r="I370" s="102"/>
      <c r="J370" s="102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  <c r="CJ370" s="106"/>
      <c r="CK370" s="106"/>
      <c r="CL370" s="106"/>
      <c r="CM370" s="106"/>
      <c r="CN370" s="106"/>
      <c r="CO370" s="106"/>
      <c r="CP370" s="106"/>
      <c r="CQ370" s="106"/>
    </row>
    <row r="371" spans="8:95" ht="14.25" customHeight="1">
      <c r="H371" s="102"/>
      <c r="I371" s="102"/>
      <c r="J371" s="102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  <c r="CJ371" s="106"/>
      <c r="CK371" s="106"/>
      <c r="CL371" s="106"/>
      <c r="CM371" s="106"/>
      <c r="CN371" s="106"/>
      <c r="CO371" s="106"/>
      <c r="CP371" s="106"/>
      <c r="CQ371" s="106"/>
    </row>
    <row r="372" spans="8:95" ht="14.25" customHeight="1">
      <c r="H372" s="102"/>
      <c r="I372" s="102"/>
      <c r="J372" s="102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  <c r="CJ372" s="106"/>
      <c r="CK372" s="106"/>
      <c r="CL372" s="106"/>
      <c r="CM372" s="106"/>
      <c r="CN372" s="106"/>
      <c r="CO372" s="106"/>
      <c r="CP372" s="106"/>
      <c r="CQ372" s="106"/>
    </row>
    <row r="373" spans="8:95" ht="14.25" customHeight="1">
      <c r="H373" s="102"/>
      <c r="I373" s="102"/>
      <c r="J373" s="102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  <c r="CJ373" s="106"/>
      <c r="CK373" s="106"/>
      <c r="CL373" s="106"/>
      <c r="CM373" s="106"/>
      <c r="CN373" s="106"/>
      <c r="CO373" s="106"/>
      <c r="CP373" s="106"/>
      <c r="CQ373" s="106"/>
    </row>
    <row r="374" spans="8:95" ht="14.25" customHeight="1">
      <c r="H374" s="102"/>
      <c r="I374" s="102"/>
      <c r="J374" s="102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  <c r="CJ374" s="106"/>
      <c r="CK374" s="106"/>
      <c r="CL374" s="106"/>
      <c r="CM374" s="106"/>
      <c r="CN374" s="106"/>
      <c r="CO374" s="106"/>
      <c r="CP374" s="106"/>
      <c r="CQ374" s="106"/>
    </row>
    <row r="375" spans="8:95" ht="14.25" customHeight="1">
      <c r="H375" s="102"/>
      <c r="I375" s="102"/>
      <c r="J375" s="102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  <c r="CJ375" s="106"/>
      <c r="CK375" s="106"/>
      <c r="CL375" s="106"/>
      <c r="CM375" s="106"/>
      <c r="CN375" s="106"/>
      <c r="CO375" s="106"/>
      <c r="CP375" s="106"/>
      <c r="CQ375" s="106"/>
    </row>
    <row r="376" spans="8:95" ht="14.25" customHeight="1">
      <c r="H376" s="102"/>
      <c r="I376" s="102"/>
      <c r="J376" s="102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  <c r="CJ376" s="106"/>
      <c r="CK376" s="106"/>
      <c r="CL376" s="106"/>
      <c r="CM376" s="106"/>
      <c r="CN376" s="106"/>
      <c r="CO376" s="106"/>
      <c r="CP376" s="106"/>
      <c r="CQ376" s="106"/>
    </row>
    <row r="377" spans="8:95" ht="14.25" customHeight="1">
      <c r="H377" s="102"/>
      <c r="I377" s="102"/>
      <c r="J377" s="102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  <c r="CJ377" s="106"/>
      <c r="CK377" s="106"/>
      <c r="CL377" s="106"/>
      <c r="CM377" s="106"/>
      <c r="CN377" s="106"/>
      <c r="CO377" s="106"/>
      <c r="CP377" s="106"/>
      <c r="CQ377" s="106"/>
    </row>
    <row r="378" spans="8:95" ht="14.25" customHeight="1">
      <c r="H378" s="102"/>
      <c r="I378" s="102"/>
      <c r="J378" s="102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  <c r="CJ378" s="106"/>
      <c r="CK378" s="106"/>
      <c r="CL378" s="106"/>
      <c r="CM378" s="106"/>
      <c r="CN378" s="106"/>
      <c r="CO378" s="106"/>
      <c r="CP378" s="106"/>
      <c r="CQ378" s="106"/>
    </row>
    <row r="379" spans="8:95" ht="14.25" customHeight="1">
      <c r="H379" s="102"/>
      <c r="I379" s="102"/>
      <c r="J379" s="102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  <c r="CJ379" s="106"/>
      <c r="CK379" s="106"/>
      <c r="CL379" s="106"/>
      <c r="CM379" s="106"/>
      <c r="CN379" s="106"/>
      <c r="CO379" s="106"/>
      <c r="CP379" s="106"/>
      <c r="CQ379" s="106"/>
    </row>
    <row r="380" spans="8:95" ht="14.25" customHeight="1">
      <c r="H380" s="102"/>
      <c r="I380" s="102"/>
      <c r="J380" s="102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  <c r="CJ380" s="106"/>
      <c r="CK380" s="106"/>
      <c r="CL380" s="106"/>
      <c r="CM380" s="106"/>
      <c r="CN380" s="106"/>
      <c r="CO380" s="106"/>
      <c r="CP380" s="106"/>
      <c r="CQ380" s="106"/>
    </row>
    <row r="381" spans="8:95" ht="14.25" customHeight="1">
      <c r="H381" s="102"/>
      <c r="I381" s="102"/>
      <c r="J381" s="102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  <c r="CJ381" s="106"/>
      <c r="CK381" s="106"/>
      <c r="CL381" s="106"/>
      <c r="CM381" s="106"/>
      <c r="CN381" s="106"/>
      <c r="CO381" s="106"/>
      <c r="CP381" s="106"/>
      <c r="CQ381" s="106"/>
    </row>
    <row r="382" spans="8:95" ht="14.25" customHeight="1">
      <c r="H382" s="102"/>
      <c r="I382" s="102"/>
      <c r="J382" s="102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  <c r="CJ382" s="106"/>
      <c r="CK382" s="106"/>
      <c r="CL382" s="106"/>
      <c r="CM382" s="106"/>
      <c r="CN382" s="106"/>
      <c r="CO382" s="106"/>
      <c r="CP382" s="106"/>
      <c r="CQ382" s="106"/>
    </row>
    <row r="383" spans="8:95" ht="14.25" customHeight="1">
      <c r="H383" s="102"/>
      <c r="I383" s="102"/>
      <c r="J383" s="102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  <c r="CJ383" s="106"/>
      <c r="CK383" s="106"/>
      <c r="CL383" s="106"/>
      <c r="CM383" s="106"/>
      <c r="CN383" s="106"/>
      <c r="CO383" s="106"/>
      <c r="CP383" s="106"/>
      <c r="CQ383" s="106"/>
    </row>
    <row r="384" spans="8:95" ht="14.25" customHeight="1">
      <c r="H384" s="102"/>
      <c r="I384" s="102"/>
      <c r="J384" s="102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  <c r="CJ384" s="106"/>
      <c r="CK384" s="106"/>
      <c r="CL384" s="106"/>
      <c r="CM384" s="106"/>
      <c r="CN384" s="106"/>
      <c r="CO384" s="106"/>
      <c r="CP384" s="106"/>
      <c r="CQ384" s="106"/>
    </row>
    <row r="385" spans="8:95" ht="14.25" customHeight="1">
      <c r="H385" s="102"/>
      <c r="I385" s="102"/>
      <c r="J385" s="102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  <c r="CJ385" s="106"/>
      <c r="CK385" s="106"/>
      <c r="CL385" s="106"/>
      <c r="CM385" s="106"/>
      <c r="CN385" s="106"/>
      <c r="CO385" s="106"/>
      <c r="CP385" s="106"/>
      <c r="CQ385" s="106"/>
    </row>
    <row r="386" spans="8:95" ht="14.25" customHeight="1">
      <c r="H386" s="102"/>
      <c r="I386" s="102"/>
      <c r="J386" s="102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</row>
    <row r="387" spans="8:95" ht="14.25" customHeight="1">
      <c r="H387" s="102"/>
      <c r="I387" s="102"/>
      <c r="J387" s="102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  <c r="CJ387" s="106"/>
      <c r="CK387" s="106"/>
      <c r="CL387" s="106"/>
      <c r="CM387" s="106"/>
      <c r="CN387" s="106"/>
      <c r="CO387" s="106"/>
      <c r="CP387" s="106"/>
      <c r="CQ387" s="106"/>
    </row>
    <row r="388" spans="8:95" ht="14.25" customHeight="1">
      <c r="H388" s="102"/>
      <c r="I388" s="102"/>
      <c r="J388" s="102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  <c r="CJ388" s="106"/>
      <c r="CK388" s="106"/>
      <c r="CL388" s="106"/>
      <c r="CM388" s="106"/>
      <c r="CN388" s="106"/>
      <c r="CO388" s="106"/>
      <c r="CP388" s="106"/>
      <c r="CQ388" s="106"/>
    </row>
    <row r="389" spans="8:95" ht="14.25" customHeight="1">
      <c r="H389" s="102"/>
      <c r="I389" s="102"/>
      <c r="J389" s="102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  <c r="CJ389" s="106"/>
      <c r="CK389" s="106"/>
      <c r="CL389" s="106"/>
      <c r="CM389" s="106"/>
      <c r="CN389" s="106"/>
      <c r="CO389" s="106"/>
      <c r="CP389" s="106"/>
      <c r="CQ389" s="106"/>
    </row>
    <row r="390" spans="8:95" ht="14.25" customHeight="1">
      <c r="H390" s="102"/>
      <c r="I390" s="102"/>
      <c r="J390" s="102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  <c r="CJ390" s="106"/>
      <c r="CK390" s="106"/>
      <c r="CL390" s="106"/>
      <c r="CM390" s="106"/>
      <c r="CN390" s="106"/>
      <c r="CO390" s="106"/>
      <c r="CP390" s="106"/>
      <c r="CQ390" s="106"/>
    </row>
    <row r="391" spans="8:95" ht="14.25" customHeight="1">
      <c r="H391" s="102"/>
      <c r="I391" s="102"/>
      <c r="J391" s="102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  <c r="CJ391" s="106"/>
      <c r="CK391" s="106"/>
      <c r="CL391" s="106"/>
      <c r="CM391" s="106"/>
      <c r="CN391" s="106"/>
      <c r="CO391" s="106"/>
      <c r="CP391" s="106"/>
      <c r="CQ391" s="106"/>
    </row>
    <row r="392" spans="8:95" ht="14.25" customHeight="1">
      <c r="H392" s="102"/>
      <c r="I392" s="102"/>
      <c r="J392" s="102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  <c r="CJ392" s="106"/>
      <c r="CK392" s="106"/>
      <c r="CL392" s="106"/>
      <c r="CM392" s="106"/>
      <c r="CN392" s="106"/>
      <c r="CO392" s="106"/>
      <c r="CP392" s="106"/>
      <c r="CQ392" s="106"/>
    </row>
    <row r="393" spans="8:95" ht="14.25" customHeight="1">
      <c r="H393" s="102"/>
      <c r="I393" s="102"/>
      <c r="J393" s="102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  <c r="CJ393" s="106"/>
      <c r="CK393" s="106"/>
      <c r="CL393" s="106"/>
      <c r="CM393" s="106"/>
      <c r="CN393" s="106"/>
      <c r="CO393" s="106"/>
      <c r="CP393" s="106"/>
      <c r="CQ393" s="106"/>
    </row>
    <row r="394" spans="8:95" ht="14.25" customHeight="1">
      <c r="H394" s="102"/>
      <c r="I394" s="102"/>
      <c r="J394" s="102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  <c r="CJ394" s="106"/>
      <c r="CK394" s="106"/>
      <c r="CL394" s="106"/>
      <c r="CM394" s="106"/>
      <c r="CN394" s="106"/>
      <c r="CO394" s="106"/>
      <c r="CP394" s="106"/>
      <c r="CQ394" s="106"/>
    </row>
    <row r="395" spans="8:95" ht="14.25" customHeight="1">
      <c r="H395" s="102"/>
      <c r="I395" s="102"/>
      <c r="J395" s="102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  <c r="CJ395" s="106"/>
      <c r="CK395" s="106"/>
      <c r="CL395" s="106"/>
      <c r="CM395" s="106"/>
      <c r="CN395" s="106"/>
      <c r="CO395" s="106"/>
      <c r="CP395" s="106"/>
      <c r="CQ395" s="106"/>
    </row>
    <row r="396" spans="8:95" ht="14.25" customHeight="1">
      <c r="H396" s="102"/>
      <c r="I396" s="102"/>
      <c r="J396" s="102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  <c r="CJ396" s="106"/>
      <c r="CK396" s="106"/>
      <c r="CL396" s="106"/>
      <c r="CM396" s="106"/>
      <c r="CN396" s="106"/>
      <c r="CO396" s="106"/>
      <c r="CP396" s="106"/>
      <c r="CQ396" s="106"/>
    </row>
    <row r="397" spans="8:95" ht="14.25" customHeight="1">
      <c r="H397" s="102"/>
      <c r="I397" s="102"/>
      <c r="J397" s="102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  <c r="CJ397" s="106"/>
      <c r="CK397" s="106"/>
      <c r="CL397" s="106"/>
      <c r="CM397" s="106"/>
      <c r="CN397" s="106"/>
      <c r="CO397" s="106"/>
      <c r="CP397" s="106"/>
      <c r="CQ397" s="106"/>
    </row>
    <row r="398" spans="8:95" ht="14.25" customHeight="1">
      <c r="H398" s="102"/>
      <c r="I398" s="102"/>
      <c r="J398" s="102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  <c r="CJ398" s="106"/>
      <c r="CK398" s="106"/>
      <c r="CL398" s="106"/>
      <c r="CM398" s="106"/>
      <c r="CN398" s="106"/>
      <c r="CO398" s="106"/>
      <c r="CP398" s="106"/>
      <c r="CQ398" s="106"/>
    </row>
    <row r="399" spans="8:95" ht="14.25" customHeight="1">
      <c r="H399" s="102"/>
      <c r="I399" s="102"/>
      <c r="J399" s="102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  <c r="CJ399" s="106"/>
      <c r="CK399" s="106"/>
      <c r="CL399" s="106"/>
      <c r="CM399" s="106"/>
      <c r="CN399" s="106"/>
      <c r="CO399" s="106"/>
      <c r="CP399" s="106"/>
      <c r="CQ399" s="106"/>
    </row>
    <row r="400" spans="8:95" ht="14.25" customHeight="1">
      <c r="H400" s="102"/>
      <c r="I400" s="102"/>
      <c r="J400" s="102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  <c r="CJ400" s="106"/>
      <c r="CK400" s="106"/>
      <c r="CL400" s="106"/>
      <c r="CM400" s="106"/>
      <c r="CN400" s="106"/>
      <c r="CO400" s="106"/>
      <c r="CP400" s="106"/>
      <c r="CQ400" s="106"/>
    </row>
    <row r="401" spans="8:95" ht="14.25" customHeight="1">
      <c r="H401" s="102"/>
      <c r="I401" s="102"/>
      <c r="J401" s="102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  <c r="CJ401" s="106"/>
      <c r="CK401" s="106"/>
      <c r="CL401" s="106"/>
      <c r="CM401" s="106"/>
      <c r="CN401" s="106"/>
      <c r="CO401" s="106"/>
      <c r="CP401" s="106"/>
      <c r="CQ401" s="106"/>
    </row>
    <row r="402" spans="8:95" ht="14.25" customHeight="1">
      <c r="H402" s="102"/>
      <c r="I402" s="102"/>
      <c r="J402" s="102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  <c r="CJ402" s="106"/>
      <c r="CK402" s="106"/>
      <c r="CL402" s="106"/>
      <c r="CM402" s="106"/>
      <c r="CN402" s="106"/>
      <c r="CO402" s="106"/>
      <c r="CP402" s="106"/>
      <c r="CQ402" s="106"/>
    </row>
    <row r="403" spans="8:95" ht="14.25" customHeight="1">
      <c r="H403" s="102"/>
      <c r="I403" s="102"/>
      <c r="J403" s="102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  <c r="CJ403" s="106"/>
      <c r="CK403" s="106"/>
      <c r="CL403" s="106"/>
      <c r="CM403" s="106"/>
      <c r="CN403" s="106"/>
      <c r="CO403" s="106"/>
      <c r="CP403" s="106"/>
      <c r="CQ403" s="106"/>
    </row>
    <row r="404" spans="8:95" ht="14.25" customHeight="1">
      <c r="H404" s="102"/>
      <c r="I404" s="102"/>
      <c r="J404" s="102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  <c r="CJ404" s="106"/>
      <c r="CK404" s="106"/>
      <c r="CL404" s="106"/>
      <c r="CM404" s="106"/>
      <c r="CN404" s="106"/>
      <c r="CO404" s="106"/>
      <c r="CP404" s="106"/>
      <c r="CQ404" s="106"/>
    </row>
    <row r="405" spans="8:95" ht="14.25" customHeight="1">
      <c r="H405" s="102"/>
      <c r="I405" s="102"/>
      <c r="J405" s="102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  <c r="CJ405" s="106"/>
      <c r="CK405" s="106"/>
      <c r="CL405" s="106"/>
      <c r="CM405" s="106"/>
      <c r="CN405" s="106"/>
      <c r="CO405" s="106"/>
      <c r="CP405" s="106"/>
      <c r="CQ405" s="106"/>
    </row>
    <row r="406" spans="8:95" ht="14.25" customHeight="1">
      <c r="H406" s="102"/>
      <c r="I406" s="102"/>
      <c r="J406" s="102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  <c r="CJ406" s="106"/>
      <c r="CK406" s="106"/>
      <c r="CL406" s="106"/>
      <c r="CM406" s="106"/>
      <c r="CN406" s="106"/>
      <c r="CO406" s="106"/>
      <c r="CP406" s="106"/>
      <c r="CQ406" s="106"/>
    </row>
    <row r="407" spans="8:95" ht="14.25" customHeight="1">
      <c r="H407" s="102"/>
      <c r="I407" s="102"/>
      <c r="J407" s="102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</row>
    <row r="408" spans="8:95" ht="14.25" customHeight="1">
      <c r="H408" s="102"/>
      <c r="I408" s="102"/>
      <c r="J408" s="102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</row>
    <row r="409" spans="8:95" ht="14.25" customHeight="1">
      <c r="H409" s="102"/>
      <c r="I409" s="102"/>
      <c r="J409" s="102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</row>
    <row r="410" spans="8:95" ht="14.25" customHeight="1">
      <c r="H410" s="102"/>
      <c r="I410" s="102"/>
      <c r="J410" s="102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</row>
    <row r="411" spans="8:95" ht="14.25" customHeight="1">
      <c r="H411" s="102"/>
      <c r="I411" s="102"/>
      <c r="J411" s="102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  <c r="CJ411" s="106"/>
      <c r="CK411" s="106"/>
      <c r="CL411" s="106"/>
      <c r="CM411" s="106"/>
      <c r="CN411" s="106"/>
      <c r="CO411" s="106"/>
      <c r="CP411" s="106"/>
      <c r="CQ411" s="106"/>
    </row>
    <row r="412" spans="8:95" ht="14.25" customHeight="1">
      <c r="H412" s="102"/>
      <c r="I412" s="102"/>
      <c r="J412" s="102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  <c r="CJ412" s="106"/>
      <c r="CK412" s="106"/>
      <c r="CL412" s="106"/>
      <c r="CM412" s="106"/>
      <c r="CN412" s="106"/>
      <c r="CO412" s="106"/>
      <c r="CP412" s="106"/>
      <c r="CQ412" s="106"/>
    </row>
    <row r="413" spans="8:95" ht="14.25" customHeight="1">
      <c r="H413" s="102"/>
      <c r="I413" s="102"/>
      <c r="J413" s="102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  <c r="CJ413" s="106"/>
      <c r="CK413" s="106"/>
      <c r="CL413" s="106"/>
      <c r="CM413" s="106"/>
      <c r="CN413" s="106"/>
      <c r="CO413" s="106"/>
      <c r="CP413" s="106"/>
      <c r="CQ413" s="106"/>
    </row>
    <row r="414" spans="8:95" ht="14.25" customHeight="1">
      <c r="H414" s="102"/>
      <c r="I414" s="102"/>
      <c r="J414" s="102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  <c r="CJ414" s="106"/>
      <c r="CK414" s="106"/>
      <c r="CL414" s="106"/>
      <c r="CM414" s="106"/>
      <c r="CN414" s="106"/>
      <c r="CO414" s="106"/>
      <c r="CP414" s="106"/>
      <c r="CQ414" s="106"/>
    </row>
    <row r="415" spans="8:95" ht="14.25" customHeight="1">
      <c r="H415" s="102"/>
      <c r="I415" s="102"/>
      <c r="J415" s="102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  <c r="CJ415" s="106"/>
      <c r="CK415" s="106"/>
      <c r="CL415" s="106"/>
      <c r="CM415" s="106"/>
      <c r="CN415" s="106"/>
      <c r="CO415" s="106"/>
      <c r="CP415" s="106"/>
      <c r="CQ415" s="106"/>
    </row>
    <row r="416" spans="8:95" ht="14.25" customHeight="1">
      <c r="H416" s="102"/>
      <c r="I416" s="102"/>
      <c r="J416" s="102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  <c r="CJ416" s="106"/>
      <c r="CK416" s="106"/>
      <c r="CL416" s="106"/>
      <c r="CM416" s="106"/>
      <c r="CN416" s="106"/>
      <c r="CO416" s="106"/>
      <c r="CP416" s="106"/>
      <c r="CQ416" s="106"/>
    </row>
    <row r="417" spans="8:95" ht="14.25" customHeight="1">
      <c r="H417" s="102"/>
      <c r="I417" s="102"/>
      <c r="J417" s="102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  <c r="CJ417" s="106"/>
      <c r="CK417" s="106"/>
      <c r="CL417" s="106"/>
      <c r="CM417" s="106"/>
      <c r="CN417" s="106"/>
      <c r="CO417" s="106"/>
      <c r="CP417" s="106"/>
      <c r="CQ417" s="106"/>
    </row>
    <row r="418" spans="8:95" ht="14.25" customHeight="1">
      <c r="H418" s="102"/>
      <c r="I418" s="102"/>
      <c r="J418" s="102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  <c r="CJ418" s="106"/>
      <c r="CK418" s="106"/>
      <c r="CL418" s="106"/>
      <c r="CM418" s="106"/>
      <c r="CN418" s="106"/>
      <c r="CO418" s="106"/>
      <c r="CP418" s="106"/>
      <c r="CQ418" s="106"/>
    </row>
    <row r="419" spans="8:95" ht="14.25" customHeight="1">
      <c r="H419" s="102"/>
      <c r="I419" s="102"/>
      <c r="J419" s="102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  <c r="CJ419" s="106"/>
      <c r="CK419" s="106"/>
      <c r="CL419" s="106"/>
      <c r="CM419" s="106"/>
      <c r="CN419" s="106"/>
      <c r="CO419" s="106"/>
      <c r="CP419" s="106"/>
      <c r="CQ419" s="106"/>
    </row>
    <row r="420" spans="8:95" ht="14.25" customHeight="1">
      <c r="H420" s="102"/>
      <c r="I420" s="102"/>
      <c r="J420" s="102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  <c r="CJ420" s="106"/>
      <c r="CK420" s="106"/>
      <c r="CL420" s="106"/>
      <c r="CM420" s="106"/>
      <c r="CN420" s="106"/>
      <c r="CO420" s="106"/>
      <c r="CP420" s="106"/>
      <c r="CQ420" s="106"/>
    </row>
    <row r="421" spans="8:95" ht="14.25" customHeight="1">
      <c r="H421" s="102"/>
      <c r="I421" s="102"/>
      <c r="J421" s="102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  <c r="CJ421" s="106"/>
      <c r="CK421" s="106"/>
      <c r="CL421" s="106"/>
      <c r="CM421" s="106"/>
      <c r="CN421" s="106"/>
      <c r="CO421" s="106"/>
      <c r="CP421" s="106"/>
      <c r="CQ421" s="106"/>
    </row>
    <row r="422" spans="8:95" ht="14.25" customHeight="1">
      <c r="H422" s="102"/>
      <c r="I422" s="102"/>
      <c r="J422" s="102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  <c r="CJ422" s="106"/>
      <c r="CK422" s="106"/>
      <c r="CL422" s="106"/>
      <c r="CM422" s="106"/>
      <c r="CN422" s="106"/>
      <c r="CO422" s="106"/>
      <c r="CP422" s="106"/>
      <c r="CQ422" s="106"/>
    </row>
    <row r="423" spans="8:95" ht="14.25" customHeight="1">
      <c r="H423" s="102"/>
      <c r="I423" s="102"/>
      <c r="J423" s="102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  <c r="CJ423" s="106"/>
      <c r="CK423" s="106"/>
      <c r="CL423" s="106"/>
      <c r="CM423" s="106"/>
      <c r="CN423" s="106"/>
      <c r="CO423" s="106"/>
      <c r="CP423" s="106"/>
      <c r="CQ423" s="106"/>
    </row>
    <row r="424" spans="8:95" ht="14.25" customHeight="1">
      <c r="H424" s="102"/>
      <c r="I424" s="102"/>
      <c r="J424" s="102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  <c r="CJ424" s="106"/>
      <c r="CK424" s="106"/>
      <c r="CL424" s="106"/>
      <c r="CM424" s="106"/>
      <c r="CN424" s="106"/>
      <c r="CO424" s="106"/>
      <c r="CP424" s="106"/>
      <c r="CQ424" s="106"/>
    </row>
    <row r="425" spans="8:95" ht="14.25" customHeight="1">
      <c r="H425" s="102"/>
      <c r="I425" s="102"/>
      <c r="J425" s="102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  <c r="CJ425" s="106"/>
      <c r="CK425" s="106"/>
      <c r="CL425" s="106"/>
      <c r="CM425" s="106"/>
      <c r="CN425" s="106"/>
      <c r="CO425" s="106"/>
      <c r="CP425" s="106"/>
      <c r="CQ425" s="106"/>
    </row>
    <row r="426" spans="8:95" ht="14.25" customHeight="1">
      <c r="H426" s="102"/>
      <c r="I426" s="102"/>
      <c r="J426" s="102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  <c r="CJ426" s="106"/>
      <c r="CK426" s="106"/>
      <c r="CL426" s="106"/>
      <c r="CM426" s="106"/>
      <c r="CN426" s="106"/>
      <c r="CO426" s="106"/>
      <c r="CP426" s="106"/>
      <c r="CQ426" s="106"/>
    </row>
    <row r="427" spans="8:95" ht="14.25" customHeight="1">
      <c r="H427" s="102"/>
      <c r="I427" s="102"/>
      <c r="J427" s="102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  <c r="CJ427" s="106"/>
      <c r="CK427" s="106"/>
      <c r="CL427" s="106"/>
      <c r="CM427" s="106"/>
      <c r="CN427" s="106"/>
      <c r="CO427" s="106"/>
      <c r="CP427" s="106"/>
      <c r="CQ427" s="106"/>
    </row>
    <row r="428" spans="8:95" ht="14.25" customHeight="1">
      <c r="H428" s="102"/>
      <c r="I428" s="102"/>
      <c r="J428" s="102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  <c r="CJ428" s="106"/>
      <c r="CK428" s="106"/>
      <c r="CL428" s="106"/>
      <c r="CM428" s="106"/>
      <c r="CN428" s="106"/>
      <c r="CO428" s="106"/>
      <c r="CP428" s="106"/>
      <c r="CQ428" s="106"/>
    </row>
    <row r="429" spans="8:95" ht="14.25" customHeight="1">
      <c r="H429" s="102"/>
      <c r="I429" s="102"/>
      <c r="J429" s="102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  <c r="CJ429" s="106"/>
      <c r="CK429" s="106"/>
      <c r="CL429" s="106"/>
      <c r="CM429" s="106"/>
      <c r="CN429" s="106"/>
      <c r="CO429" s="106"/>
      <c r="CP429" s="106"/>
      <c r="CQ429" s="106"/>
    </row>
    <row r="430" spans="8:95" ht="14.25" customHeight="1">
      <c r="H430" s="102"/>
      <c r="I430" s="102"/>
      <c r="J430" s="102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  <c r="CJ430" s="106"/>
      <c r="CK430" s="106"/>
      <c r="CL430" s="106"/>
      <c r="CM430" s="106"/>
      <c r="CN430" s="106"/>
      <c r="CO430" s="106"/>
      <c r="CP430" s="106"/>
      <c r="CQ430" s="106"/>
    </row>
    <row r="431" spans="8:95" ht="14.25" customHeight="1">
      <c r="H431" s="102"/>
      <c r="I431" s="102"/>
      <c r="J431" s="102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  <c r="CJ431" s="106"/>
      <c r="CK431" s="106"/>
      <c r="CL431" s="106"/>
      <c r="CM431" s="106"/>
      <c r="CN431" s="106"/>
      <c r="CO431" s="106"/>
      <c r="CP431" s="106"/>
      <c r="CQ431" s="106"/>
    </row>
    <row r="432" spans="8:95" ht="14.25" customHeight="1">
      <c r="H432" s="102"/>
      <c r="I432" s="102"/>
      <c r="J432" s="102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  <c r="CJ432" s="106"/>
      <c r="CK432" s="106"/>
      <c r="CL432" s="106"/>
      <c r="CM432" s="106"/>
      <c r="CN432" s="106"/>
      <c r="CO432" s="106"/>
      <c r="CP432" s="106"/>
      <c r="CQ432" s="106"/>
    </row>
    <row r="433" spans="8:95" ht="14.25" customHeight="1">
      <c r="H433" s="102"/>
      <c r="I433" s="102"/>
      <c r="J433" s="102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  <c r="CJ433" s="106"/>
      <c r="CK433" s="106"/>
      <c r="CL433" s="106"/>
      <c r="CM433" s="106"/>
      <c r="CN433" s="106"/>
      <c r="CO433" s="106"/>
      <c r="CP433" s="106"/>
      <c r="CQ433" s="106"/>
    </row>
    <row r="434" spans="8:95" ht="14.25" customHeight="1">
      <c r="H434" s="102"/>
      <c r="I434" s="102"/>
      <c r="J434" s="102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  <c r="CJ434" s="106"/>
      <c r="CK434" s="106"/>
      <c r="CL434" s="106"/>
      <c r="CM434" s="106"/>
      <c r="CN434" s="106"/>
      <c r="CO434" s="106"/>
      <c r="CP434" s="106"/>
      <c r="CQ434" s="106"/>
    </row>
    <row r="435" spans="8:95" ht="14.25" customHeight="1">
      <c r="H435" s="102"/>
      <c r="I435" s="102"/>
      <c r="J435" s="102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  <c r="CJ435" s="106"/>
      <c r="CK435" s="106"/>
      <c r="CL435" s="106"/>
      <c r="CM435" s="106"/>
      <c r="CN435" s="106"/>
      <c r="CO435" s="106"/>
      <c r="CP435" s="106"/>
      <c r="CQ435" s="106"/>
    </row>
    <row r="436" spans="8:95" ht="14.25" customHeight="1">
      <c r="H436" s="102"/>
      <c r="I436" s="102"/>
      <c r="J436" s="102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</row>
    <row r="437" spans="8:95" ht="14.25" customHeight="1">
      <c r="H437" s="102"/>
      <c r="I437" s="102"/>
      <c r="J437" s="102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  <c r="CJ437" s="106"/>
      <c r="CK437" s="106"/>
      <c r="CL437" s="106"/>
      <c r="CM437" s="106"/>
      <c r="CN437" s="106"/>
      <c r="CO437" s="106"/>
      <c r="CP437" s="106"/>
      <c r="CQ437" s="106"/>
    </row>
    <row r="438" spans="8:95" ht="14.25" customHeight="1">
      <c r="H438" s="102"/>
      <c r="I438" s="102"/>
      <c r="J438" s="102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</row>
    <row r="439" spans="8:95" ht="14.25" customHeight="1">
      <c r="H439" s="102"/>
      <c r="I439" s="102"/>
      <c r="J439" s="102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  <c r="CJ439" s="106"/>
      <c r="CK439" s="106"/>
      <c r="CL439" s="106"/>
      <c r="CM439" s="106"/>
      <c r="CN439" s="106"/>
      <c r="CO439" s="106"/>
      <c r="CP439" s="106"/>
      <c r="CQ439" s="106"/>
    </row>
    <row r="440" spans="8:95" ht="14.25" customHeight="1">
      <c r="H440" s="102"/>
      <c r="I440" s="102"/>
      <c r="J440" s="102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  <c r="CJ440" s="106"/>
      <c r="CK440" s="106"/>
      <c r="CL440" s="106"/>
      <c r="CM440" s="106"/>
      <c r="CN440" s="106"/>
      <c r="CO440" s="106"/>
      <c r="CP440" s="106"/>
      <c r="CQ440" s="106"/>
    </row>
    <row r="441" spans="8:95" ht="14.25" customHeight="1">
      <c r="H441" s="102"/>
      <c r="I441" s="102"/>
      <c r="J441" s="102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  <c r="CJ441" s="106"/>
      <c r="CK441" s="106"/>
      <c r="CL441" s="106"/>
      <c r="CM441" s="106"/>
      <c r="CN441" s="106"/>
      <c r="CO441" s="106"/>
      <c r="CP441" s="106"/>
      <c r="CQ441" s="106"/>
    </row>
    <row r="442" spans="8:95" ht="14.25" customHeight="1">
      <c r="H442" s="102"/>
      <c r="I442" s="102"/>
      <c r="J442" s="102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  <c r="CJ442" s="106"/>
      <c r="CK442" s="106"/>
      <c r="CL442" s="106"/>
      <c r="CM442" s="106"/>
      <c r="CN442" s="106"/>
      <c r="CO442" s="106"/>
      <c r="CP442" s="106"/>
      <c r="CQ442" s="106"/>
    </row>
    <row r="443" spans="8:95" ht="14.25" customHeight="1">
      <c r="H443" s="102"/>
      <c r="I443" s="102"/>
      <c r="J443" s="102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  <c r="CJ443" s="106"/>
      <c r="CK443" s="106"/>
      <c r="CL443" s="106"/>
      <c r="CM443" s="106"/>
      <c r="CN443" s="106"/>
      <c r="CO443" s="106"/>
      <c r="CP443" s="106"/>
      <c r="CQ443" s="106"/>
    </row>
    <row r="444" spans="8:95" ht="14.25" customHeight="1">
      <c r="H444" s="102"/>
      <c r="I444" s="102"/>
      <c r="J444" s="102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</row>
    <row r="445" spans="8:95" ht="14.25" customHeight="1">
      <c r="H445" s="102"/>
      <c r="I445" s="102"/>
      <c r="J445" s="102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  <c r="CJ445" s="106"/>
      <c r="CK445" s="106"/>
      <c r="CL445" s="106"/>
      <c r="CM445" s="106"/>
      <c r="CN445" s="106"/>
      <c r="CO445" s="106"/>
      <c r="CP445" s="106"/>
      <c r="CQ445" s="106"/>
    </row>
    <row r="446" spans="8:95" ht="14.25" customHeight="1">
      <c r="H446" s="102"/>
      <c r="I446" s="102"/>
      <c r="J446" s="102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  <c r="CJ446" s="106"/>
      <c r="CK446" s="106"/>
      <c r="CL446" s="106"/>
      <c r="CM446" s="106"/>
      <c r="CN446" s="106"/>
      <c r="CO446" s="106"/>
      <c r="CP446" s="106"/>
      <c r="CQ446" s="106"/>
    </row>
    <row r="447" spans="8:95" ht="14.25" customHeight="1">
      <c r="H447" s="102"/>
      <c r="I447" s="102"/>
      <c r="J447" s="102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  <c r="CJ447" s="106"/>
      <c r="CK447" s="106"/>
      <c r="CL447" s="106"/>
      <c r="CM447" s="106"/>
      <c r="CN447" s="106"/>
      <c r="CO447" s="106"/>
      <c r="CP447" s="106"/>
      <c r="CQ447" s="106"/>
    </row>
    <row r="448" spans="8:95" ht="14.25" customHeight="1">
      <c r="H448" s="102"/>
      <c r="I448" s="102"/>
      <c r="J448" s="102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  <c r="CJ448" s="106"/>
      <c r="CK448" s="106"/>
      <c r="CL448" s="106"/>
      <c r="CM448" s="106"/>
      <c r="CN448" s="106"/>
      <c r="CO448" s="106"/>
      <c r="CP448" s="106"/>
      <c r="CQ448" s="106"/>
    </row>
    <row r="449" spans="8:95" ht="14.25" customHeight="1">
      <c r="H449" s="102"/>
      <c r="I449" s="102"/>
      <c r="J449" s="102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  <c r="CJ449" s="106"/>
      <c r="CK449" s="106"/>
      <c r="CL449" s="106"/>
      <c r="CM449" s="106"/>
      <c r="CN449" s="106"/>
      <c r="CO449" s="106"/>
      <c r="CP449" s="106"/>
      <c r="CQ449" s="106"/>
    </row>
    <row r="450" spans="8:95" ht="14.25" customHeight="1">
      <c r="H450" s="102"/>
      <c r="I450" s="102"/>
      <c r="J450" s="102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  <c r="CJ450" s="106"/>
      <c r="CK450" s="106"/>
      <c r="CL450" s="106"/>
      <c r="CM450" s="106"/>
      <c r="CN450" s="106"/>
      <c r="CO450" s="106"/>
      <c r="CP450" s="106"/>
      <c r="CQ450" s="106"/>
    </row>
    <row r="451" spans="8:95" ht="14.25" customHeight="1">
      <c r="H451" s="102"/>
      <c r="I451" s="102"/>
      <c r="J451" s="102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  <c r="CJ451" s="106"/>
      <c r="CK451" s="106"/>
      <c r="CL451" s="106"/>
      <c r="CM451" s="106"/>
      <c r="CN451" s="106"/>
      <c r="CO451" s="106"/>
      <c r="CP451" s="106"/>
      <c r="CQ451" s="106"/>
    </row>
    <row r="452" spans="8:95" ht="14.25" customHeight="1">
      <c r="H452" s="102"/>
      <c r="I452" s="102"/>
      <c r="J452" s="102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  <c r="CJ452" s="106"/>
      <c r="CK452" s="106"/>
      <c r="CL452" s="106"/>
      <c r="CM452" s="106"/>
      <c r="CN452" s="106"/>
      <c r="CO452" s="106"/>
      <c r="CP452" s="106"/>
      <c r="CQ452" s="106"/>
    </row>
    <row r="453" spans="8:95" ht="14.25" customHeight="1">
      <c r="H453" s="102"/>
      <c r="I453" s="102"/>
      <c r="J453" s="102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  <c r="CJ453" s="106"/>
      <c r="CK453" s="106"/>
      <c r="CL453" s="106"/>
      <c r="CM453" s="106"/>
      <c r="CN453" s="106"/>
      <c r="CO453" s="106"/>
      <c r="CP453" s="106"/>
      <c r="CQ453" s="106"/>
    </row>
    <row r="454" spans="8:95" ht="14.25" customHeight="1">
      <c r="H454" s="102"/>
      <c r="I454" s="102"/>
      <c r="J454" s="102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  <c r="CJ454" s="106"/>
      <c r="CK454" s="106"/>
      <c r="CL454" s="106"/>
      <c r="CM454" s="106"/>
      <c r="CN454" s="106"/>
      <c r="CO454" s="106"/>
      <c r="CP454" s="106"/>
      <c r="CQ454" s="106"/>
    </row>
    <row r="455" spans="8:95" ht="14.25" customHeight="1">
      <c r="H455" s="102"/>
      <c r="I455" s="102"/>
      <c r="J455" s="102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  <c r="CJ455" s="106"/>
      <c r="CK455" s="106"/>
      <c r="CL455" s="106"/>
      <c r="CM455" s="106"/>
      <c r="CN455" s="106"/>
      <c r="CO455" s="106"/>
      <c r="CP455" s="106"/>
      <c r="CQ455" s="106"/>
    </row>
    <row r="456" spans="8:95" ht="14.25" customHeight="1">
      <c r="H456" s="102"/>
      <c r="I456" s="102"/>
      <c r="J456" s="102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  <c r="CJ456" s="106"/>
      <c r="CK456" s="106"/>
      <c r="CL456" s="106"/>
      <c r="CM456" s="106"/>
      <c r="CN456" s="106"/>
      <c r="CO456" s="106"/>
      <c r="CP456" s="106"/>
      <c r="CQ456" s="106"/>
    </row>
    <row r="457" spans="8:95" ht="14.25" customHeight="1">
      <c r="H457" s="102"/>
      <c r="I457" s="102"/>
      <c r="J457" s="102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  <c r="CJ457" s="106"/>
      <c r="CK457" s="106"/>
      <c r="CL457" s="106"/>
      <c r="CM457" s="106"/>
      <c r="CN457" s="106"/>
      <c r="CO457" s="106"/>
      <c r="CP457" s="106"/>
      <c r="CQ457" s="106"/>
    </row>
    <row r="458" spans="8:95" ht="14.25" customHeight="1">
      <c r="H458" s="102"/>
      <c r="I458" s="102"/>
      <c r="J458" s="102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  <c r="CJ458" s="106"/>
      <c r="CK458" s="106"/>
      <c r="CL458" s="106"/>
      <c r="CM458" s="106"/>
      <c r="CN458" s="106"/>
      <c r="CO458" s="106"/>
      <c r="CP458" s="106"/>
      <c r="CQ458" s="106"/>
    </row>
    <row r="459" spans="8:95" ht="14.25" customHeight="1">
      <c r="H459" s="102"/>
      <c r="I459" s="102"/>
      <c r="J459" s="102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  <c r="CJ459" s="106"/>
      <c r="CK459" s="106"/>
      <c r="CL459" s="106"/>
      <c r="CM459" s="106"/>
      <c r="CN459" s="106"/>
      <c r="CO459" s="106"/>
      <c r="CP459" s="106"/>
      <c r="CQ459" s="106"/>
    </row>
    <row r="460" spans="8:95" ht="14.25" customHeight="1">
      <c r="H460" s="102"/>
      <c r="I460" s="102"/>
      <c r="J460" s="102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  <c r="CJ460" s="106"/>
      <c r="CK460" s="106"/>
      <c r="CL460" s="106"/>
      <c r="CM460" s="106"/>
      <c r="CN460" s="106"/>
      <c r="CO460" s="106"/>
      <c r="CP460" s="106"/>
      <c r="CQ460" s="106"/>
    </row>
    <row r="461" spans="8:95" ht="14.25" customHeight="1">
      <c r="H461" s="102"/>
      <c r="I461" s="102"/>
      <c r="J461" s="102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  <c r="CJ461" s="106"/>
      <c r="CK461" s="106"/>
      <c r="CL461" s="106"/>
      <c r="CM461" s="106"/>
      <c r="CN461" s="106"/>
      <c r="CO461" s="106"/>
      <c r="CP461" s="106"/>
      <c r="CQ461" s="106"/>
    </row>
    <row r="462" spans="8:95" ht="14.25" customHeight="1">
      <c r="H462" s="102"/>
      <c r="I462" s="102"/>
      <c r="J462" s="102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</row>
    <row r="463" spans="8:95" ht="14.25" customHeight="1">
      <c r="H463" s="102"/>
      <c r="I463" s="102"/>
      <c r="J463" s="102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  <c r="CJ463" s="106"/>
      <c r="CK463" s="106"/>
      <c r="CL463" s="106"/>
      <c r="CM463" s="106"/>
      <c r="CN463" s="106"/>
      <c r="CO463" s="106"/>
      <c r="CP463" s="106"/>
      <c r="CQ463" s="106"/>
    </row>
    <row r="464" spans="8:95" ht="14.25" customHeight="1">
      <c r="H464" s="102"/>
      <c r="I464" s="102"/>
      <c r="J464" s="102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  <c r="CJ464" s="106"/>
      <c r="CK464" s="106"/>
      <c r="CL464" s="106"/>
      <c r="CM464" s="106"/>
      <c r="CN464" s="106"/>
      <c r="CO464" s="106"/>
      <c r="CP464" s="106"/>
      <c r="CQ464" s="106"/>
    </row>
    <row r="465" spans="8:95" ht="14.25" customHeight="1">
      <c r="H465" s="102"/>
      <c r="I465" s="102"/>
      <c r="J465" s="102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  <c r="CJ465" s="106"/>
      <c r="CK465" s="106"/>
      <c r="CL465" s="106"/>
      <c r="CM465" s="106"/>
      <c r="CN465" s="106"/>
      <c r="CO465" s="106"/>
      <c r="CP465" s="106"/>
      <c r="CQ465" s="106"/>
    </row>
    <row r="466" spans="8:95" ht="14.25" customHeight="1">
      <c r="H466" s="102"/>
      <c r="I466" s="102"/>
      <c r="J466" s="102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  <c r="CJ466" s="106"/>
      <c r="CK466" s="106"/>
      <c r="CL466" s="106"/>
      <c r="CM466" s="106"/>
      <c r="CN466" s="106"/>
      <c r="CO466" s="106"/>
      <c r="CP466" s="106"/>
      <c r="CQ466" s="106"/>
    </row>
    <row r="467" spans="8:95" ht="14.25" customHeight="1">
      <c r="H467" s="102"/>
      <c r="I467" s="102"/>
      <c r="J467" s="102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  <c r="CJ467" s="106"/>
      <c r="CK467" s="106"/>
      <c r="CL467" s="106"/>
      <c r="CM467" s="106"/>
      <c r="CN467" s="106"/>
      <c r="CO467" s="106"/>
      <c r="CP467" s="106"/>
      <c r="CQ467" s="106"/>
    </row>
    <row r="468" spans="8:95" ht="14.25" customHeight="1">
      <c r="H468" s="102"/>
      <c r="I468" s="102"/>
      <c r="J468" s="102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  <c r="CJ468" s="106"/>
      <c r="CK468" s="106"/>
      <c r="CL468" s="106"/>
      <c r="CM468" s="106"/>
      <c r="CN468" s="106"/>
      <c r="CO468" s="106"/>
      <c r="CP468" s="106"/>
      <c r="CQ468" s="106"/>
    </row>
    <row r="469" spans="8:95" ht="14.25" customHeight="1">
      <c r="H469" s="102"/>
      <c r="I469" s="102"/>
      <c r="J469" s="102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  <c r="CJ469" s="106"/>
      <c r="CK469" s="106"/>
      <c r="CL469" s="106"/>
      <c r="CM469" s="106"/>
      <c r="CN469" s="106"/>
      <c r="CO469" s="106"/>
      <c r="CP469" s="106"/>
      <c r="CQ469" s="106"/>
    </row>
    <row r="470" spans="8:95" ht="14.25" customHeight="1">
      <c r="H470" s="102"/>
      <c r="I470" s="102"/>
      <c r="J470" s="102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  <c r="CJ470" s="106"/>
      <c r="CK470" s="106"/>
      <c r="CL470" s="106"/>
      <c r="CM470" s="106"/>
      <c r="CN470" s="106"/>
      <c r="CO470" s="106"/>
      <c r="CP470" s="106"/>
      <c r="CQ470" s="106"/>
    </row>
    <row r="471" spans="8:95" ht="14.25" customHeight="1">
      <c r="H471" s="102"/>
      <c r="I471" s="102"/>
      <c r="J471" s="102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  <c r="CJ471" s="106"/>
      <c r="CK471" s="106"/>
      <c r="CL471" s="106"/>
      <c r="CM471" s="106"/>
      <c r="CN471" s="106"/>
      <c r="CO471" s="106"/>
      <c r="CP471" s="106"/>
      <c r="CQ471" s="106"/>
    </row>
    <row r="472" spans="8:95" ht="14.25" customHeight="1">
      <c r="H472" s="102"/>
      <c r="I472" s="102"/>
      <c r="J472" s="102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  <c r="CJ472" s="106"/>
      <c r="CK472" s="106"/>
      <c r="CL472" s="106"/>
      <c r="CM472" s="106"/>
      <c r="CN472" s="106"/>
      <c r="CO472" s="106"/>
      <c r="CP472" s="106"/>
      <c r="CQ472" s="106"/>
    </row>
    <row r="473" spans="8:95" ht="14.25" customHeight="1">
      <c r="H473" s="102"/>
      <c r="I473" s="102"/>
      <c r="J473" s="102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  <c r="CJ473" s="106"/>
      <c r="CK473" s="106"/>
      <c r="CL473" s="106"/>
      <c r="CM473" s="106"/>
      <c r="CN473" s="106"/>
      <c r="CO473" s="106"/>
      <c r="CP473" s="106"/>
      <c r="CQ473" s="106"/>
    </row>
    <row r="474" spans="8:95" ht="14.25" customHeight="1">
      <c r="H474" s="102"/>
      <c r="I474" s="102"/>
      <c r="J474" s="102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  <c r="CJ474" s="106"/>
      <c r="CK474" s="106"/>
      <c r="CL474" s="106"/>
      <c r="CM474" s="106"/>
      <c r="CN474" s="106"/>
      <c r="CO474" s="106"/>
      <c r="CP474" s="106"/>
      <c r="CQ474" s="106"/>
    </row>
    <row r="475" spans="8:95" ht="14.25" customHeight="1">
      <c r="H475" s="102"/>
      <c r="I475" s="102"/>
      <c r="J475" s="102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  <c r="CJ475" s="106"/>
      <c r="CK475" s="106"/>
      <c r="CL475" s="106"/>
      <c r="CM475" s="106"/>
      <c r="CN475" s="106"/>
      <c r="CO475" s="106"/>
      <c r="CP475" s="106"/>
      <c r="CQ475" s="106"/>
    </row>
    <row r="476" spans="8:95" ht="14.25" customHeight="1">
      <c r="H476" s="102"/>
      <c r="I476" s="102"/>
      <c r="J476" s="102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  <c r="CJ476" s="106"/>
      <c r="CK476" s="106"/>
      <c r="CL476" s="106"/>
      <c r="CM476" s="106"/>
      <c r="CN476" s="106"/>
      <c r="CO476" s="106"/>
      <c r="CP476" s="106"/>
      <c r="CQ476" s="106"/>
    </row>
    <row r="477" spans="8:95" ht="14.25" customHeight="1">
      <c r="H477" s="102"/>
      <c r="I477" s="102"/>
      <c r="J477" s="102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  <c r="CJ477" s="106"/>
      <c r="CK477" s="106"/>
      <c r="CL477" s="106"/>
      <c r="CM477" s="106"/>
      <c r="CN477" s="106"/>
      <c r="CO477" s="106"/>
      <c r="CP477" s="106"/>
      <c r="CQ477" s="106"/>
    </row>
    <row r="478" spans="8:95" ht="14.25" customHeight="1">
      <c r="H478" s="102"/>
      <c r="I478" s="102"/>
      <c r="J478" s="102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  <c r="CJ478" s="106"/>
      <c r="CK478" s="106"/>
      <c r="CL478" s="106"/>
      <c r="CM478" s="106"/>
      <c r="CN478" s="106"/>
      <c r="CO478" s="106"/>
      <c r="CP478" s="106"/>
      <c r="CQ478" s="106"/>
    </row>
    <row r="479" spans="8:95" ht="14.25" customHeight="1">
      <c r="H479" s="102"/>
      <c r="I479" s="102"/>
      <c r="J479" s="102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  <c r="CJ479" s="106"/>
      <c r="CK479" s="106"/>
      <c r="CL479" s="106"/>
      <c r="CM479" s="106"/>
      <c r="CN479" s="106"/>
      <c r="CO479" s="106"/>
      <c r="CP479" s="106"/>
      <c r="CQ479" s="106"/>
    </row>
    <row r="480" spans="8:95" ht="14.25" customHeight="1">
      <c r="H480" s="102"/>
      <c r="I480" s="102"/>
      <c r="J480" s="102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  <c r="CJ480" s="106"/>
      <c r="CK480" s="106"/>
      <c r="CL480" s="106"/>
      <c r="CM480" s="106"/>
      <c r="CN480" s="106"/>
      <c r="CO480" s="106"/>
      <c r="CP480" s="106"/>
      <c r="CQ480" s="106"/>
    </row>
    <row r="481" spans="8:95" ht="14.25" customHeight="1">
      <c r="H481" s="102"/>
      <c r="I481" s="102"/>
      <c r="J481" s="102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  <c r="CJ481" s="106"/>
      <c r="CK481" s="106"/>
      <c r="CL481" s="106"/>
      <c r="CM481" s="106"/>
      <c r="CN481" s="106"/>
      <c r="CO481" s="106"/>
      <c r="CP481" s="106"/>
      <c r="CQ481" s="106"/>
    </row>
    <row r="482" spans="8:95" ht="14.25" customHeight="1">
      <c r="H482" s="102"/>
      <c r="I482" s="102"/>
      <c r="J482" s="102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  <c r="CJ482" s="106"/>
      <c r="CK482" s="106"/>
      <c r="CL482" s="106"/>
      <c r="CM482" s="106"/>
      <c r="CN482" s="106"/>
      <c r="CO482" s="106"/>
      <c r="CP482" s="106"/>
      <c r="CQ482" s="106"/>
    </row>
    <row r="483" spans="8:95" ht="14.25" customHeight="1">
      <c r="H483" s="102"/>
      <c r="I483" s="102"/>
      <c r="J483" s="102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  <c r="CJ483" s="106"/>
      <c r="CK483" s="106"/>
      <c r="CL483" s="106"/>
      <c r="CM483" s="106"/>
      <c r="CN483" s="106"/>
      <c r="CO483" s="106"/>
      <c r="CP483" s="106"/>
      <c r="CQ483" s="106"/>
    </row>
    <row r="484" spans="8:95" ht="14.25" customHeight="1">
      <c r="H484" s="102"/>
      <c r="I484" s="102"/>
      <c r="J484" s="102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  <c r="CJ484" s="106"/>
      <c r="CK484" s="106"/>
      <c r="CL484" s="106"/>
      <c r="CM484" s="106"/>
      <c r="CN484" s="106"/>
      <c r="CO484" s="106"/>
      <c r="CP484" s="106"/>
      <c r="CQ484" s="106"/>
    </row>
    <row r="485" spans="8:95" ht="14.25" customHeight="1">
      <c r="H485" s="102"/>
      <c r="I485" s="102"/>
      <c r="J485" s="102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  <c r="CJ485" s="106"/>
      <c r="CK485" s="106"/>
      <c r="CL485" s="106"/>
      <c r="CM485" s="106"/>
      <c r="CN485" s="106"/>
      <c r="CO485" s="106"/>
      <c r="CP485" s="106"/>
      <c r="CQ485" s="106"/>
    </row>
    <row r="486" spans="8:95" ht="14.25" customHeight="1">
      <c r="H486" s="102"/>
      <c r="I486" s="102"/>
      <c r="J486" s="102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  <c r="CJ486" s="106"/>
      <c r="CK486" s="106"/>
      <c r="CL486" s="106"/>
      <c r="CM486" s="106"/>
      <c r="CN486" s="106"/>
      <c r="CO486" s="106"/>
      <c r="CP486" s="106"/>
      <c r="CQ486" s="106"/>
    </row>
    <row r="487" spans="8:95" ht="14.25" customHeight="1">
      <c r="H487" s="102"/>
      <c r="I487" s="102"/>
      <c r="J487" s="102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  <c r="CJ487" s="106"/>
      <c r="CK487" s="106"/>
      <c r="CL487" s="106"/>
      <c r="CM487" s="106"/>
      <c r="CN487" s="106"/>
      <c r="CO487" s="106"/>
      <c r="CP487" s="106"/>
      <c r="CQ487" s="106"/>
    </row>
    <row r="488" spans="8:95" ht="14.25" customHeight="1">
      <c r="H488" s="102"/>
      <c r="I488" s="102"/>
      <c r="J488" s="102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  <c r="CJ488" s="106"/>
      <c r="CK488" s="106"/>
      <c r="CL488" s="106"/>
      <c r="CM488" s="106"/>
      <c r="CN488" s="106"/>
      <c r="CO488" s="106"/>
      <c r="CP488" s="106"/>
      <c r="CQ488" s="106"/>
    </row>
    <row r="489" spans="8:95" ht="14.25" customHeight="1">
      <c r="H489" s="102"/>
      <c r="I489" s="102"/>
      <c r="J489" s="102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  <c r="CJ489" s="106"/>
      <c r="CK489" s="106"/>
      <c r="CL489" s="106"/>
      <c r="CM489" s="106"/>
      <c r="CN489" s="106"/>
      <c r="CO489" s="106"/>
      <c r="CP489" s="106"/>
      <c r="CQ489" s="106"/>
    </row>
    <row r="490" spans="8:95" ht="14.25" customHeight="1">
      <c r="H490" s="102"/>
      <c r="I490" s="102"/>
      <c r="J490" s="102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  <c r="CJ490" s="106"/>
      <c r="CK490" s="106"/>
      <c r="CL490" s="106"/>
      <c r="CM490" s="106"/>
      <c r="CN490" s="106"/>
      <c r="CO490" s="106"/>
      <c r="CP490" s="106"/>
      <c r="CQ490" s="106"/>
    </row>
    <row r="491" spans="8:95" ht="14.25" customHeight="1">
      <c r="H491" s="102"/>
      <c r="I491" s="102"/>
      <c r="J491" s="102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  <c r="CJ491" s="106"/>
      <c r="CK491" s="106"/>
      <c r="CL491" s="106"/>
      <c r="CM491" s="106"/>
      <c r="CN491" s="106"/>
      <c r="CO491" s="106"/>
      <c r="CP491" s="106"/>
      <c r="CQ491" s="106"/>
    </row>
    <row r="492" spans="8:95" ht="14.25" customHeight="1">
      <c r="H492" s="102"/>
      <c r="I492" s="102"/>
      <c r="J492" s="102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  <c r="CJ492" s="106"/>
      <c r="CK492" s="106"/>
      <c r="CL492" s="106"/>
      <c r="CM492" s="106"/>
      <c r="CN492" s="106"/>
      <c r="CO492" s="106"/>
      <c r="CP492" s="106"/>
      <c r="CQ492" s="106"/>
    </row>
    <row r="493" spans="8:95" ht="14.25" customHeight="1">
      <c r="H493" s="102"/>
      <c r="I493" s="102"/>
      <c r="J493" s="102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  <c r="CJ493" s="106"/>
      <c r="CK493" s="106"/>
      <c r="CL493" s="106"/>
      <c r="CM493" s="106"/>
      <c r="CN493" s="106"/>
      <c r="CO493" s="106"/>
      <c r="CP493" s="106"/>
      <c r="CQ493" s="106"/>
    </row>
    <row r="494" spans="8:95" ht="14.25" customHeight="1">
      <c r="H494" s="102"/>
      <c r="I494" s="102"/>
      <c r="J494" s="102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  <c r="CJ494" s="106"/>
      <c r="CK494" s="106"/>
      <c r="CL494" s="106"/>
      <c r="CM494" s="106"/>
      <c r="CN494" s="106"/>
      <c r="CO494" s="106"/>
      <c r="CP494" s="106"/>
      <c r="CQ494" s="106"/>
    </row>
    <row r="495" spans="8:95" ht="14.25" customHeight="1">
      <c r="H495" s="102"/>
      <c r="I495" s="102"/>
      <c r="J495" s="102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  <c r="CJ495" s="106"/>
      <c r="CK495" s="106"/>
      <c r="CL495" s="106"/>
      <c r="CM495" s="106"/>
      <c r="CN495" s="106"/>
      <c r="CO495" s="106"/>
      <c r="CP495" s="106"/>
      <c r="CQ495" s="106"/>
    </row>
    <row r="496" spans="8:95" ht="14.25" customHeight="1">
      <c r="H496" s="102"/>
      <c r="I496" s="102"/>
      <c r="J496" s="102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  <c r="CJ496" s="106"/>
      <c r="CK496" s="106"/>
      <c r="CL496" s="106"/>
      <c r="CM496" s="106"/>
      <c r="CN496" s="106"/>
      <c r="CO496" s="106"/>
      <c r="CP496" s="106"/>
      <c r="CQ496" s="106"/>
    </row>
    <row r="497" spans="8:95" ht="14.25" customHeight="1">
      <c r="H497" s="102"/>
      <c r="I497" s="102"/>
      <c r="J497" s="102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  <c r="CJ497" s="106"/>
      <c r="CK497" s="106"/>
      <c r="CL497" s="106"/>
      <c r="CM497" s="106"/>
      <c r="CN497" s="106"/>
      <c r="CO497" s="106"/>
      <c r="CP497" s="106"/>
      <c r="CQ497" s="106"/>
    </row>
    <row r="498" spans="8:95" ht="14.25" customHeight="1">
      <c r="H498" s="102"/>
      <c r="I498" s="102"/>
      <c r="J498" s="102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  <c r="CJ498" s="106"/>
      <c r="CK498" s="106"/>
      <c r="CL498" s="106"/>
      <c r="CM498" s="106"/>
      <c r="CN498" s="106"/>
      <c r="CO498" s="106"/>
      <c r="CP498" s="106"/>
      <c r="CQ498" s="106"/>
    </row>
    <row r="499" spans="8:95" ht="14.25" customHeight="1">
      <c r="H499" s="102"/>
      <c r="I499" s="102"/>
      <c r="J499" s="102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  <c r="CJ499" s="106"/>
      <c r="CK499" s="106"/>
      <c r="CL499" s="106"/>
      <c r="CM499" s="106"/>
      <c r="CN499" s="106"/>
      <c r="CO499" s="106"/>
      <c r="CP499" s="106"/>
      <c r="CQ499" s="106"/>
    </row>
    <row r="500" spans="8:95" ht="14.25" customHeight="1">
      <c r="H500" s="102"/>
      <c r="I500" s="102"/>
      <c r="J500" s="102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</row>
    <row r="501" spans="8:95" ht="14.25" customHeight="1">
      <c r="H501" s="102"/>
      <c r="I501" s="102"/>
      <c r="J501" s="102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  <c r="CJ501" s="106"/>
      <c r="CK501" s="106"/>
      <c r="CL501" s="106"/>
      <c r="CM501" s="106"/>
      <c r="CN501" s="106"/>
      <c r="CO501" s="106"/>
      <c r="CP501" s="106"/>
      <c r="CQ501" s="106"/>
    </row>
    <row r="502" spans="8:95" ht="14.25" customHeight="1">
      <c r="H502" s="102"/>
      <c r="I502" s="102"/>
      <c r="J502" s="102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  <c r="CJ502" s="106"/>
      <c r="CK502" s="106"/>
      <c r="CL502" s="106"/>
      <c r="CM502" s="106"/>
      <c r="CN502" s="106"/>
      <c r="CO502" s="106"/>
      <c r="CP502" s="106"/>
      <c r="CQ502" s="106"/>
    </row>
    <row r="503" spans="8:95" ht="14.25" customHeight="1">
      <c r="H503" s="102"/>
      <c r="I503" s="102"/>
      <c r="J503" s="102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  <c r="CJ503" s="106"/>
      <c r="CK503" s="106"/>
      <c r="CL503" s="106"/>
      <c r="CM503" s="106"/>
      <c r="CN503" s="106"/>
      <c r="CO503" s="106"/>
      <c r="CP503" s="106"/>
      <c r="CQ503" s="106"/>
    </row>
    <row r="504" spans="8:95" ht="14.25" customHeight="1">
      <c r="H504" s="102"/>
      <c r="I504" s="102"/>
      <c r="J504" s="102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  <c r="CJ504" s="106"/>
      <c r="CK504" s="106"/>
      <c r="CL504" s="106"/>
      <c r="CM504" s="106"/>
      <c r="CN504" s="106"/>
      <c r="CO504" s="106"/>
      <c r="CP504" s="106"/>
      <c r="CQ504" s="106"/>
    </row>
    <row r="505" spans="8:95" ht="14.25" customHeight="1">
      <c r="H505" s="102"/>
      <c r="I505" s="102"/>
      <c r="J505" s="102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  <c r="CJ505" s="106"/>
      <c r="CK505" s="106"/>
      <c r="CL505" s="106"/>
      <c r="CM505" s="106"/>
      <c r="CN505" s="106"/>
      <c r="CO505" s="106"/>
      <c r="CP505" s="106"/>
      <c r="CQ505" s="106"/>
    </row>
    <row r="506" spans="8:95" ht="14.25" customHeight="1">
      <c r="H506" s="102"/>
      <c r="I506" s="102"/>
      <c r="J506" s="102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  <c r="CJ506" s="106"/>
      <c r="CK506" s="106"/>
      <c r="CL506" s="106"/>
      <c r="CM506" s="106"/>
      <c r="CN506" s="106"/>
      <c r="CO506" s="106"/>
      <c r="CP506" s="106"/>
      <c r="CQ506" s="106"/>
    </row>
    <row r="507" spans="8:95" ht="14.25" customHeight="1">
      <c r="H507" s="102"/>
      <c r="I507" s="102"/>
      <c r="J507" s="102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  <c r="CJ507" s="106"/>
      <c r="CK507" s="106"/>
      <c r="CL507" s="106"/>
      <c r="CM507" s="106"/>
      <c r="CN507" s="106"/>
      <c r="CO507" s="106"/>
      <c r="CP507" s="106"/>
      <c r="CQ507" s="106"/>
    </row>
    <row r="508" spans="8:95" ht="14.25" customHeight="1">
      <c r="H508" s="102"/>
      <c r="I508" s="102"/>
      <c r="J508" s="102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  <c r="CJ508" s="106"/>
      <c r="CK508" s="106"/>
      <c r="CL508" s="106"/>
      <c r="CM508" s="106"/>
      <c r="CN508" s="106"/>
      <c r="CO508" s="106"/>
      <c r="CP508" s="106"/>
      <c r="CQ508" s="106"/>
    </row>
    <row r="509" spans="8:95" ht="14.25" customHeight="1">
      <c r="H509" s="102"/>
      <c r="I509" s="102"/>
      <c r="J509" s="102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  <c r="CJ509" s="106"/>
      <c r="CK509" s="106"/>
      <c r="CL509" s="106"/>
      <c r="CM509" s="106"/>
      <c r="CN509" s="106"/>
      <c r="CO509" s="106"/>
      <c r="CP509" s="106"/>
      <c r="CQ509" s="106"/>
    </row>
    <row r="510" spans="8:95" ht="14.25" customHeight="1">
      <c r="H510" s="102"/>
      <c r="I510" s="102"/>
      <c r="J510" s="102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  <c r="CJ510" s="106"/>
      <c r="CK510" s="106"/>
      <c r="CL510" s="106"/>
      <c r="CM510" s="106"/>
      <c r="CN510" s="106"/>
      <c r="CO510" s="106"/>
      <c r="CP510" s="106"/>
      <c r="CQ510" s="106"/>
    </row>
    <row r="511" spans="8:95" ht="14.25" customHeight="1">
      <c r="H511" s="102"/>
      <c r="I511" s="102"/>
      <c r="J511" s="102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  <c r="CJ511" s="106"/>
      <c r="CK511" s="106"/>
      <c r="CL511" s="106"/>
      <c r="CM511" s="106"/>
      <c r="CN511" s="106"/>
      <c r="CO511" s="106"/>
      <c r="CP511" s="106"/>
      <c r="CQ511" s="106"/>
    </row>
    <row r="512" spans="8:95" ht="14.25" customHeight="1">
      <c r="H512" s="102"/>
      <c r="I512" s="102"/>
      <c r="J512" s="102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  <c r="CJ512" s="106"/>
      <c r="CK512" s="106"/>
      <c r="CL512" s="106"/>
      <c r="CM512" s="106"/>
      <c r="CN512" s="106"/>
      <c r="CO512" s="106"/>
      <c r="CP512" s="106"/>
      <c r="CQ512" s="106"/>
    </row>
    <row r="513" spans="8:95" ht="14.25" customHeight="1">
      <c r="H513" s="102"/>
      <c r="I513" s="102"/>
      <c r="J513" s="102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  <c r="CJ513" s="106"/>
      <c r="CK513" s="106"/>
      <c r="CL513" s="106"/>
      <c r="CM513" s="106"/>
      <c r="CN513" s="106"/>
      <c r="CO513" s="106"/>
      <c r="CP513" s="106"/>
      <c r="CQ513" s="106"/>
    </row>
    <row r="514" spans="8:95" ht="14.25" customHeight="1">
      <c r="H514" s="102"/>
      <c r="I514" s="102"/>
      <c r="J514" s="102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  <c r="CJ514" s="106"/>
      <c r="CK514" s="106"/>
      <c r="CL514" s="106"/>
      <c r="CM514" s="106"/>
      <c r="CN514" s="106"/>
      <c r="CO514" s="106"/>
      <c r="CP514" s="106"/>
      <c r="CQ514" s="106"/>
    </row>
    <row r="515" spans="8:95" ht="14.25" customHeight="1">
      <c r="H515" s="102"/>
      <c r="I515" s="102"/>
      <c r="J515" s="102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  <c r="CJ515" s="106"/>
      <c r="CK515" s="106"/>
      <c r="CL515" s="106"/>
      <c r="CM515" s="106"/>
      <c r="CN515" s="106"/>
      <c r="CO515" s="106"/>
      <c r="CP515" s="106"/>
      <c r="CQ515" s="106"/>
    </row>
    <row r="516" spans="8:95" ht="14.25" customHeight="1">
      <c r="H516" s="102"/>
      <c r="I516" s="102"/>
      <c r="J516" s="102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  <c r="CJ516" s="106"/>
      <c r="CK516" s="106"/>
      <c r="CL516" s="106"/>
      <c r="CM516" s="106"/>
      <c r="CN516" s="106"/>
      <c r="CO516" s="106"/>
      <c r="CP516" s="106"/>
      <c r="CQ516" s="106"/>
    </row>
    <row r="517" spans="8:95" ht="14.25" customHeight="1">
      <c r="H517" s="102"/>
      <c r="I517" s="102"/>
      <c r="J517" s="102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  <c r="CJ517" s="106"/>
      <c r="CK517" s="106"/>
      <c r="CL517" s="106"/>
      <c r="CM517" s="106"/>
      <c r="CN517" s="106"/>
      <c r="CO517" s="106"/>
      <c r="CP517" s="106"/>
      <c r="CQ517" s="106"/>
    </row>
    <row r="518" spans="8:95" ht="14.25" customHeight="1">
      <c r="H518" s="102"/>
      <c r="I518" s="102"/>
      <c r="J518" s="102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  <c r="CJ518" s="106"/>
      <c r="CK518" s="106"/>
      <c r="CL518" s="106"/>
      <c r="CM518" s="106"/>
      <c r="CN518" s="106"/>
      <c r="CO518" s="106"/>
      <c r="CP518" s="106"/>
      <c r="CQ518" s="106"/>
    </row>
    <row r="519" spans="8:95" ht="14.25" customHeight="1">
      <c r="H519" s="102"/>
      <c r="I519" s="102"/>
      <c r="J519" s="102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  <c r="CJ519" s="106"/>
      <c r="CK519" s="106"/>
      <c r="CL519" s="106"/>
      <c r="CM519" s="106"/>
      <c r="CN519" s="106"/>
      <c r="CO519" s="106"/>
      <c r="CP519" s="106"/>
      <c r="CQ519" s="106"/>
    </row>
    <row r="520" spans="8:95" ht="14.25" customHeight="1">
      <c r="H520" s="102"/>
      <c r="I520" s="102"/>
      <c r="J520" s="102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  <c r="CJ520" s="106"/>
      <c r="CK520" s="106"/>
      <c r="CL520" s="106"/>
      <c r="CM520" s="106"/>
      <c r="CN520" s="106"/>
      <c r="CO520" s="106"/>
      <c r="CP520" s="106"/>
      <c r="CQ520" s="106"/>
    </row>
    <row r="521" spans="8:95" ht="14.25" customHeight="1">
      <c r="H521" s="102"/>
      <c r="I521" s="102"/>
      <c r="J521" s="102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  <c r="CJ521" s="106"/>
      <c r="CK521" s="106"/>
      <c r="CL521" s="106"/>
      <c r="CM521" s="106"/>
      <c r="CN521" s="106"/>
      <c r="CO521" s="106"/>
      <c r="CP521" s="106"/>
      <c r="CQ521" s="106"/>
    </row>
    <row r="522" spans="8:95" ht="14.25" customHeight="1">
      <c r="H522" s="102"/>
      <c r="I522" s="102"/>
      <c r="J522" s="102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  <c r="CJ522" s="106"/>
      <c r="CK522" s="106"/>
      <c r="CL522" s="106"/>
      <c r="CM522" s="106"/>
      <c r="CN522" s="106"/>
      <c r="CO522" s="106"/>
      <c r="CP522" s="106"/>
      <c r="CQ522" s="106"/>
    </row>
    <row r="523" spans="8:95" ht="14.25" customHeight="1">
      <c r="H523" s="102"/>
      <c r="I523" s="102"/>
      <c r="J523" s="102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  <c r="CJ523" s="106"/>
      <c r="CK523" s="106"/>
      <c r="CL523" s="106"/>
      <c r="CM523" s="106"/>
      <c r="CN523" s="106"/>
      <c r="CO523" s="106"/>
      <c r="CP523" s="106"/>
      <c r="CQ523" s="106"/>
    </row>
    <row r="524" spans="8:95" ht="14.25" customHeight="1">
      <c r="H524" s="102"/>
      <c r="I524" s="102"/>
      <c r="J524" s="102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  <c r="CJ524" s="106"/>
      <c r="CK524" s="106"/>
      <c r="CL524" s="106"/>
      <c r="CM524" s="106"/>
      <c r="CN524" s="106"/>
      <c r="CO524" s="106"/>
      <c r="CP524" s="106"/>
      <c r="CQ524" s="106"/>
    </row>
    <row r="525" spans="8:95" ht="14.25" customHeight="1">
      <c r="H525" s="102"/>
      <c r="I525" s="102"/>
      <c r="J525" s="102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  <c r="CJ525" s="106"/>
      <c r="CK525" s="106"/>
      <c r="CL525" s="106"/>
      <c r="CM525" s="106"/>
      <c r="CN525" s="106"/>
      <c r="CO525" s="106"/>
      <c r="CP525" s="106"/>
      <c r="CQ525" s="106"/>
    </row>
    <row r="526" spans="8:95" ht="14.25" customHeight="1">
      <c r="H526" s="102"/>
      <c r="I526" s="102"/>
      <c r="J526" s="102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  <c r="CJ526" s="106"/>
      <c r="CK526" s="106"/>
      <c r="CL526" s="106"/>
      <c r="CM526" s="106"/>
      <c r="CN526" s="106"/>
      <c r="CO526" s="106"/>
      <c r="CP526" s="106"/>
      <c r="CQ526" s="106"/>
    </row>
    <row r="527" spans="8:95" ht="14.25" customHeight="1">
      <c r="H527" s="102"/>
      <c r="I527" s="102"/>
      <c r="J527" s="102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  <c r="CJ527" s="106"/>
      <c r="CK527" s="106"/>
      <c r="CL527" s="106"/>
      <c r="CM527" s="106"/>
      <c r="CN527" s="106"/>
      <c r="CO527" s="106"/>
      <c r="CP527" s="106"/>
      <c r="CQ527" s="106"/>
    </row>
    <row r="528" spans="8:95" ht="14.25" customHeight="1">
      <c r="H528" s="102"/>
      <c r="I528" s="102"/>
      <c r="J528" s="102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  <c r="CJ528" s="106"/>
      <c r="CK528" s="106"/>
      <c r="CL528" s="106"/>
      <c r="CM528" s="106"/>
      <c r="CN528" s="106"/>
      <c r="CO528" s="106"/>
      <c r="CP528" s="106"/>
      <c r="CQ528" s="106"/>
    </row>
    <row r="529" spans="8:95" ht="14.25" customHeight="1">
      <c r="H529" s="102"/>
      <c r="I529" s="102"/>
      <c r="J529" s="102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  <c r="CJ529" s="106"/>
      <c r="CK529" s="106"/>
      <c r="CL529" s="106"/>
      <c r="CM529" s="106"/>
      <c r="CN529" s="106"/>
      <c r="CO529" s="106"/>
      <c r="CP529" s="106"/>
      <c r="CQ529" s="106"/>
    </row>
    <row r="530" spans="8:95" ht="14.25" customHeight="1">
      <c r="H530" s="102"/>
      <c r="I530" s="102"/>
      <c r="J530" s="102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  <c r="CJ530" s="106"/>
      <c r="CK530" s="106"/>
      <c r="CL530" s="106"/>
      <c r="CM530" s="106"/>
      <c r="CN530" s="106"/>
      <c r="CO530" s="106"/>
      <c r="CP530" s="106"/>
      <c r="CQ530" s="106"/>
    </row>
    <row r="531" spans="8:95" ht="14.25" customHeight="1">
      <c r="H531" s="102"/>
      <c r="I531" s="102"/>
      <c r="J531" s="102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  <c r="CJ531" s="106"/>
      <c r="CK531" s="106"/>
      <c r="CL531" s="106"/>
      <c r="CM531" s="106"/>
      <c r="CN531" s="106"/>
      <c r="CO531" s="106"/>
      <c r="CP531" s="106"/>
      <c r="CQ531" s="106"/>
    </row>
    <row r="532" spans="8:95" ht="14.25" customHeight="1">
      <c r="H532" s="102"/>
      <c r="I532" s="102"/>
      <c r="J532" s="102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  <c r="CJ532" s="106"/>
      <c r="CK532" s="106"/>
      <c r="CL532" s="106"/>
      <c r="CM532" s="106"/>
      <c r="CN532" s="106"/>
      <c r="CO532" s="106"/>
      <c r="CP532" s="106"/>
      <c r="CQ532" s="106"/>
    </row>
    <row r="533" spans="8:95" ht="14.25" customHeight="1">
      <c r="H533" s="102"/>
      <c r="I533" s="102"/>
      <c r="J533" s="102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  <c r="CJ533" s="106"/>
      <c r="CK533" s="106"/>
      <c r="CL533" s="106"/>
      <c r="CM533" s="106"/>
      <c r="CN533" s="106"/>
      <c r="CO533" s="106"/>
      <c r="CP533" s="106"/>
      <c r="CQ533" s="106"/>
    </row>
    <row r="534" spans="8:95" ht="14.25" customHeight="1">
      <c r="H534" s="102"/>
      <c r="I534" s="102"/>
      <c r="J534" s="102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  <c r="CJ534" s="106"/>
      <c r="CK534" s="106"/>
      <c r="CL534" s="106"/>
      <c r="CM534" s="106"/>
      <c r="CN534" s="106"/>
      <c r="CO534" s="106"/>
      <c r="CP534" s="106"/>
      <c r="CQ534" s="106"/>
    </row>
    <row r="535" spans="8:95" ht="14.25" customHeight="1">
      <c r="H535" s="102"/>
      <c r="I535" s="102"/>
      <c r="J535" s="102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  <c r="CJ535" s="106"/>
      <c r="CK535" s="106"/>
      <c r="CL535" s="106"/>
      <c r="CM535" s="106"/>
      <c r="CN535" s="106"/>
      <c r="CO535" s="106"/>
      <c r="CP535" s="106"/>
      <c r="CQ535" s="106"/>
    </row>
    <row r="536" spans="8:95" ht="14.25" customHeight="1">
      <c r="H536" s="102"/>
      <c r="I536" s="102"/>
      <c r="J536" s="102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  <c r="CJ536" s="106"/>
      <c r="CK536" s="106"/>
      <c r="CL536" s="106"/>
      <c r="CM536" s="106"/>
      <c r="CN536" s="106"/>
      <c r="CO536" s="106"/>
      <c r="CP536" s="106"/>
      <c r="CQ536" s="106"/>
    </row>
    <row r="537" spans="8:95" ht="14.25" customHeight="1">
      <c r="H537" s="102"/>
      <c r="I537" s="102"/>
      <c r="J537" s="102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  <c r="CJ537" s="106"/>
      <c r="CK537" s="106"/>
      <c r="CL537" s="106"/>
      <c r="CM537" s="106"/>
      <c r="CN537" s="106"/>
      <c r="CO537" s="106"/>
      <c r="CP537" s="106"/>
      <c r="CQ537" s="106"/>
    </row>
    <row r="538" spans="8:95" ht="14.25" customHeight="1">
      <c r="H538" s="102"/>
      <c r="I538" s="102"/>
      <c r="J538" s="102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  <c r="CJ538" s="106"/>
      <c r="CK538" s="106"/>
      <c r="CL538" s="106"/>
      <c r="CM538" s="106"/>
      <c r="CN538" s="106"/>
      <c r="CO538" s="106"/>
      <c r="CP538" s="106"/>
      <c r="CQ538" s="106"/>
    </row>
    <row r="539" spans="8:95" ht="14.25" customHeight="1">
      <c r="H539" s="102"/>
      <c r="I539" s="102"/>
      <c r="J539" s="102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  <c r="CJ539" s="106"/>
      <c r="CK539" s="106"/>
      <c r="CL539" s="106"/>
      <c r="CM539" s="106"/>
      <c r="CN539" s="106"/>
      <c r="CO539" s="106"/>
      <c r="CP539" s="106"/>
      <c r="CQ539" s="106"/>
    </row>
    <row r="540" spans="8:95" ht="14.25" customHeight="1">
      <c r="H540" s="102"/>
      <c r="I540" s="102"/>
      <c r="J540" s="102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  <c r="CJ540" s="106"/>
      <c r="CK540" s="106"/>
      <c r="CL540" s="106"/>
      <c r="CM540" s="106"/>
      <c r="CN540" s="106"/>
      <c r="CO540" s="106"/>
      <c r="CP540" s="106"/>
      <c r="CQ540" s="106"/>
    </row>
    <row r="541" spans="8:95" ht="14.25" customHeight="1">
      <c r="H541" s="102"/>
      <c r="I541" s="102"/>
      <c r="J541" s="102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  <c r="CJ541" s="106"/>
      <c r="CK541" s="106"/>
      <c r="CL541" s="106"/>
      <c r="CM541" s="106"/>
      <c r="CN541" s="106"/>
      <c r="CO541" s="106"/>
      <c r="CP541" s="106"/>
      <c r="CQ541" s="106"/>
    </row>
    <row r="542" spans="8:95" ht="14.25" customHeight="1">
      <c r="H542" s="102"/>
      <c r="I542" s="102"/>
      <c r="J542" s="102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  <c r="CJ542" s="106"/>
      <c r="CK542" s="106"/>
      <c r="CL542" s="106"/>
      <c r="CM542" s="106"/>
      <c r="CN542" s="106"/>
      <c r="CO542" s="106"/>
      <c r="CP542" s="106"/>
      <c r="CQ542" s="106"/>
    </row>
    <row r="543" spans="8:95" ht="14.25" customHeight="1">
      <c r="H543" s="102"/>
      <c r="I543" s="102"/>
      <c r="J543" s="102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  <c r="CJ543" s="106"/>
      <c r="CK543" s="106"/>
      <c r="CL543" s="106"/>
      <c r="CM543" s="106"/>
      <c r="CN543" s="106"/>
      <c r="CO543" s="106"/>
      <c r="CP543" s="106"/>
      <c r="CQ543" s="106"/>
    </row>
    <row r="544" spans="8:95" ht="14.25" customHeight="1">
      <c r="H544" s="102"/>
      <c r="I544" s="102"/>
      <c r="J544" s="102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  <c r="CJ544" s="106"/>
      <c r="CK544" s="106"/>
      <c r="CL544" s="106"/>
      <c r="CM544" s="106"/>
      <c r="CN544" s="106"/>
      <c r="CO544" s="106"/>
      <c r="CP544" s="106"/>
      <c r="CQ544" s="106"/>
    </row>
    <row r="545" spans="8:95" ht="14.25" customHeight="1">
      <c r="H545" s="102"/>
      <c r="I545" s="102"/>
      <c r="J545" s="102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  <c r="CJ545" s="106"/>
      <c r="CK545" s="106"/>
      <c r="CL545" s="106"/>
      <c r="CM545" s="106"/>
      <c r="CN545" s="106"/>
      <c r="CO545" s="106"/>
      <c r="CP545" s="106"/>
      <c r="CQ545" s="106"/>
    </row>
    <row r="546" spans="8:95" ht="14.25" customHeight="1">
      <c r="H546" s="102"/>
      <c r="I546" s="102"/>
      <c r="J546" s="102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  <c r="CJ546" s="106"/>
      <c r="CK546" s="106"/>
      <c r="CL546" s="106"/>
      <c r="CM546" s="106"/>
      <c r="CN546" s="106"/>
      <c r="CO546" s="106"/>
      <c r="CP546" s="106"/>
      <c r="CQ546" s="106"/>
    </row>
    <row r="547" spans="8:95" ht="14.25" customHeight="1">
      <c r="H547" s="102"/>
      <c r="I547" s="102"/>
      <c r="J547" s="102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  <c r="CJ547" s="106"/>
      <c r="CK547" s="106"/>
      <c r="CL547" s="106"/>
      <c r="CM547" s="106"/>
      <c r="CN547" s="106"/>
      <c r="CO547" s="106"/>
      <c r="CP547" s="106"/>
      <c r="CQ547" s="106"/>
    </row>
    <row r="548" spans="8:95" ht="14.25" customHeight="1">
      <c r="H548" s="102"/>
      <c r="I548" s="102"/>
      <c r="J548" s="102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  <c r="CJ548" s="106"/>
      <c r="CK548" s="106"/>
      <c r="CL548" s="106"/>
      <c r="CM548" s="106"/>
      <c r="CN548" s="106"/>
      <c r="CO548" s="106"/>
      <c r="CP548" s="106"/>
      <c r="CQ548" s="106"/>
    </row>
    <row r="549" spans="8:95" ht="14.25" customHeight="1">
      <c r="H549" s="102"/>
      <c r="I549" s="102"/>
      <c r="J549" s="102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  <c r="CJ549" s="106"/>
      <c r="CK549" s="106"/>
      <c r="CL549" s="106"/>
      <c r="CM549" s="106"/>
      <c r="CN549" s="106"/>
      <c r="CO549" s="106"/>
      <c r="CP549" s="106"/>
      <c r="CQ549" s="106"/>
    </row>
    <row r="550" spans="8:95" ht="14.25" customHeight="1">
      <c r="H550" s="102"/>
      <c r="I550" s="102"/>
      <c r="J550" s="102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  <c r="CJ550" s="106"/>
      <c r="CK550" s="106"/>
      <c r="CL550" s="106"/>
      <c r="CM550" s="106"/>
      <c r="CN550" s="106"/>
      <c r="CO550" s="106"/>
      <c r="CP550" s="106"/>
      <c r="CQ550" s="106"/>
    </row>
    <row r="551" spans="8:95" ht="14.25" customHeight="1">
      <c r="H551" s="102"/>
      <c r="I551" s="102"/>
      <c r="J551" s="102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  <c r="CJ551" s="106"/>
      <c r="CK551" s="106"/>
      <c r="CL551" s="106"/>
      <c r="CM551" s="106"/>
      <c r="CN551" s="106"/>
      <c r="CO551" s="106"/>
      <c r="CP551" s="106"/>
      <c r="CQ551" s="106"/>
    </row>
    <row r="552" spans="8:95" ht="14.25" customHeight="1">
      <c r="H552" s="102"/>
      <c r="I552" s="102"/>
      <c r="J552" s="102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  <c r="CJ552" s="106"/>
      <c r="CK552" s="106"/>
      <c r="CL552" s="106"/>
      <c r="CM552" s="106"/>
      <c r="CN552" s="106"/>
      <c r="CO552" s="106"/>
      <c r="CP552" s="106"/>
      <c r="CQ552" s="106"/>
    </row>
    <row r="553" spans="8:95" ht="14.25" customHeight="1">
      <c r="H553" s="102"/>
      <c r="I553" s="102"/>
      <c r="J553" s="102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  <c r="CJ553" s="106"/>
      <c r="CK553" s="106"/>
      <c r="CL553" s="106"/>
      <c r="CM553" s="106"/>
      <c r="CN553" s="106"/>
      <c r="CO553" s="106"/>
      <c r="CP553" s="106"/>
      <c r="CQ553" s="106"/>
    </row>
    <row r="554" spans="8:95" ht="14.25" customHeight="1">
      <c r="H554" s="102"/>
      <c r="I554" s="102"/>
      <c r="J554" s="102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  <c r="CJ554" s="106"/>
      <c r="CK554" s="106"/>
      <c r="CL554" s="106"/>
      <c r="CM554" s="106"/>
      <c r="CN554" s="106"/>
      <c r="CO554" s="106"/>
      <c r="CP554" s="106"/>
      <c r="CQ554" s="106"/>
    </row>
    <row r="555" spans="8:95" ht="14.25" customHeight="1">
      <c r="H555" s="102"/>
      <c r="I555" s="102"/>
      <c r="J555" s="102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  <c r="CJ555" s="106"/>
      <c r="CK555" s="106"/>
      <c r="CL555" s="106"/>
      <c r="CM555" s="106"/>
      <c r="CN555" s="106"/>
      <c r="CO555" s="106"/>
      <c r="CP555" s="106"/>
      <c r="CQ555" s="106"/>
    </row>
    <row r="556" spans="8:95" ht="14.25" customHeight="1">
      <c r="H556" s="102"/>
      <c r="I556" s="102"/>
      <c r="J556" s="102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  <c r="CJ556" s="106"/>
      <c r="CK556" s="106"/>
      <c r="CL556" s="106"/>
      <c r="CM556" s="106"/>
      <c r="CN556" s="106"/>
      <c r="CO556" s="106"/>
      <c r="CP556" s="106"/>
      <c r="CQ556" s="106"/>
    </row>
    <row r="557" spans="8:95" ht="14.25" customHeight="1">
      <c r="H557" s="102"/>
      <c r="I557" s="102"/>
      <c r="J557" s="102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  <c r="CJ557" s="106"/>
      <c r="CK557" s="106"/>
      <c r="CL557" s="106"/>
      <c r="CM557" s="106"/>
      <c r="CN557" s="106"/>
      <c r="CO557" s="106"/>
      <c r="CP557" s="106"/>
      <c r="CQ557" s="106"/>
    </row>
    <row r="558" spans="8:95" ht="14.25" customHeight="1">
      <c r="H558" s="102"/>
      <c r="I558" s="102"/>
      <c r="J558" s="102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  <c r="CJ558" s="106"/>
      <c r="CK558" s="106"/>
      <c r="CL558" s="106"/>
      <c r="CM558" s="106"/>
      <c r="CN558" s="106"/>
      <c r="CO558" s="106"/>
      <c r="CP558" s="106"/>
      <c r="CQ558" s="106"/>
    </row>
    <row r="559" spans="8:95" ht="14.25" customHeight="1">
      <c r="H559" s="102"/>
      <c r="I559" s="102"/>
      <c r="J559" s="102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  <c r="CJ559" s="106"/>
      <c r="CK559" s="106"/>
      <c r="CL559" s="106"/>
      <c r="CM559" s="106"/>
      <c r="CN559" s="106"/>
      <c r="CO559" s="106"/>
      <c r="CP559" s="106"/>
      <c r="CQ559" s="106"/>
    </row>
    <row r="560" spans="8:95" ht="14.25" customHeight="1">
      <c r="H560" s="102"/>
      <c r="I560" s="102"/>
      <c r="J560" s="102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  <c r="CJ560" s="106"/>
      <c r="CK560" s="106"/>
      <c r="CL560" s="106"/>
      <c r="CM560" s="106"/>
      <c r="CN560" s="106"/>
      <c r="CO560" s="106"/>
      <c r="CP560" s="106"/>
      <c r="CQ560" s="106"/>
    </row>
    <row r="561" spans="8:95" ht="14.25" customHeight="1">
      <c r="H561" s="102"/>
      <c r="I561" s="102"/>
      <c r="J561" s="102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  <c r="CJ561" s="106"/>
      <c r="CK561" s="106"/>
      <c r="CL561" s="106"/>
      <c r="CM561" s="106"/>
      <c r="CN561" s="106"/>
      <c r="CO561" s="106"/>
      <c r="CP561" s="106"/>
      <c r="CQ561" s="106"/>
    </row>
    <row r="562" spans="8:95" ht="14.25" customHeight="1">
      <c r="H562" s="102"/>
      <c r="I562" s="102"/>
      <c r="J562" s="102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  <c r="CJ562" s="106"/>
      <c r="CK562" s="106"/>
      <c r="CL562" s="106"/>
      <c r="CM562" s="106"/>
      <c r="CN562" s="106"/>
      <c r="CO562" s="106"/>
      <c r="CP562" s="106"/>
      <c r="CQ562" s="106"/>
    </row>
    <row r="563" spans="8:95" ht="14.25" customHeight="1">
      <c r="H563" s="102"/>
      <c r="I563" s="102"/>
      <c r="J563" s="102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  <c r="CJ563" s="106"/>
      <c r="CK563" s="106"/>
      <c r="CL563" s="106"/>
      <c r="CM563" s="106"/>
      <c r="CN563" s="106"/>
      <c r="CO563" s="106"/>
      <c r="CP563" s="106"/>
      <c r="CQ563" s="106"/>
    </row>
    <row r="564" spans="8:95" ht="14.25" customHeight="1">
      <c r="H564" s="102"/>
      <c r="I564" s="102"/>
      <c r="J564" s="102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  <c r="CJ564" s="106"/>
      <c r="CK564" s="106"/>
      <c r="CL564" s="106"/>
      <c r="CM564" s="106"/>
      <c r="CN564" s="106"/>
      <c r="CO564" s="106"/>
      <c r="CP564" s="106"/>
      <c r="CQ564" s="106"/>
    </row>
    <row r="565" spans="8:95" ht="14.25" customHeight="1">
      <c r="H565" s="102"/>
      <c r="I565" s="102"/>
      <c r="J565" s="102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  <c r="CJ565" s="106"/>
      <c r="CK565" s="106"/>
      <c r="CL565" s="106"/>
      <c r="CM565" s="106"/>
      <c r="CN565" s="106"/>
      <c r="CO565" s="106"/>
      <c r="CP565" s="106"/>
      <c r="CQ565" s="106"/>
    </row>
    <row r="566" spans="8:95" ht="14.25" customHeight="1">
      <c r="H566" s="102"/>
      <c r="I566" s="102"/>
      <c r="J566" s="102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  <c r="CJ566" s="106"/>
      <c r="CK566" s="106"/>
      <c r="CL566" s="106"/>
      <c r="CM566" s="106"/>
      <c r="CN566" s="106"/>
      <c r="CO566" s="106"/>
      <c r="CP566" s="106"/>
      <c r="CQ566" s="106"/>
    </row>
    <row r="567" spans="8:95" ht="14.25" customHeight="1">
      <c r="H567" s="102"/>
      <c r="I567" s="102"/>
      <c r="J567" s="102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  <c r="CJ567" s="106"/>
      <c r="CK567" s="106"/>
      <c r="CL567" s="106"/>
      <c r="CM567" s="106"/>
      <c r="CN567" s="106"/>
      <c r="CO567" s="106"/>
      <c r="CP567" s="106"/>
      <c r="CQ567" s="106"/>
    </row>
    <row r="568" spans="8:95" ht="14.25" customHeight="1">
      <c r="H568" s="102"/>
      <c r="I568" s="102"/>
      <c r="J568" s="102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  <c r="CJ568" s="106"/>
      <c r="CK568" s="106"/>
      <c r="CL568" s="106"/>
      <c r="CM568" s="106"/>
      <c r="CN568" s="106"/>
      <c r="CO568" s="106"/>
      <c r="CP568" s="106"/>
      <c r="CQ568" s="106"/>
    </row>
    <row r="569" spans="8:95" ht="14.25" customHeight="1">
      <c r="H569" s="102"/>
      <c r="I569" s="102"/>
      <c r="J569" s="102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  <c r="CJ569" s="106"/>
      <c r="CK569" s="106"/>
      <c r="CL569" s="106"/>
      <c r="CM569" s="106"/>
      <c r="CN569" s="106"/>
      <c r="CO569" s="106"/>
      <c r="CP569" s="106"/>
      <c r="CQ569" s="106"/>
    </row>
    <row r="570" spans="8:95" ht="14.25" customHeight="1">
      <c r="H570" s="102"/>
      <c r="I570" s="102"/>
      <c r="J570" s="102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  <c r="CJ570" s="106"/>
      <c r="CK570" s="106"/>
      <c r="CL570" s="106"/>
      <c r="CM570" s="106"/>
      <c r="CN570" s="106"/>
      <c r="CO570" s="106"/>
      <c r="CP570" s="106"/>
      <c r="CQ570" s="106"/>
    </row>
    <row r="571" spans="8:95" ht="14.25" customHeight="1">
      <c r="H571" s="102"/>
      <c r="I571" s="102"/>
      <c r="J571" s="102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  <c r="CJ571" s="106"/>
      <c r="CK571" s="106"/>
      <c r="CL571" s="106"/>
      <c r="CM571" s="106"/>
      <c r="CN571" s="106"/>
      <c r="CO571" s="106"/>
      <c r="CP571" s="106"/>
      <c r="CQ571" s="106"/>
    </row>
    <row r="572" spans="8:95" ht="14.25" customHeight="1">
      <c r="H572" s="102"/>
      <c r="I572" s="102"/>
      <c r="J572" s="102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  <c r="CJ572" s="106"/>
      <c r="CK572" s="106"/>
      <c r="CL572" s="106"/>
      <c r="CM572" s="106"/>
      <c r="CN572" s="106"/>
      <c r="CO572" s="106"/>
      <c r="CP572" s="106"/>
      <c r="CQ572" s="106"/>
    </row>
    <row r="573" spans="8:95" ht="14.25" customHeight="1">
      <c r="H573" s="102"/>
      <c r="I573" s="102"/>
      <c r="J573" s="102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  <c r="CJ573" s="106"/>
      <c r="CK573" s="106"/>
      <c r="CL573" s="106"/>
      <c r="CM573" s="106"/>
      <c r="CN573" s="106"/>
      <c r="CO573" s="106"/>
      <c r="CP573" s="106"/>
      <c r="CQ573" s="106"/>
    </row>
    <row r="574" spans="8:95" ht="14.25" customHeight="1">
      <c r="H574" s="102"/>
      <c r="I574" s="102"/>
      <c r="J574" s="102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  <c r="CJ574" s="106"/>
      <c r="CK574" s="106"/>
      <c r="CL574" s="106"/>
      <c r="CM574" s="106"/>
      <c r="CN574" s="106"/>
      <c r="CO574" s="106"/>
      <c r="CP574" s="106"/>
      <c r="CQ574" s="106"/>
    </row>
    <row r="575" spans="8:95" ht="14.25" customHeight="1">
      <c r="H575" s="102"/>
      <c r="I575" s="102"/>
      <c r="J575" s="102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  <c r="CJ575" s="106"/>
      <c r="CK575" s="106"/>
      <c r="CL575" s="106"/>
      <c r="CM575" s="106"/>
      <c r="CN575" s="106"/>
      <c r="CO575" s="106"/>
      <c r="CP575" s="106"/>
      <c r="CQ575" s="106"/>
    </row>
    <row r="576" spans="8:95" ht="14.25" customHeight="1">
      <c r="H576" s="102"/>
      <c r="I576" s="102"/>
      <c r="J576" s="102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  <c r="CJ576" s="106"/>
      <c r="CK576" s="106"/>
      <c r="CL576" s="106"/>
      <c r="CM576" s="106"/>
      <c r="CN576" s="106"/>
      <c r="CO576" s="106"/>
      <c r="CP576" s="106"/>
      <c r="CQ576" s="106"/>
    </row>
    <row r="577" spans="8:95" ht="14.25" customHeight="1">
      <c r="H577" s="102"/>
      <c r="I577" s="102"/>
      <c r="J577" s="102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  <c r="CJ577" s="106"/>
      <c r="CK577" s="106"/>
      <c r="CL577" s="106"/>
      <c r="CM577" s="106"/>
      <c r="CN577" s="106"/>
      <c r="CO577" s="106"/>
      <c r="CP577" s="106"/>
      <c r="CQ577" s="106"/>
    </row>
    <row r="578" spans="8:95" ht="14.25" customHeight="1">
      <c r="H578" s="102"/>
      <c r="I578" s="102"/>
      <c r="J578" s="102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  <c r="CJ578" s="106"/>
      <c r="CK578" s="106"/>
      <c r="CL578" s="106"/>
      <c r="CM578" s="106"/>
      <c r="CN578" s="106"/>
      <c r="CO578" s="106"/>
      <c r="CP578" s="106"/>
      <c r="CQ578" s="106"/>
    </row>
    <row r="579" spans="8:95" ht="14.25" customHeight="1">
      <c r="H579" s="102"/>
      <c r="I579" s="102"/>
      <c r="J579" s="102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  <c r="CJ579" s="106"/>
      <c r="CK579" s="106"/>
      <c r="CL579" s="106"/>
      <c r="CM579" s="106"/>
      <c r="CN579" s="106"/>
      <c r="CO579" s="106"/>
      <c r="CP579" s="106"/>
      <c r="CQ579" s="106"/>
    </row>
    <row r="580" spans="8:95" ht="14.25" customHeight="1">
      <c r="H580" s="102"/>
      <c r="I580" s="102"/>
      <c r="J580" s="102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  <c r="CJ580" s="106"/>
      <c r="CK580" s="106"/>
      <c r="CL580" s="106"/>
      <c r="CM580" s="106"/>
      <c r="CN580" s="106"/>
      <c r="CO580" s="106"/>
      <c r="CP580" s="106"/>
      <c r="CQ580" s="106"/>
    </row>
    <row r="581" spans="8:95" ht="14.25" customHeight="1">
      <c r="H581" s="102"/>
      <c r="I581" s="102"/>
      <c r="J581" s="102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  <c r="CJ581" s="106"/>
      <c r="CK581" s="106"/>
      <c r="CL581" s="106"/>
      <c r="CM581" s="106"/>
      <c r="CN581" s="106"/>
      <c r="CO581" s="106"/>
      <c r="CP581" s="106"/>
      <c r="CQ581" s="106"/>
    </row>
    <row r="582" spans="8:95" ht="14.25" customHeight="1">
      <c r="H582" s="102"/>
      <c r="I582" s="102"/>
      <c r="J582" s="102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  <c r="CJ582" s="106"/>
      <c r="CK582" s="106"/>
      <c r="CL582" s="106"/>
      <c r="CM582" s="106"/>
      <c r="CN582" s="106"/>
      <c r="CO582" s="106"/>
      <c r="CP582" s="106"/>
      <c r="CQ582" s="106"/>
    </row>
    <row r="583" spans="8:95" ht="14.25" customHeight="1">
      <c r="H583" s="102"/>
      <c r="I583" s="102"/>
      <c r="J583" s="102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  <c r="CJ583" s="106"/>
      <c r="CK583" s="106"/>
      <c r="CL583" s="106"/>
      <c r="CM583" s="106"/>
      <c r="CN583" s="106"/>
      <c r="CO583" s="106"/>
      <c r="CP583" s="106"/>
      <c r="CQ583" s="106"/>
    </row>
    <row r="584" spans="8:95" ht="14.25" customHeight="1">
      <c r="H584" s="102"/>
      <c r="I584" s="102"/>
      <c r="J584" s="102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  <c r="CJ584" s="106"/>
      <c r="CK584" s="106"/>
      <c r="CL584" s="106"/>
      <c r="CM584" s="106"/>
      <c r="CN584" s="106"/>
      <c r="CO584" s="106"/>
      <c r="CP584" s="106"/>
      <c r="CQ584" s="106"/>
    </row>
    <row r="585" spans="8:95" ht="14.25" customHeight="1">
      <c r="H585" s="102"/>
      <c r="I585" s="102"/>
      <c r="J585" s="102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  <c r="CJ585" s="106"/>
      <c r="CK585" s="106"/>
      <c r="CL585" s="106"/>
      <c r="CM585" s="106"/>
      <c r="CN585" s="106"/>
      <c r="CO585" s="106"/>
      <c r="CP585" s="106"/>
      <c r="CQ585" s="106"/>
    </row>
    <row r="586" spans="8:95" ht="14.25" customHeight="1">
      <c r="H586" s="102"/>
      <c r="I586" s="102"/>
      <c r="J586" s="102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  <c r="CJ586" s="106"/>
      <c r="CK586" s="106"/>
      <c r="CL586" s="106"/>
      <c r="CM586" s="106"/>
      <c r="CN586" s="106"/>
      <c r="CO586" s="106"/>
      <c r="CP586" s="106"/>
      <c r="CQ586" s="106"/>
    </row>
    <row r="587" spans="8:95" ht="14.25" customHeight="1">
      <c r="H587" s="102"/>
      <c r="I587" s="102"/>
      <c r="J587" s="102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  <c r="CJ587" s="106"/>
      <c r="CK587" s="106"/>
      <c r="CL587" s="106"/>
      <c r="CM587" s="106"/>
      <c r="CN587" s="106"/>
      <c r="CO587" s="106"/>
      <c r="CP587" s="106"/>
      <c r="CQ587" s="106"/>
    </row>
    <row r="588" spans="8:95" ht="14.25" customHeight="1">
      <c r="H588" s="102"/>
      <c r="I588" s="102"/>
      <c r="J588" s="102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  <c r="CJ588" s="106"/>
      <c r="CK588" s="106"/>
      <c r="CL588" s="106"/>
      <c r="CM588" s="106"/>
      <c r="CN588" s="106"/>
      <c r="CO588" s="106"/>
      <c r="CP588" s="106"/>
      <c r="CQ588" s="106"/>
    </row>
    <row r="589" spans="8:95" ht="14.25" customHeight="1">
      <c r="H589" s="102"/>
      <c r="I589" s="102"/>
      <c r="J589" s="102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  <c r="CJ589" s="106"/>
      <c r="CK589" s="106"/>
      <c r="CL589" s="106"/>
      <c r="CM589" s="106"/>
      <c r="CN589" s="106"/>
      <c r="CO589" s="106"/>
      <c r="CP589" s="106"/>
      <c r="CQ589" s="106"/>
    </row>
    <row r="590" spans="8:95" ht="14.25" customHeight="1">
      <c r="H590" s="102"/>
      <c r="I590" s="102"/>
      <c r="J590" s="102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  <c r="CJ590" s="106"/>
      <c r="CK590" s="106"/>
      <c r="CL590" s="106"/>
      <c r="CM590" s="106"/>
      <c r="CN590" s="106"/>
      <c r="CO590" s="106"/>
      <c r="CP590" s="106"/>
      <c r="CQ590" s="106"/>
    </row>
    <row r="591" spans="8:95" ht="14.25" customHeight="1">
      <c r="H591" s="102"/>
      <c r="I591" s="102"/>
      <c r="J591" s="102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  <c r="CJ591" s="106"/>
      <c r="CK591" s="106"/>
      <c r="CL591" s="106"/>
      <c r="CM591" s="106"/>
      <c r="CN591" s="106"/>
      <c r="CO591" s="106"/>
      <c r="CP591" s="106"/>
      <c r="CQ591" s="106"/>
    </row>
    <row r="592" spans="8:95" ht="14.25" customHeight="1">
      <c r="H592" s="102"/>
      <c r="I592" s="102"/>
      <c r="J592" s="102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  <c r="CJ592" s="106"/>
      <c r="CK592" s="106"/>
      <c r="CL592" s="106"/>
      <c r="CM592" s="106"/>
      <c r="CN592" s="106"/>
      <c r="CO592" s="106"/>
      <c r="CP592" s="106"/>
      <c r="CQ592" s="106"/>
    </row>
    <row r="593" spans="8:95" ht="14.25" customHeight="1">
      <c r="H593" s="102"/>
      <c r="I593" s="102"/>
      <c r="J593" s="102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  <c r="CJ593" s="106"/>
      <c r="CK593" s="106"/>
      <c r="CL593" s="106"/>
      <c r="CM593" s="106"/>
      <c r="CN593" s="106"/>
      <c r="CO593" s="106"/>
      <c r="CP593" s="106"/>
      <c r="CQ593" s="106"/>
    </row>
    <row r="594" spans="8:95" ht="14.25" customHeight="1">
      <c r="H594" s="102"/>
      <c r="I594" s="102"/>
      <c r="J594" s="102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  <c r="CJ594" s="106"/>
      <c r="CK594" s="106"/>
      <c r="CL594" s="106"/>
      <c r="CM594" s="106"/>
      <c r="CN594" s="106"/>
      <c r="CO594" s="106"/>
      <c r="CP594" s="106"/>
      <c r="CQ594" s="106"/>
    </row>
    <row r="595" spans="8:95" ht="14.25" customHeight="1">
      <c r="H595" s="102"/>
      <c r="I595" s="102"/>
      <c r="J595" s="102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  <c r="CJ595" s="106"/>
      <c r="CK595" s="106"/>
      <c r="CL595" s="106"/>
      <c r="CM595" s="106"/>
      <c r="CN595" s="106"/>
      <c r="CO595" s="106"/>
      <c r="CP595" s="106"/>
      <c r="CQ595" s="106"/>
    </row>
    <row r="596" spans="8:95" ht="14.25" customHeight="1">
      <c r="H596" s="102"/>
      <c r="I596" s="102"/>
      <c r="J596" s="102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  <c r="CJ596" s="106"/>
      <c r="CK596" s="106"/>
      <c r="CL596" s="106"/>
      <c r="CM596" s="106"/>
      <c r="CN596" s="106"/>
      <c r="CO596" s="106"/>
      <c r="CP596" s="106"/>
      <c r="CQ596" s="106"/>
    </row>
    <row r="597" spans="8:95" ht="14.25" customHeight="1">
      <c r="H597" s="102"/>
      <c r="I597" s="102"/>
      <c r="J597" s="102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  <c r="CJ597" s="106"/>
      <c r="CK597" s="106"/>
      <c r="CL597" s="106"/>
      <c r="CM597" s="106"/>
      <c r="CN597" s="106"/>
      <c r="CO597" s="106"/>
      <c r="CP597" s="106"/>
      <c r="CQ597" s="106"/>
    </row>
    <row r="598" spans="8:95" ht="14.25" customHeight="1">
      <c r="H598" s="102"/>
      <c r="I598" s="102"/>
      <c r="J598" s="102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  <c r="CJ598" s="106"/>
      <c r="CK598" s="106"/>
      <c r="CL598" s="106"/>
      <c r="CM598" s="106"/>
      <c r="CN598" s="106"/>
      <c r="CO598" s="106"/>
      <c r="CP598" s="106"/>
      <c r="CQ598" s="106"/>
    </row>
    <row r="599" spans="8:95" ht="14.25" customHeight="1">
      <c r="H599" s="102"/>
      <c r="I599" s="102"/>
      <c r="J599" s="102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  <c r="CJ599" s="106"/>
      <c r="CK599" s="106"/>
      <c r="CL599" s="106"/>
      <c r="CM599" s="106"/>
      <c r="CN599" s="106"/>
      <c r="CO599" s="106"/>
      <c r="CP599" s="106"/>
      <c r="CQ599" s="106"/>
    </row>
    <row r="600" spans="8:95" ht="14.25" customHeight="1">
      <c r="H600" s="102"/>
      <c r="I600" s="102"/>
      <c r="J600" s="102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  <c r="CJ600" s="106"/>
      <c r="CK600" s="106"/>
      <c r="CL600" s="106"/>
      <c r="CM600" s="106"/>
      <c r="CN600" s="106"/>
      <c r="CO600" s="106"/>
      <c r="CP600" s="106"/>
      <c r="CQ600" s="106"/>
    </row>
    <row r="601" spans="8:95" ht="14.25" customHeight="1">
      <c r="H601" s="102"/>
      <c r="I601" s="102"/>
      <c r="J601" s="102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  <c r="CJ601" s="106"/>
      <c r="CK601" s="106"/>
      <c r="CL601" s="106"/>
      <c r="CM601" s="106"/>
      <c r="CN601" s="106"/>
      <c r="CO601" s="106"/>
      <c r="CP601" s="106"/>
      <c r="CQ601" s="106"/>
    </row>
    <row r="602" spans="8:95" ht="14.25" customHeight="1">
      <c r="H602" s="102"/>
      <c r="I602" s="102"/>
      <c r="J602" s="102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  <c r="CJ602" s="106"/>
      <c r="CK602" s="106"/>
      <c r="CL602" s="106"/>
      <c r="CM602" s="106"/>
      <c r="CN602" s="106"/>
      <c r="CO602" s="106"/>
      <c r="CP602" s="106"/>
      <c r="CQ602" s="106"/>
    </row>
    <row r="603" spans="8:95" ht="14.25" customHeight="1">
      <c r="H603" s="102"/>
      <c r="I603" s="102"/>
      <c r="J603" s="102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  <c r="CJ603" s="106"/>
      <c r="CK603" s="106"/>
      <c r="CL603" s="106"/>
      <c r="CM603" s="106"/>
      <c r="CN603" s="106"/>
      <c r="CO603" s="106"/>
      <c r="CP603" s="106"/>
      <c r="CQ603" s="106"/>
    </row>
    <row r="604" spans="8:95" ht="14.25" customHeight="1">
      <c r="H604" s="102"/>
      <c r="I604" s="102"/>
      <c r="J604" s="102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  <c r="CJ604" s="106"/>
      <c r="CK604" s="106"/>
      <c r="CL604" s="106"/>
      <c r="CM604" s="106"/>
      <c r="CN604" s="106"/>
      <c r="CO604" s="106"/>
      <c r="CP604" s="106"/>
      <c r="CQ604" s="106"/>
    </row>
    <row r="605" spans="8:95" ht="14.25" customHeight="1">
      <c r="H605" s="102"/>
      <c r="I605" s="102"/>
      <c r="J605" s="102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  <c r="CJ605" s="106"/>
      <c r="CK605" s="106"/>
      <c r="CL605" s="106"/>
      <c r="CM605" s="106"/>
      <c r="CN605" s="106"/>
      <c r="CO605" s="106"/>
      <c r="CP605" s="106"/>
      <c r="CQ605" s="106"/>
    </row>
    <row r="606" spans="8:95" ht="14.25" customHeight="1">
      <c r="H606" s="102"/>
      <c r="I606" s="102"/>
      <c r="J606" s="102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  <c r="CJ606" s="106"/>
      <c r="CK606" s="106"/>
      <c r="CL606" s="106"/>
      <c r="CM606" s="106"/>
      <c r="CN606" s="106"/>
      <c r="CO606" s="106"/>
      <c r="CP606" s="106"/>
      <c r="CQ606" s="106"/>
    </row>
    <row r="607" spans="8:95" ht="14.25" customHeight="1">
      <c r="H607" s="102"/>
      <c r="I607" s="102"/>
      <c r="J607" s="102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  <c r="CJ607" s="106"/>
      <c r="CK607" s="106"/>
      <c r="CL607" s="106"/>
      <c r="CM607" s="106"/>
      <c r="CN607" s="106"/>
      <c r="CO607" s="106"/>
      <c r="CP607" s="106"/>
      <c r="CQ607" s="106"/>
    </row>
    <row r="608" spans="8:95" ht="14.25" customHeight="1">
      <c r="H608" s="102"/>
      <c r="I608" s="102"/>
      <c r="J608" s="102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  <c r="CJ608" s="106"/>
      <c r="CK608" s="106"/>
      <c r="CL608" s="106"/>
      <c r="CM608" s="106"/>
      <c r="CN608" s="106"/>
      <c r="CO608" s="106"/>
      <c r="CP608" s="106"/>
      <c r="CQ608" s="106"/>
    </row>
    <row r="609" spans="8:95" ht="14.25" customHeight="1">
      <c r="H609" s="102"/>
      <c r="I609" s="102"/>
      <c r="J609" s="102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  <c r="CJ609" s="106"/>
      <c r="CK609" s="106"/>
      <c r="CL609" s="106"/>
      <c r="CM609" s="106"/>
      <c r="CN609" s="106"/>
      <c r="CO609" s="106"/>
      <c r="CP609" s="106"/>
      <c r="CQ609" s="106"/>
    </row>
    <row r="610" spans="8:95" ht="14.25" customHeight="1">
      <c r="H610" s="102"/>
      <c r="I610" s="102"/>
      <c r="J610" s="102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  <c r="CJ610" s="106"/>
      <c r="CK610" s="106"/>
      <c r="CL610" s="106"/>
      <c r="CM610" s="106"/>
      <c r="CN610" s="106"/>
      <c r="CO610" s="106"/>
      <c r="CP610" s="106"/>
      <c r="CQ610" s="106"/>
    </row>
    <row r="611" spans="8:95" ht="14.25" customHeight="1">
      <c r="H611" s="102"/>
      <c r="I611" s="102"/>
      <c r="J611" s="102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  <c r="CJ611" s="106"/>
      <c r="CK611" s="106"/>
      <c r="CL611" s="106"/>
      <c r="CM611" s="106"/>
      <c r="CN611" s="106"/>
      <c r="CO611" s="106"/>
      <c r="CP611" s="106"/>
      <c r="CQ611" s="106"/>
    </row>
    <row r="612" spans="8:95" ht="14.25" customHeight="1">
      <c r="H612" s="102"/>
      <c r="I612" s="102"/>
      <c r="J612" s="102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  <c r="CJ612" s="106"/>
      <c r="CK612" s="106"/>
      <c r="CL612" s="106"/>
      <c r="CM612" s="106"/>
      <c r="CN612" s="106"/>
      <c r="CO612" s="106"/>
      <c r="CP612" s="106"/>
      <c r="CQ612" s="106"/>
    </row>
    <row r="613" spans="8:95" ht="14.25" customHeight="1">
      <c r="H613" s="102"/>
      <c r="I613" s="102"/>
      <c r="J613" s="102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  <c r="CJ613" s="106"/>
      <c r="CK613" s="106"/>
      <c r="CL613" s="106"/>
      <c r="CM613" s="106"/>
      <c r="CN613" s="106"/>
      <c r="CO613" s="106"/>
      <c r="CP613" s="106"/>
      <c r="CQ613" s="106"/>
    </row>
    <row r="614" spans="8:95" ht="14.25" customHeight="1">
      <c r="H614" s="102"/>
      <c r="I614" s="102"/>
      <c r="J614" s="102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  <c r="CJ614" s="106"/>
      <c r="CK614" s="106"/>
      <c r="CL614" s="106"/>
      <c r="CM614" s="106"/>
      <c r="CN614" s="106"/>
      <c r="CO614" s="106"/>
      <c r="CP614" s="106"/>
      <c r="CQ614" s="106"/>
    </row>
    <row r="615" spans="8:95" ht="14.25" customHeight="1">
      <c r="H615" s="102"/>
      <c r="I615" s="102"/>
      <c r="J615" s="102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  <c r="CJ615" s="106"/>
      <c r="CK615" s="106"/>
      <c r="CL615" s="106"/>
      <c r="CM615" s="106"/>
      <c r="CN615" s="106"/>
      <c r="CO615" s="106"/>
      <c r="CP615" s="106"/>
      <c r="CQ615" s="106"/>
    </row>
    <row r="616" spans="8:95" ht="14.25" customHeight="1">
      <c r="H616" s="102"/>
      <c r="I616" s="102"/>
      <c r="J616" s="102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  <c r="CJ616" s="106"/>
      <c r="CK616" s="106"/>
      <c r="CL616" s="106"/>
      <c r="CM616" s="106"/>
      <c r="CN616" s="106"/>
      <c r="CO616" s="106"/>
      <c r="CP616" s="106"/>
      <c r="CQ616" s="106"/>
    </row>
    <row r="617" spans="8:95" ht="14.25" customHeight="1">
      <c r="H617" s="102"/>
      <c r="I617" s="102"/>
      <c r="J617" s="102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  <c r="CJ617" s="106"/>
      <c r="CK617" s="106"/>
      <c r="CL617" s="106"/>
      <c r="CM617" s="106"/>
      <c r="CN617" s="106"/>
      <c r="CO617" s="106"/>
      <c r="CP617" s="106"/>
      <c r="CQ617" s="106"/>
    </row>
    <row r="618" spans="8:95" ht="14.25" customHeight="1">
      <c r="H618" s="102"/>
      <c r="I618" s="102"/>
      <c r="J618" s="102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  <c r="CJ618" s="106"/>
      <c r="CK618" s="106"/>
      <c r="CL618" s="106"/>
      <c r="CM618" s="106"/>
      <c r="CN618" s="106"/>
      <c r="CO618" s="106"/>
      <c r="CP618" s="106"/>
      <c r="CQ618" s="106"/>
    </row>
    <row r="619" spans="8:95" ht="14.25" customHeight="1">
      <c r="H619" s="102"/>
      <c r="I619" s="102"/>
      <c r="J619" s="102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  <c r="CJ619" s="106"/>
      <c r="CK619" s="106"/>
      <c r="CL619" s="106"/>
      <c r="CM619" s="106"/>
      <c r="CN619" s="106"/>
      <c r="CO619" s="106"/>
      <c r="CP619" s="106"/>
      <c r="CQ619" s="106"/>
    </row>
    <row r="620" spans="8:95" ht="14.25" customHeight="1">
      <c r="H620" s="102"/>
      <c r="I620" s="102"/>
      <c r="J620" s="102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  <c r="CJ620" s="106"/>
      <c r="CK620" s="106"/>
      <c r="CL620" s="106"/>
      <c r="CM620" s="106"/>
      <c r="CN620" s="106"/>
      <c r="CO620" s="106"/>
      <c r="CP620" s="106"/>
      <c r="CQ620" s="106"/>
    </row>
    <row r="621" spans="8:95" ht="14.25" customHeight="1">
      <c r="H621" s="102"/>
      <c r="I621" s="102"/>
      <c r="J621" s="102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  <c r="CJ621" s="106"/>
      <c r="CK621" s="106"/>
      <c r="CL621" s="106"/>
      <c r="CM621" s="106"/>
      <c r="CN621" s="106"/>
      <c r="CO621" s="106"/>
      <c r="CP621" s="106"/>
      <c r="CQ621" s="106"/>
    </row>
    <row r="622" spans="8:95" ht="14.25" customHeight="1">
      <c r="H622" s="102"/>
      <c r="I622" s="102"/>
      <c r="J622" s="102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  <c r="CJ622" s="106"/>
      <c r="CK622" s="106"/>
      <c r="CL622" s="106"/>
      <c r="CM622" s="106"/>
      <c r="CN622" s="106"/>
      <c r="CO622" s="106"/>
      <c r="CP622" s="106"/>
      <c r="CQ622" s="106"/>
    </row>
    <row r="623" spans="8:95" ht="14.25" customHeight="1">
      <c r="H623" s="102"/>
      <c r="I623" s="102"/>
      <c r="J623" s="102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  <c r="CJ623" s="106"/>
      <c r="CK623" s="106"/>
      <c r="CL623" s="106"/>
      <c r="CM623" s="106"/>
      <c r="CN623" s="106"/>
      <c r="CO623" s="106"/>
      <c r="CP623" s="106"/>
      <c r="CQ623" s="106"/>
    </row>
    <row r="624" spans="8:95" ht="14.25" customHeight="1">
      <c r="H624" s="102"/>
      <c r="I624" s="102"/>
      <c r="J624" s="102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  <c r="CJ624" s="106"/>
      <c r="CK624" s="106"/>
      <c r="CL624" s="106"/>
      <c r="CM624" s="106"/>
      <c r="CN624" s="106"/>
      <c r="CO624" s="106"/>
      <c r="CP624" s="106"/>
      <c r="CQ624" s="106"/>
    </row>
    <row r="625" spans="8:95" ht="14.25" customHeight="1">
      <c r="H625" s="102"/>
      <c r="I625" s="102"/>
      <c r="J625" s="102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  <c r="CJ625" s="106"/>
      <c r="CK625" s="106"/>
      <c r="CL625" s="106"/>
      <c r="CM625" s="106"/>
      <c r="CN625" s="106"/>
      <c r="CO625" s="106"/>
      <c r="CP625" s="106"/>
      <c r="CQ625" s="106"/>
    </row>
    <row r="626" spans="8:95" ht="14.25" customHeight="1">
      <c r="H626" s="102"/>
      <c r="I626" s="102"/>
      <c r="J626" s="102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  <c r="CJ626" s="106"/>
      <c r="CK626" s="106"/>
      <c r="CL626" s="106"/>
      <c r="CM626" s="106"/>
      <c r="CN626" s="106"/>
      <c r="CO626" s="106"/>
      <c r="CP626" s="106"/>
      <c r="CQ626" s="106"/>
    </row>
    <row r="627" spans="8:95" ht="14.25" customHeight="1">
      <c r="H627" s="102"/>
      <c r="I627" s="102"/>
      <c r="J627" s="102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  <c r="CJ627" s="106"/>
      <c r="CK627" s="106"/>
      <c r="CL627" s="106"/>
      <c r="CM627" s="106"/>
      <c r="CN627" s="106"/>
      <c r="CO627" s="106"/>
      <c r="CP627" s="106"/>
      <c r="CQ627" s="106"/>
    </row>
    <row r="628" spans="8:95" ht="14.25" customHeight="1">
      <c r="H628" s="102"/>
      <c r="I628" s="102"/>
      <c r="J628" s="102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  <c r="CJ628" s="106"/>
      <c r="CK628" s="106"/>
      <c r="CL628" s="106"/>
      <c r="CM628" s="106"/>
      <c r="CN628" s="106"/>
      <c r="CO628" s="106"/>
      <c r="CP628" s="106"/>
      <c r="CQ628" s="106"/>
    </row>
    <row r="629" spans="8:95" ht="14.25" customHeight="1">
      <c r="H629" s="102"/>
      <c r="I629" s="102"/>
      <c r="J629" s="102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  <c r="CJ629" s="106"/>
      <c r="CK629" s="106"/>
      <c r="CL629" s="106"/>
      <c r="CM629" s="106"/>
      <c r="CN629" s="106"/>
      <c r="CO629" s="106"/>
      <c r="CP629" s="106"/>
      <c r="CQ629" s="106"/>
    </row>
    <row r="630" spans="8:95" ht="14.25" customHeight="1">
      <c r="H630" s="102"/>
      <c r="I630" s="102"/>
      <c r="J630" s="102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  <c r="CJ630" s="106"/>
      <c r="CK630" s="106"/>
      <c r="CL630" s="106"/>
      <c r="CM630" s="106"/>
      <c r="CN630" s="106"/>
      <c r="CO630" s="106"/>
      <c r="CP630" s="106"/>
      <c r="CQ630" s="106"/>
    </row>
    <row r="631" spans="8:95" ht="14.25" customHeight="1">
      <c r="H631" s="102"/>
      <c r="I631" s="102"/>
      <c r="J631" s="102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  <c r="CJ631" s="106"/>
      <c r="CK631" s="106"/>
      <c r="CL631" s="106"/>
      <c r="CM631" s="106"/>
      <c r="CN631" s="106"/>
      <c r="CO631" s="106"/>
      <c r="CP631" s="106"/>
      <c r="CQ631" s="106"/>
    </row>
    <row r="632" spans="8:95" ht="14.25" customHeight="1">
      <c r="H632" s="102"/>
      <c r="I632" s="102"/>
      <c r="J632" s="102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  <c r="CJ632" s="106"/>
      <c r="CK632" s="106"/>
      <c r="CL632" s="106"/>
      <c r="CM632" s="106"/>
      <c r="CN632" s="106"/>
      <c r="CO632" s="106"/>
      <c r="CP632" s="106"/>
      <c r="CQ632" s="106"/>
    </row>
    <row r="633" spans="8:95" ht="14.25" customHeight="1">
      <c r="H633" s="102"/>
      <c r="I633" s="102"/>
      <c r="J633" s="102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  <c r="CJ633" s="106"/>
      <c r="CK633" s="106"/>
      <c r="CL633" s="106"/>
      <c r="CM633" s="106"/>
      <c r="CN633" s="106"/>
      <c r="CO633" s="106"/>
      <c r="CP633" s="106"/>
      <c r="CQ633" s="106"/>
    </row>
    <row r="634" spans="8:95" ht="14.25" customHeight="1">
      <c r="H634" s="102"/>
      <c r="I634" s="102"/>
      <c r="J634" s="102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  <c r="CJ634" s="106"/>
      <c r="CK634" s="106"/>
      <c r="CL634" s="106"/>
      <c r="CM634" s="106"/>
      <c r="CN634" s="106"/>
      <c r="CO634" s="106"/>
      <c r="CP634" s="106"/>
      <c r="CQ634" s="106"/>
    </row>
    <row r="635" spans="8:95" ht="14.25" customHeight="1">
      <c r="H635" s="102"/>
      <c r="I635" s="102"/>
      <c r="J635" s="102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  <c r="CJ635" s="106"/>
      <c r="CK635" s="106"/>
      <c r="CL635" s="106"/>
      <c r="CM635" s="106"/>
      <c r="CN635" s="106"/>
      <c r="CO635" s="106"/>
      <c r="CP635" s="106"/>
      <c r="CQ635" s="106"/>
    </row>
    <row r="636" spans="8:95" ht="14.25" customHeight="1">
      <c r="H636" s="102"/>
      <c r="I636" s="102"/>
      <c r="J636" s="102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  <c r="CJ636" s="106"/>
      <c r="CK636" s="106"/>
      <c r="CL636" s="106"/>
      <c r="CM636" s="106"/>
      <c r="CN636" s="106"/>
      <c r="CO636" s="106"/>
      <c r="CP636" s="106"/>
      <c r="CQ636" s="106"/>
    </row>
    <row r="637" spans="8:95" ht="14.25" customHeight="1">
      <c r="H637" s="102"/>
      <c r="I637" s="102"/>
      <c r="J637" s="102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  <c r="CJ637" s="106"/>
      <c r="CK637" s="106"/>
      <c r="CL637" s="106"/>
      <c r="CM637" s="106"/>
      <c r="CN637" s="106"/>
      <c r="CO637" s="106"/>
      <c r="CP637" s="106"/>
      <c r="CQ637" s="106"/>
    </row>
    <row r="638" spans="8:95" ht="14.25" customHeight="1">
      <c r="H638" s="102"/>
      <c r="I638" s="102"/>
      <c r="J638" s="102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  <c r="CJ638" s="106"/>
      <c r="CK638" s="106"/>
      <c r="CL638" s="106"/>
      <c r="CM638" s="106"/>
      <c r="CN638" s="106"/>
      <c r="CO638" s="106"/>
      <c r="CP638" s="106"/>
      <c r="CQ638" s="106"/>
    </row>
    <row r="639" spans="8:95" ht="14.25" customHeight="1">
      <c r="H639" s="102"/>
      <c r="I639" s="102"/>
      <c r="J639" s="102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  <c r="CJ639" s="106"/>
      <c r="CK639" s="106"/>
      <c r="CL639" s="106"/>
      <c r="CM639" s="106"/>
      <c r="CN639" s="106"/>
      <c r="CO639" s="106"/>
      <c r="CP639" s="106"/>
      <c r="CQ639" s="106"/>
    </row>
    <row r="640" spans="8:95" ht="14.25" customHeight="1">
      <c r="H640" s="102"/>
      <c r="I640" s="102"/>
      <c r="J640" s="102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  <c r="CJ640" s="106"/>
      <c r="CK640" s="106"/>
      <c r="CL640" s="106"/>
      <c r="CM640" s="106"/>
      <c r="CN640" s="106"/>
      <c r="CO640" s="106"/>
      <c r="CP640" s="106"/>
      <c r="CQ640" s="106"/>
    </row>
    <row r="641" spans="8:95" ht="14.25" customHeight="1">
      <c r="H641" s="102"/>
      <c r="I641" s="102"/>
      <c r="J641" s="102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  <c r="CJ641" s="106"/>
      <c r="CK641" s="106"/>
      <c r="CL641" s="106"/>
      <c r="CM641" s="106"/>
      <c r="CN641" s="106"/>
      <c r="CO641" s="106"/>
      <c r="CP641" s="106"/>
      <c r="CQ641" s="106"/>
    </row>
    <row r="642" spans="8:95" ht="14.25" customHeight="1">
      <c r="H642" s="102"/>
      <c r="I642" s="102"/>
      <c r="J642" s="102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  <c r="CJ642" s="106"/>
      <c r="CK642" s="106"/>
      <c r="CL642" s="106"/>
      <c r="CM642" s="106"/>
      <c r="CN642" s="106"/>
      <c r="CO642" s="106"/>
      <c r="CP642" s="106"/>
      <c r="CQ642" s="106"/>
    </row>
    <row r="643" spans="8:95" ht="14.25" customHeight="1">
      <c r="H643" s="102"/>
      <c r="I643" s="102"/>
      <c r="J643" s="102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  <c r="CJ643" s="106"/>
      <c r="CK643" s="106"/>
      <c r="CL643" s="106"/>
      <c r="CM643" s="106"/>
      <c r="CN643" s="106"/>
      <c r="CO643" s="106"/>
      <c r="CP643" s="106"/>
      <c r="CQ643" s="106"/>
    </row>
    <row r="644" spans="8:95" ht="14.25" customHeight="1">
      <c r="H644" s="102"/>
      <c r="I644" s="102"/>
      <c r="J644" s="102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  <c r="CJ644" s="106"/>
      <c r="CK644" s="106"/>
      <c r="CL644" s="106"/>
      <c r="CM644" s="106"/>
      <c r="CN644" s="106"/>
      <c r="CO644" s="106"/>
      <c r="CP644" s="106"/>
      <c r="CQ644" s="106"/>
    </row>
    <row r="645" spans="8:95" ht="14.25" customHeight="1">
      <c r="H645" s="102"/>
      <c r="I645" s="102"/>
      <c r="J645" s="102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  <c r="CJ645" s="106"/>
      <c r="CK645" s="106"/>
      <c r="CL645" s="106"/>
      <c r="CM645" s="106"/>
      <c r="CN645" s="106"/>
      <c r="CO645" s="106"/>
      <c r="CP645" s="106"/>
      <c r="CQ645" s="106"/>
    </row>
    <row r="646" spans="8:95" ht="14.25" customHeight="1">
      <c r="H646" s="102"/>
      <c r="I646" s="102"/>
      <c r="J646" s="102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  <c r="CJ646" s="106"/>
      <c r="CK646" s="106"/>
      <c r="CL646" s="106"/>
      <c r="CM646" s="106"/>
      <c r="CN646" s="106"/>
      <c r="CO646" s="106"/>
      <c r="CP646" s="106"/>
      <c r="CQ646" s="106"/>
    </row>
    <row r="647" spans="8:95" ht="14.25" customHeight="1">
      <c r="H647" s="102"/>
      <c r="I647" s="102"/>
      <c r="J647" s="102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  <c r="CJ647" s="106"/>
      <c r="CK647" s="106"/>
      <c r="CL647" s="106"/>
      <c r="CM647" s="106"/>
      <c r="CN647" s="106"/>
      <c r="CO647" s="106"/>
      <c r="CP647" s="106"/>
      <c r="CQ647" s="106"/>
    </row>
    <row r="648" spans="8:95" ht="14.25" customHeight="1">
      <c r="H648" s="102"/>
      <c r="I648" s="102"/>
      <c r="J648" s="102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  <c r="CJ648" s="106"/>
      <c r="CK648" s="106"/>
      <c r="CL648" s="106"/>
      <c r="CM648" s="106"/>
      <c r="CN648" s="106"/>
      <c r="CO648" s="106"/>
      <c r="CP648" s="106"/>
      <c r="CQ648" s="106"/>
    </row>
    <row r="649" spans="8:95" ht="14.25" customHeight="1">
      <c r="H649" s="102"/>
      <c r="I649" s="102"/>
      <c r="J649" s="102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  <c r="CJ649" s="106"/>
      <c r="CK649" s="106"/>
      <c r="CL649" s="106"/>
      <c r="CM649" s="106"/>
      <c r="CN649" s="106"/>
      <c r="CO649" s="106"/>
      <c r="CP649" s="106"/>
      <c r="CQ649" s="106"/>
    </row>
    <row r="650" spans="8:95" ht="14.25" customHeight="1">
      <c r="H650" s="102"/>
      <c r="I650" s="102"/>
      <c r="J650" s="102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  <c r="CJ650" s="106"/>
      <c r="CK650" s="106"/>
      <c r="CL650" s="106"/>
      <c r="CM650" s="106"/>
      <c r="CN650" s="106"/>
      <c r="CO650" s="106"/>
      <c r="CP650" s="106"/>
      <c r="CQ650" s="106"/>
    </row>
    <row r="651" spans="8:95" ht="14.25" customHeight="1">
      <c r="H651" s="102"/>
      <c r="I651" s="102"/>
      <c r="J651" s="102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  <c r="CJ651" s="106"/>
      <c r="CK651" s="106"/>
      <c r="CL651" s="106"/>
      <c r="CM651" s="106"/>
      <c r="CN651" s="106"/>
      <c r="CO651" s="106"/>
      <c r="CP651" s="106"/>
      <c r="CQ651" s="106"/>
    </row>
    <row r="652" spans="8:95" ht="14.25" customHeight="1">
      <c r="H652" s="102"/>
      <c r="I652" s="102"/>
      <c r="J652" s="102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  <c r="CJ652" s="106"/>
      <c r="CK652" s="106"/>
      <c r="CL652" s="106"/>
      <c r="CM652" s="106"/>
      <c r="CN652" s="106"/>
      <c r="CO652" s="106"/>
      <c r="CP652" s="106"/>
      <c r="CQ652" s="106"/>
    </row>
    <row r="653" spans="8:95" ht="14.25" customHeight="1">
      <c r="H653" s="102"/>
      <c r="I653" s="102"/>
      <c r="J653" s="102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  <c r="CJ653" s="106"/>
      <c r="CK653" s="106"/>
      <c r="CL653" s="106"/>
      <c r="CM653" s="106"/>
      <c r="CN653" s="106"/>
      <c r="CO653" s="106"/>
      <c r="CP653" s="106"/>
      <c r="CQ653" s="106"/>
    </row>
    <row r="654" spans="8:95" ht="14.25" customHeight="1">
      <c r="H654" s="102"/>
      <c r="I654" s="102"/>
      <c r="J654" s="102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  <c r="CJ654" s="106"/>
      <c r="CK654" s="106"/>
      <c r="CL654" s="106"/>
      <c r="CM654" s="106"/>
      <c r="CN654" s="106"/>
      <c r="CO654" s="106"/>
      <c r="CP654" s="106"/>
      <c r="CQ654" s="106"/>
    </row>
    <row r="655" spans="8:95" ht="14.25" customHeight="1">
      <c r="H655" s="102"/>
      <c r="I655" s="102"/>
      <c r="J655" s="102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  <c r="CJ655" s="106"/>
      <c r="CK655" s="106"/>
      <c r="CL655" s="106"/>
      <c r="CM655" s="106"/>
      <c r="CN655" s="106"/>
      <c r="CO655" s="106"/>
      <c r="CP655" s="106"/>
      <c r="CQ655" s="106"/>
    </row>
    <row r="656" spans="8:95" ht="14.25" customHeight="1">
      <c r="H656" s="102"/>
      <c r="I656" s="102"/>
      <c r="J656" s="102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  <c r="CJ656" s="106"/>
      <c r="CK656" s="106"/>
      <c r="CL656" s="106"/>
      <c r="CM656" s="106"/>
      <c r="CN656" s="106"/>
      <c r="CO656" s="106"/>
      <c r="CP656" s="106"/>
      <c r="CQ656" s="106"/>
    </row>
    <row r="657" spans="8:95" ht="14.25" customHeight="1">
      <c r="H657" s="102"/>
      <c r="I657" s="102"/>
      <c r="J657" s="102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  <c r="CJ657" s="106"/>
      <c r="CK657" s="106"/>
      <c r="CL657" s="106"/>
      <c r="CM657" s="106"/>
      <c r="CN657" s="106"/>
      <c r="CO657" s="106"/>
      <c r="CP657" s="106"/>
      <c r="CQ657" s="106"/>
    </row>
    <row r="658" spans="8:95" ht="14.25" customHeight="1">
      <c r="H658" s="102"/>
      <c r="I658" s="102"/>
      <c r="J658" s="102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  <c r="CJ658" s="106"/>
      <c r="CK658" s="106"/>
      <c r="CL658" s="106"/>
      <c r="CM658" s="106"/>
      <c r="CN658" s="106"/>
      <c r="CO658" s="106"/>
      <c r="CP658" s="106"/>
      <c r="CQ658" s="106"/>
    </row>
    <row r="659" spans="8:95" ht="14.25" customHeight="1">
      <c r="H659" s="102"/>
      <c r="I659" s="102"/>
      <c r="J659" s="102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  <c r="CJ659" s="106"/>
      <c r="CK659" s="106"/>
      <c r="CL659" s="106"/>
      <c r="CM659" s="106"/>
      <c r="CN659" s="106"/>
      <c r="CO659" s="106"/>
      <c r="CP659" s="106"/>
      <c r="CQ659" s="106"/>
    </row>
    <row r="660" spans="8:95" ht="14.25" customHeight="1">
      <c r="H660" s="102"/>
      <c r="I660" s="102"/>
      <c r="J660" s="102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  <c r="CJ660" s="106"/>
      <c r="CK660" s="106"/>
      <c r="CL660" s="106"/>
      <c r="CM660" s="106"/>
      <c r="CN660" s="106"/>
      <c r="CO660" s="106"/>
      <c r="CP660" s="106"/>
      <c r="CQ660" s="106"/>
    </row>
    <row r="661" spans="8:95" ht="14.25" customHeight="1">
      <c r="H661" s="102"/>
      <c r="I661" s="102"/>
      <c r="J661" s="102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  <c r="CJ661" s="106"/>
      <c r="CK661" s="106"/>
      <c r="CL661" s="106"/>
      <c r="CM661" s="106"/>
      <c r="CN661" s="106"/>
      <c r="CO661" s="106"/>
      <c r="CP661" s="106"/>
      <c r="CQ661" s="106"/>
    </row>
    <row r="662" spans="8:95" ht="14.25" customHeight="1">
      <c r="H662" s="102"/>
      <c r="I662" s="102"/>
      <c r="J662" s="102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  <c r="CJ662" s="106"/>
      <c r="CK662" s="106"/>
      <c r="CL662" s="106"/>
      <c r="CM662" s="106"/>
      <c r="CN662" s="106"/>
      <c r="CO662" s="106"/>
      <c r="CP662" s="106"/>
      <c r="CQ662" s="106"/>
    </row>
    <row r="663" spans="8:95" ht="14.25" customHeight="1">
      <c r="H663" s="102"/>
      <c r="I663" s="102"/>
      <c r="J663" s="102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  <c r="CJ663" s="106"/>
      <c r="CK663" s="106"/>
      <c r="CL663" s="106"/>
      <c r="CM663" s="106"/>
      <c r="CN663" s="106"/>
      <c r="CO663" s="106"/>
      <c r="CP663" s="106"/>
      <c r="CQ663" s="106"/>
    </row>
    <row r="664" spans="8:95" ht="14.25" customHeight="1">
      <c r="H664" s="102"/>
      <c r="I664" s="102"/>
      <c r="J664" s="102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  <c r="CJ664" s="106"/>
      <c r="CK664" s="106"/>
      <c r="CL664" s="106"/>
      <c r="CM664" s="106"/>
      <c r="CN664" s="106"/>
      <c r="CO664" s="106"/>
      <c r="CP664" s="106"/>
      <c r="CQ664" s="106"/>
    </row>
    <row r="665" spans="8:95" ht="14.25" customHeight="1">
      <c r="H665" s="102"/>
      <c r="I665" s="102"/>
      <c r="J665" s="102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  <c r="CJ665" s="106"/>
      <c r="CK665" s="106"/>
      <c r="CL665" s="106"/>
      <c r="CM665" s="106"/>
      <c r="CN665" s="106"/>
      <c r="CO665" s="106"/>
      <c r="CP665" s="106"/>
      <c r="CQ665" s="106"/>
    </row>
    <row r="666" spans="8:95" ht="14.25" customHeight="1">
      <c r="H666" s="102"/>
      <c r="I666" s="102"/>
      <c r="J666" s="102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  <c r="CJ666" s="106"/>
      <c r="CK666" s="106"/>
      <c r="CL666" s="106"/>
      <c r="CM666" s="106"/>
      <c r="CN666" s="106"/>
      <c r="CO666" s="106"/>
      <c r="CP666" s="106"/>
      <c r="CQ666" s="106"/>
    </row>
    <row r="667" spans="8:95" ht="14.25" customHeight="1">
      <c r="H667" s="102"/>
      <c r="I667" s="102"/>
      <c r="J667" s="102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  <c r="CJ667" s="106"/>
      <c r="CK667" s="106"/>
      <c r="CL667" s="106"/>
      <c r="CM667" s="106"/>
      <c r="CN667" s="106"/>
      <c r="CO667" s="106"/>
      <c r="CP667" s="106"/>
      <c r="CQ667" s="106"/>
    </row>
    <row r="668" spans="8:95" ht="14.25" customHeight="1">
      <c r="H668" s="102"/>
      <c r="I668" s="102"/>
      <c r="J668" s="102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  <c r="CJ668" s="106"/>
      <c r="CK668" s="106"/>
      <c r="CL668" s="106"/>
      <c r="CM668" s="106"/>
      <c r="CN668" s="106"/>
      <c r="CO668" s="106"/>
      <c r="CP668" s="106"/>
      <c r="CQ668" s="106"/>
    </row>
    <row r="669" spans="8:95" ht="14.25" customHeight="1">
      <c r="H669" s="102"/>
      <c r="I669" s="102"/>
      <c r="J669" s="102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  <c r="CJ669" s="106"/>
      <c r="CK669" s="106"/>
      <c r="CL669" s="106"/>
      <c r="CM669" s="106"/>
      <c r="CN669" s="106"/>
      <c r="CO669" s="106"/>
      <c r="CP669" s="106"/>
      <c r="CQ669" s="106"/>
    </row>
    <row r="670" spans="8:95" ht="14.25" customHeight="1">
      <c r="H670" s="102"/>
      <c r="I670" s="102"/>
      <c r="J670" s="102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  <c r="CJ670" s="106"/>
      <c r="CK670" s="106"/>
      <c r="CL670" s="106"/>
      <c r="CM670" s="106"/>
      <c r="CN670" s="106"/>
      <c r="CO670" s="106"/>
      <c r="CP670" s="106"/>
      <c r="CQ670" s="106"/>
    </row>
    <row r="671" spans="8:95" ht="14.25" customHeight="1">
      <c r="H671" s="102"/>
      <c r="I671" s="102"/>
      <c r="J671" s="102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  <c r="CJ671" s="106"/>
      <c r="CK671" s="106"/>
      <c r="CL671" s="106"/>
      <c r="CM671" s="106"/>
      <c r="CN671" s="106"/>
      <c r="CO671" s="106"/>
      <c r="CP671" s="106"/>
      <c r="CQ671" s="106"/>
    </row>
    <row r="672" spans="8:95" ht="14.25" customHeight="1">
      <c r="H672" s="102"/>
      <c r="I672" s="102"/>
      <c r="J672" s="102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  <c r="CJ672" s="106"/>
      <c r="CK672" s="106"/>
      <c r="CL672" s="106"/>
      <c r="CM672" s="106"/>
      <c r="CN672" s="106"/>
      <c r="CO672" s="106"/>
      <c r="CP672" s="106"/>
      <c r="CQ672" s="106"/>
    </row>
    <row r="673" spans="8:95" ht="14.25" customHeight="1">
      <c r="H673" s="102"/>
      <c r="I673" s="102"/>
      <c r="J673" s="102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  <c r="CJ673" s="106"/>
      <c r="CK673" s="106"/>
      <c r="CL673" s="106"/>
      <c r="CM673" s="106"/>
      <c r="CN673" s="106"/>
      <c r="CO673" s="106"/>
      <c r="CP673" s="106"/>
      <c r="CQ673" s="106"/>
    </row>
    <row r="674" spans="8:95" ht="14.25" customHeight="1">
      <c r="H674" s="102"/>
      <c r="I674" s="102"/>
      <c r="J674" s="102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  <c r="CJ674" s="106"/>
      <c r="CK674" s="106"/>
      <c r="CL674" s="106"/>
      <c r="CM674" s="106"/>
      <c r="CN674" s="106"/>
      <c r="CO674" s="106"/>
      <c r="CP674" s="106"/>
      <c r="CQ674" s="106"/>
    </row>
    <row r="675" spans="8:95" ht="14.25" customHeight="1">
      <c r="H675" s="102"/>
      <c r="I675" s="102"/>
      <c r="J675" s="102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  <c r="CJ675" s="106"/>
      <c r="CK675" s="106"/>
      <c r="CL675" s="106"/>
      <c r="CM675" s="106"/>
      <c r="CN675" s="106"/>
      <c r="CO675" s="106"/>
      <c r="CP675" s="106"/>
      <c r="CQ675" s="106"/>
    </row>
    <row r="676" spans="8:95" ht="14.25" customHeight="1">
      <c r="H676" s="102"/>
      <c r="I676" s="102"/>
      <c r="J676" s="102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  <c r="CJ676" s="106"/>
      <c r="CK676" s="106"/>
      <c r="CL676" s="106"/>
      <c r="CM676" s="106"/>
      <c r="CN676" s="106"/>
      <c r="CO676" s="106"/>
      <c r="CP676" s="106"/>
      <c r="CQ676" s="106"/>
    </row>
    <row r="677" spans="8:95" ht="14.25" customHeight="1">
      <c r="H677" s="102"/>
      <c r="I677" s="102"/>
      <c r="J677" s="102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</row>
    <row r="678" spans="8:95" ht="14.25" customHeight="1">
      <c r="H678" s="102"/>
      <c r="I678" s="102"/>
      <c r="J678" s="102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</row>
    <row r="679" spans="8:95" ht="14.25" customHeight="1">
      <c r="H679" s="102"/>
      <c r="I679" s="102"/>
      <c r="J679" s="102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  <c r="CJ679" s="106"/>
      <c r="CK679" s="106"/>
      <c r="CL679" s="106"/>
      <c r="CM679" s="106"/>
      <c r="CN679" s="106"/>
      <c r="CO679" s="106"/>
      <c r="CP679" s="106"/>
      <c r="CQ679" s="106"/>
    </row>
    <row r="680" spans="8:95" ht="14.25" customHeight="1">
      <c r="H680" s="102"/>
      <c r="I680" s="102"/>
      <c r="J680" s="102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  <c r="CJ680" s="106"/>
      <c r="CK680" s="106"/>
      <c r="CL680" s="106"/>
      <c r="CM680" s="106"/>
      <c r="CN680" s="106"/>
      <c r="CO680" s="106"/>
      <c r="CP680" s="106"/>
      <c r="CQ680" s="106"/>
    </row>
    <row r="681" spans="8:95" ht="14.25" customHeight="1">
      <c r="H681" s="102"/>
      <c r="I681" s="102"/>
      <c r="J681" s="102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  <c r="CJ681" s="106"/>
      <c r="CK681" s="106"/>
      <c r="CL681" s="106"/>
      <c r="CM681" s="106"/>
      <c r="CN681" s="106"/>
      <c r="CO681" s="106"/>
      <c r="CP681" s="106"/>
      <c r="CQ681" s="106"/>
    </row>
    <row r="682" spans="8:95" ht="14.25" customHeight="1">
      <c r="H682" s="102"/>
      <c r="I682" s="102"/>
      <c r="J682" s="102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  <c r="CJ682" s="106"/>
      <c r="CK682" s="106"/>
      <c r="CL682" s="106"/>
      <c r="CM682" s="106"/>
      <c r="CN682" s="106"/>
      <c r="CO682" s="106"/>
      <c r="CP682" s="106"/>
      <c r="CQ682" s="106"/>
    </row>
    <row r="683" spans="8:95" ht="14.25" customHeight="1">
      <c r="H683" s="102"/>
      <c r="I683" s="102"/>
      <c r="J683" s="102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  <c r="CJ683" s="106"/>
      <c r="CK683" s="106"/>
      <c r="CL683" s="106"/>
      <c r="CM683" s="106"/>
      <c r="CN683" s="106"/>
      <c r="CO683" s="106"/>
      <c r="CP683" s="106"/>
      <c r="CQ683" s="106"/>
    </row>
    <row r="684" spans="8:95" ht="14.25" customHeight="1">
      <c r="H684" s="102"/>
      <c r="I684" s="102"/>
      <c r="J684" s="102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  <c r="CJ684" s="106"/>
      <c r="CK684" s="106"/>
      <c r="CL684" s="106"/>
      <c r="CM684" s="106"/>
      <c r="CN684" s="106"/>
      <c r="CO684" s="106"/>
      <c r="CP684" s="106"/>
      <c r="CQ684" s="106"/>
    </row>
    <row r="685" spans="8:95" ht="14.25" customHeight="1">
      <c r="H685" s="102"/>
      <c r="I685" s="102"/>
      <c r="J685" s="102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  <c r="CJ685" s="106"/>
      <c r="CK685" s="106"/>
      <c r="CL685" s="106"/>
      <c r="CM685" s="106"/>
      <c r="CN685" s="106"/>
      <c r="CO685" s="106"/>
      <c r="CP685" s="106"/>
      <c r="CQ685" s="106"/>
    </row>
    <row r="686" spans="8:95" ht="14.25" customHeight="1">
      <c r="H686" s="102"/>
      <c r="I686" s="102"/>
      <c r="J686" s="102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  <c r="CJ686" s="106"/>
      <c r="CK686" s="106"/>
      <c r="CL686" s="106"/>
      <c r="CM686" s="106"/>
      <c r="CN686" s="106"/>
      <c r="CO686" s="106"/>
      <c r="CP686" s="106"/>
      <c r="CQ686" s="106"/>
    </row>
    <row r="687" spans="8:95" ht="14.25" customHeight="1">
      <c r="H687" s="102"/>
      <c r="I687" s="102"/>
      <c r="J687" s="102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  <c r="CJ687" s="106"/>
      <c r="CK687" s="106"/>
      <c r="CL687" s="106"/>
      <c r="CM687" s="106"/>
      <c r="CN687" s="106"/>
      <c r="CO687" s="106"/>
      <c r="CP687" s="106"/>
      <c r="CQ687" s="106"/>
    </row>
    <row r="688" spans="8:95" ht="14.25" customHeight="1">
      <c r="H688" s="102"/>
      <c r="I688" s="102"/>
      <c r="J688" s="102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  <c r="CJ688" s="106"/>
      <c r="CK688" s="106"/>
      <c r="CL688" s="106"/>
      <c r="CM688" s="106"/>
      <c r="CN688" s="106"/>
      <c r="CO688" s="106"/>
      <c r="CP688" s="106"/>
      <c r="CQ688" s="106"/>
    </row>
    <row r="689" spans="8:95" ht="14.25" customHeight="1">
      <c r="H689" s="102"/>
      <c r="I689" s="102"/>
      <c r="J689" s="102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  <c r="CJ689" s="106"/>
      <c r="CK689" s="106"/>
      <c r="CL689" s="106"/>
      <c r="CM689" s="106"/>
      <c r="CN689" s="106"/>
      <c r="CO689" s="106"/>
      <c r="CP689" s="106"/>
      <c r="CQ689" s="106"/>
    </row>
    <row r="690" spans="8:95" ht="14.25" customHeight="1">
      <c r="H690" s="102"/>
      <c r="I690" s="102"/>
      <c r="J690" s="102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  <c r="CJ690" s="106"/>
      <c r="CK690" s="106"/>
      <c r="CL690" s="106"/>
      <c r="CM690" s="106"/>
      <c r="CN690" s="106"/>
      <c r="CO690" s="106"/>
      <c r="CP690" s="106"/>
      <c r="CQ690" s="106"/>
    </row>
    <row r="691" spans="8:95" ht="14.25" customHeight="1">
      <c r="H691" s="102"/>
      <c r="I691" s="102"/>
      <c r="J691" s="102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  <c r="CJ691" s="106"/>
      <c r="CK691" s="106"/>
      <c r="CL691" s="106"/>
      <c r="CM691" s="106"/>
      <c r="CN691" s="106"/>
      <c r="CO691" s="106"/>
      <c r="CP691" s="106"/>
      <c r="CQ691" s="106"/>
    </row>
    <row r="692" spans="8:95" ht="14.25" customHeight="1">
      <c r="H692" s="102"/>
      <c r="I692" s="102"/>
      <c r="J692" s="102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  <c r="CJ692" s="106"/>
      <c r="CK692" s="106"/>
      <c r="CL692" s="106"/>
      <c r="CM692" s="106"/>
      <c r="CN692" s="106"/>
      <c r="CO692" s="106"/>
      <c r="CP692" s="106"/>
      <c r="CQ692" s="106"/>
    </row>
    <row r="693" spans="8:95" ht="14.25" customHeight="1">
      <c r="H693" s="102"/>
      <c r="I693" s="102"/>
      <c r="J693" s="102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  <c r="CJ693" s="106"/>
      <c r="CK693" s="106"/>
      <c r="CL693" s="106"/>
      <c r="CM693" s="106"/>
      <c r="CN693" s="106"/>
      <c r="CO693" s="106"/>
      <c r="CP693" s="106"/>
      <c r="CQ693" s="106"/>
    </row>
    <row r="694" spans="8:95" ht="14.25" customHeight="1">
      <c r="H694" s="102"/>
      <c r="I694" s="102"/>
      <c r="J694" s="102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  <c r="CJ694" s="106"/>
      <c r="CK694" s="106"/>
      <c r="CL694" s="106"/>
      <c r="CM694" s="106"/>
      <c r="CN694" s="106"/>
      <c r="CO694" s="106"/>
      <c r="CP694" s="106"/>
      <c r="CQ694" s="106"/>
    </row>
    <row r="695" spans="8:95" ht="14.25" customHeight="1">
      <c r="H695" s="102"/>
      <c r="I695" s="102"/>
      <c r="J695" s="102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  <c r="CJ695" s="106"/>
      <c r="CK695" s="106"/>
      <c r="CL695" s="106"/>
      <c r="CM695" s="106"/>
      <c r="CN695" s="106"/>
      <c r="CO695" s="106"/>
      <c r="CP695" s="106"/>
      <c r="CQ695" s="106"/>
    </row>
    <row r="696" spans="8:95" ht="14.25" customHeight="1">
      <c r="H696" s="102"/>
      <c r="I696" s="102"/>
      <c r="J696" s="102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  <c r="CJ696" s="106"/>
      <c r="CK696" s="106"/>
      <c r="CL696" s="106"/>
      <c r="CM696" s="106"/>
      <c r="CN696" s="106"/>
      <c r="CO696" s="106"/>
      <c r="CP696" s="106"/>
      <c r="CQ696" s="106"/>
    </row>
    <row r="697" spans="8:95" ht="14.25" customHeight="1">
      <c r="H697" s="102"/>
      <c r="I697" s="102"/>
      <c r="J697" s="102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  <c r="CJ697" s="106"/>
      <c r="CK697" s="106"/>
      <c r="CL697" s="106"/>
      <c r="CM697" s="106"/>
      <c r="CN697" s="106"/>
      <c r="CO697" s="106"/>
      <c r="CP697" s="106"/>
      <c r="CQ697" s="106"/>
    </row>
    <row r="698" spans="8:95" ht="14.25" customHeight="1">
      <c r="H698" s="102"/>
      <c r="I698" s="102"/>
      <c r="J698" s="102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  <c r="CJ698" s="106"/>
      <c r="CK698" s="106"/>
      <c r="CL698" s="106"/>
      <c r="CM698" s="106"/>
      <c r="CN698" s="106"/>
      <c r="CO698" s="106"/>
      <c r="CP698" s="106"/>
      <c r="CQ698" s="106"/>
    </row>
    <row r="699" spans="8:95" ht="14.25" customHeight="1">
      <c r="H699" s="102"/>
      <c r="I699" s="102"/>
      <c r="J699" s="102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  <c r="CJ699" s="106"/>
      <c r="CK699" s="106"/>
      <c r="CL699" s="106"/>
      <c r="CM699" s="106"/>
      <c r="CN699" s="106"/>
      <c r="CO699" s="106"/>
      <c r="CP699" s="106"/>
      <c r="CQ699" s="106"/>
    </row>
    <row r="700" spans="8:95" ht="14.25" customHeight="1">
      <c r="H700" s="102"/>
      <c r="I700" s="102"/>
      <c r="J700" s="102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  <c r="CJ700" s="106"/>
      <c r="CK700" s="106"/>
      <c r="CL700" s="106"/>
      <c r="CM700" s="106"/>
      <c r="CN700" s="106"/>
      <c r="CO700" s="106"/>
      <c r="CP700" s="106"/>
      <c r="CQ700" s="106"/>
    </row>
    <row r="701" spans="8:95" ht="14.25" customHeight="1">
      <c r="H701" s="102"/>
      <c r="I701" s="102"/>
      <c r="J701" s="102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  <c r="CJ701" s="106"/>
      <c r="CK701" s="106"/>
      <c r="CL701" s="106"/>
      <c r="CM701" s="106"/>
      <c r="CN701" s="106"/>
      <c r="CO701" s="106"/>
      <c r="CP701" s="106"/>
      <c r="CQ701" s="106"/>
    </row>
    <row r="702" spans="8:95" ht="14.25" customHeight="1">
      <c r="H702" s="102"/>
      <c r="I702" s="102"/>
      <c r="J702" s="102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  <c r="CJ702" s="106"/>
      <c r="CK702" s="106"/>
      <c r="CL702" s="106"/>
      <c r="CM702" s="106"/>
      <c r="CN702" s="106"/>
      <c r="CO702" s="106"/>
      <c r="CP702" s="106"/>
      <c r="CQ702" s="106"/>
    </row>
    <row r="703" spans="8:95" ht="14.25" customHeight="1">
      <c r="H703" s="102"/>
      <c r="I703" s="102"/>
      <c r="J703" s="102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  <c r="CJ703" s="106"/>
      <c r="CK703" s="106"/>
      <c r="CL703" s="106"/>
      <c r="CM703" s="106"/>
      <c r="CN703" s="106"/>
      <c r="CO703" s="106"/>
      <c r="CP703" s="106"/>
      <c r="CQ703" s="106"/>
    </row>
    <row r="704" spans="8:95" ht="14.25" customHeight="1">
      <c r="H704" s="102"/>
      <c r="I704" s="102"/>
      <c r="J704" s="102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  <c r="CJ704" s="106"/>
      <c r="CK704" s="106"/>
      <c r="CL704" s="106"/>
      <c r="CM704" s="106"/>
      <c r="CN704" s="106"/>
      <c r="CO704" s="106"/>
      <c r="CP704" s="106"/>
      <c r="CQ704" s="106"/>
    </row>
    <row r="705" spans="8:95" ht="14.25" customHeight="1">
      <c r="H705" s="102"/>
      <c r="I705" s="102"/>
      <c r="J705" s="102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  <c r="CJ705" s="106"/>
      <c r="CK705" s="106"/>
      <c r="CL705" s="106"/>
      <c r="CM705" s="106"/>
      <c r="CN705" s="106"/>
      <c r="CO705" s="106"/>
      <c r="CP705" s="106"/>
      <c r="CQ705" s="106"/>
    </row>
    <row r="706" spans="8:95" ht="14.25" customHeight="1">
      <c r="H706" s="102"/>
      <c r="I706" s="102"/>
      <c r="J706" s="102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  <c r="CJ706" s="106"/>
      <c r="CK706" s="106"/>
      <c r="CL706" s="106"/>
      <c r="CM706" s="106"/>
      <c r="CN706" s="106"/>
      <c r="CO706" s="106"/>
      <c r="CP706" s="106"/>
      <c r="CQ706" s="106"/>
    </row>
    <row r="707" spans="8:95" ht="14.25" customHeight="1">
      <c r="H707" s="102"/>
      <c r="I707" s="102"/>
      <c r="J707" s="102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  <c r="CJ707" s="106"/>
      <c r="CK707" s="106"/>
      <c r="CL707" s="106"/>
      <c r="CM707" s="106"/>
      <c r="CN707" s="106"/>
      <c r="CO707" s="106"/>
      <c r="CP707" s="106"/>
      <c r="CQ707" s="106"/>
    </row>
    <row r="708" spans="8:95" ht="14.25" customHeight="1">
      <c r="H708" s="102"/>
      <c r="I708" s="102"/>
      <c r="J708" s="102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  <c r="CJ708" s="106"/>
      <c r="CK708" s="106"/>
      <c r="CL708" s="106"/>
      <c r="CM708" s="106"/>
      <c r="CN708" s="106"/>
      <c r="CO708" s="106"/>
      <c r="CP708" s="106"/>
      <c r="CQ708" s="106"/>
    </row>
    <row r="709" spans="8:95" ht="14.25" customHeight="1">
      <c r="H709" s="102"/>
      <c r="I709" s="102"/>
      <c r="J709" s="102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  <c r="CJ709" s="106"/>
      <c r="CK709" s="106"/>
      <c r="CL709" s="106"/>
      <c r="CM709" s="106"/>
      <c r="CN709" s="106"/>
      <c r="CO709" s="106"/>
      <c r="CP709" s="106"/>
      <c r="CQ709" s="106"/>
    </row>
    <row r="710" spans="8:95" ht="14.25" customHeight="1">
      <c r="H710" s="102"/>
      <c r="I710" s="102"/>
      <c r="J710" s="102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  <c r="CJ710" s="106"/>
      <c r="CK710" s="106"/>
      <c r="CL710" s="106"/>
      <c r="CM710" s="106"/>
      <c r="CN710" s="106"/>
      <c r="CO710" s="106"/>
      <c r="CP710" s="106"/>
      <c r="CQ710" s="106"/>
    </row>
    <row r="711" spans="8:95" ht="14.25" customHeight="1">
      <c r="H711" s="102"/>
      <c r="I711" s="102"/>
      <c r="J711" s="102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  <c r="CJ711" s="106"/>
      <c r="CK711" s="106"/>
      <c r="CL711" s="106"/>
      <c r="CM711" s="106"/>
      <c r="CN711" s="106"/>
      <c r="CO711" s="106"/>
      <c r="CP711" s="106"/>
      <c r="CQ711" s="106"/>
    </row>
    <row r="712" spans="8:95" ht="14.25" customHeight="1">
      <c r="H712" s="102"/>
      <c r="I712" s="102"/>
      <c r="J712" s="102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  <c r="CJ712" s="106"/>
      <c r="CK712" s="106"/>
      <c r="CL712" s="106"/>
      <c r="CM712" s="106"/>
      <c r="CN712" s="106"/>
      <c r="CO712" s="106"/>
      <c r="CP712" s="106"/>
      <c r="CQ712" s="106"/>
    </row>
    <row r="713" spans="8:95" ht="14.25" customHeight="1">
      <c r="H713" s="102"/>
      <c r="I713" s="102"/>
      <c r="J713" s="102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  <c r="CJ713" s="106"/>
      <c r="CK713" s="106"/>
      <c r="CL713" s="106"/>
      <c r="CM713" s="106"/>
      <c r="CN713" s="106"/>
      <c r="CO713" s="106"/>
      <c r="CP713" s="106"/>
      <c r="CQ713" s="106"/>
    </row>
    <row r="714" spans="8:95" ht="14.25" customHeight="1">
      <c r="H714" s="102"/>
      <c r="I714" s="102"/>
      <c r="J714" s="102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  <c r="CJ714" s="106"/>
      <c r="CK714" s="106"/>
      <c r="CL714" s="106"/>
      <c r="CM714" s="106"/>
      <c r="CN714" s="106"/>
      <c r="CO714" s="106"/>
      <c r="CP714" s="106"/>
      <c r="CQ714" s="106"/>
    </row>
    <row r="715" spans="8:95" ht="14.25" customHeight="1">
      <c r="H715" s="102"/>
      <c r="I715" s="102"/>
      <c r="J715" s="102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  <c r="CJ715" s="106"/>
      <c r="CK715" s="106"/>
      <c r="CL715" s="106"/>
      <c r="CM715" s="106"/>
      <c r="CN715" s="106"/>
      <c r="CO715" s="106"/>
      <c r="CP715" s="106"/>
      <c r="CQ715" s="106"/>
    </row>
    <row r="716" spans="8:95" ht="14.25" customHeight="1">
      <c r="H716" s="102"/>
      <c r="I716" s="102"/>
      <c r="J716" s="102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  <c r="CJ716" s="106"/>
      <c r="CK716" s="106"/>
      <c r="CL716" s="106"/>
      <c r="CM716" s="106"/>
      <c r="CN716" s="106"/>
      <c r="CO716" s="106"/>
      <c r="CP716" s="106"/>
      <c r="CQ716" s="106"/>
    </row>
    <row r="717" spans="8:95" ht="14.25" customHeight="1">
      <c r="H717" s="102"/>
      <c r="I717" s="102"/>
      <c r="J717" s="102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  <c r="CJ717" s="106"/>
      <c r="CK717" s="106"/>
      <c r="CL717" s="106"/>
      <c r="CM717" s="106"/>
      <c r="CN717" s="106"/>
      <c r="CO717" s="106"/>
      <c r="CP717" s="106"/>
      <c r="CQ717" s="106"/>
    </row>
    <row r="718" spans="8:95" ht="14.25" customHeight="1">
      <c r="H718" s="102"/>
      <c r="I718" s="102"/>
      <c r="J718" s="102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  <c r="CJ718" s="106"/>
      <c r="CK718" s="106"/>
      <c r="CL718" s="106"/>
      <c r="CM718" s="106"/>
      <c r="CN718" s="106"/>
      <c r="CO718" s="106"/>
      <c r="CP718" s="106"/>
      <c r="CQ718" s="106"/>
    </row>
    <row r="719" spans="8:95" ht="14.25" customHeight="1">
      <c r="H719" s="102"/>
      <c r="I719" s="102"/>
      <c r="J719" s="102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  <c r="CJ719" s="106"/>
      <c r="CK719" s="106"/>
      <c r="CL719" s="106"/>
      <c r="CM719" s="106"/>
      <c r="CN719" s="106"/>
      <c r="CO719" s="106"/>
      <c r="CP719" s="106"/>
      <c r="CQ719" s="106"/>
    </row>
    <row r="720" spans="8:95" ht="14.25" customHeight="1">
      <c r="H720" s="102"/>
      <c r="I720" s="102"/>
      <c r="J720" s="102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  <c r="CJ720" s="106"/>
      <c r="CK720" s="106"/>
      <c r="CL720" s="106"/>
      <c r="CM720" s="106"/>
      <c r="CN720" s="106"/>
      <c r="CO720" s="106"/>
      <c r="CP720" s="106"/>
      <c r="CQ720" s="106"/>
    </row>
    <row r="721" spans="8:95" ht="14.25" customHeight="1">
      <c r="H721" s="102"/>
      <c r="I721" s="102"/>
      <c r="J721" s="102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  <c r="CJ721" s="106"/>
      <c r="CK721" s="106"/>
      <c r="CL721" s="106"/>
      <c r="CM721" s="106"/>
      <c r="CN721" s="106"/>
      <c r="CO721" s="106"/>
      <c r="CP721" s="106"/>
      <c r="CQ721" s="106"/>
    </row>
    <row r="722" spans="8:95" ht="14.25" customHeight="1">
      <c r="H722" s="102"/>
      <c r="I722" s="102"/>
      <c r="J722" s="102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  <c r="CJ722" s="106"/>
      <c r="CK722" s="106"/>
      <c r="CL722" s="106"/>
      <c r="CM722" s="106"/>
      <c r="CN722" s="106"/>
      <c r="CO722" s="106"/>
      <c r="CP722" s="106"/>
      <c r="CQ722" s="106"/>
    </row>
    <row r="723" spans="8:95" ht="14.25" customHeight="1">
      <c r="H723" s="102"/>
      <c r="I723" s="102"/>
      <c r="J723" s="102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  <c r="CJ723" s="106"/>
      <c r="CK723" s="106"/>
      <c r="CL723" s="106"/>
      <c r="CM723" s="106"/>
      <c r="CN723" s="106"/>
      <c r="CO723" s="106"/>
      <c r="CP723" s="106"/>
      <c r="CQ723" s="106"/>
    </row>
    <row r="724" spans="8:95" ht="14.25" customHeight="1">
      <c r="H724" s="102"/>
      <c r="I724" s="102"/>
      <c r="J724" s="102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  <c r="CJ724" s="106"/>
      <c r="CK724" s="106"/>
      <c r="CL724" s="106"/>
      <c r="CM724" s="106"/>
      <c r="CN724" s="106"/>
      <c r="CO724" s="106"/>
      <c r="CP724" s="106"/>
      <c r="CQ724" s="106"/>
    </row>
    <row r="725" spans="8:95" ht="14.25" customHeight="1">
      <c r="H725" s="102"/>
      <c r="I725" s="102"/>
      <c r="J725" s="102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  <c r="CJ725" s="106"/>
      <c r="CK725" s="106"/>
      <c r="CL725" s="106"/>
      <c r="CM725" s="106"/>
      <c r="CN725" s="106"/>
      <c r="CO725" s="106"/>
      <c r="CP725" s="106"/>
      <c r="CQ725" s="106"/>
    </row>
    <row r="726" spans="8:95" ht="14.25" customHeight="1">
      <c r="H726" s="102"/>
      <c r="I726" s="102"/>
      <c r="J726" s="102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  <c r="CJ726" s="106"/>
      <c r="CK726" s="106"/>
      <c r="CL726" s="106"/>
      <c r="CM726" s="106"/>
      <c r="CN726" s="106"/>
      <c r="CO726" s="106"/>
      <c r="CP726" s="106"/>
      <c r="CQ726" s="106"/>
    </row>
    <row r="727" spans="8:95" ht="14.25" customHeight="1">
      <c r="H727" s="102"/>
      <c r="I727" s="102"/>
      <c r="J727" s="102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  <c r="CJ727" s="106"/>
      <c r="CK727" s="106"/>
      <c r="CL727" s="106"/>
      <c r="CM727" s="106"/>
      <c r="CN727" s="106"/>
      <c r="CO727" s="106"/>
      <c r="CP727" s="106"/>
      <c r="CQ727" s="106"/>
    </row>
    <row r="728" spans="8:95" ht="14.25" customHeight="1">
      <c r="H728" s="102"/>
      <c r="I728" s="102"/>
      <c r="J728" s="102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  <c r="CJ728" s="106"/>
      <c r="CK728" s="106"/>
      <c r="CL728" s="106"/>
      <c r="CM728" s="106"/>
      <c r="CN728" s="106"/>
      <c r="CO728" s="106"/>
      <c r="CP728" s="106"/>
      <c r="CQ728" s="106"/>
    </row>
    <row r="729" spans="8:95" ht="14.25" customHeight="1">
      <c r="H729" s="102"/>
      <c r="I729" s="102"/>
      <c r="J729" s="102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  <c r="CJ729" s="106"/>
      <c r="CK729" s="106"/>
      <c r="CL729" s="106"/>
      <c r="CM729" s="106"/>
      <c r="CN729" s="106"/>
      <c r="CO729" s="106"/>
      <c r="CP729" s="106"/>
      <c r="CQ729" s="106"/>
    </row>
    <row r="730" spans="8:95" ht="14.25" customHeight="1">
      <c r="H730" s="102"/>
      <c r="I730" s="102"/>
      <c r="J730" s="102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  <c r="CJ730" s="106"/>
      <c r="CK730" s="106"/>
      <c r="CL730" s="106"/>
      <c r="CM730" s="106"/>
      <c r="CN730" s="106"/>
      <c r="CO730" s="106"/>
      <c r="CP730" s="106"/>
      <c r="CQ730" s="106"/>
    </row>
    <row r="731" spans="8:95" ht="14.25" customHeight="1">
      <c r="H731" s="102"/>
      <c r="I731" s="102"/>
      <c r="J731" s="102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  <c r="CJ731" s="106"/>
      <c r="CK731" s="106"/>
      <c r="CL731" s="106"/>
      <c r="CM731" s="106"/>
      <c r="CN731" s="106"/>
      <c r="CO731" s="106"/>
      <c r="CP731" s="106"/>
      <c r="CQ731" s="106"/>
    </row>
    <row r="732" spans="8:95" ht="14.25" customHeight="1">
      <c r="H732" s="102"/>
      <c r="I732" s="102"/>
      <c r="J732" s="102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  <c r="CJ732" s="106"/>
      <c r="CK732" s="106"/>
      <c r="CL732" s="106"/>
      <c r="CM732" s="106"/>
      <c r="CN732" s="106"/>
      <c r="CO732" s="106"/>
      <c r="CP732" s="106"/>
      <c r="CQ732" s="106"/>
    </row>
    <row r="733" spans="8:95" ht="14.25" customHeight="1">
      <c r="H733" s="102"/>
      <c r="I733" s="102"/>
      <c r="J733" s="102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  <c r="CJ733" s="106"/>
      <c r="CK733" s="106"/>
      <c r="CL733" s="106"/>
      <c r="CM733" s="106"/>
      <c r="CN733" s="106"/>
      <c r="CO733" s="106"/>
      <c r="CP733" s="106"/>
      <c r="CQ733" s="106"/>
    </row>
    <row r="734" spans="8:95" ht="14.25" customHeight="1">
      <c r="H734" s="102"/>
      <c r="I734" s="102"/>
      <c r="J734" s="102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  <c r="CJ734" s="106"/>
      <c r="CK734" s="106"/>
      <c r="CL734" s="106"/>
      <c r="CM734" s="106"/>
      <c r="CN734" s="106"/>
      <c r="CO734" s="106"/>
      <c r="CP734" s="106"/>
      <c r="CQ734" s="106"/>
    </row>
    <row r="735" spans="8:95" ht="14.25" customHeight="1">
      <c r="H735" s="102"/>
      <c r="I735" s="102"/>
      <c r="J735" s="102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  <c r="CJ735" s="106"/>
      <c r="CK735" s="106"/>
      <c r="CL735" s="106"/>
      <c r="CM735" s="106"/>
      <c r="CN735" s="106"/>
      <c r="CO735" s="106"/>
      <c r="CP735" s="106"/>
      <c r="CQ735" s="106"/>
    </row>
    <row r="736" spans="8:95" ht="14.25" customHeight="1">
      <c r="H736" s="102"/>
      <c r="I736" s="102"/>
      <c r="J736" s="102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  <c r="CJ736" s="106"/>
      <c r="CK736" s="106"/>
      <c r="CL736" s="106"/>
      <c r="CM736" s="106"/>
      <c r="CN736" s="106"/>
      <c r="CO736" s="106"/>
      <c r="CP736" s="106"/>
      <c r="CQ736" s="106"/>
    </row>
    <row r="737" spans="8:95" ht="14.25" customHeight="1">
      <c r="H737" s="102"/>
      <c r="I737" s="102"/>
      <c r="J737" s="102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  <c r="CJ737" s="106"/>
      <c r="CK737" s="106"/>
      <c r="CL737" s="106"/>
      <c r="CM737" s="106"/>
      <c r="CN737" s="106"/>
      <c r="CO737" s="106"/>
      <c r="CP737" s="106"/>
      <c r="CQ737" s="106"/>
    </row>
    <row r="738" spans="8:95" ht="14.25" customHeight="1">
      <c r="H738" s="102"/>
      <c r="I738" s="102"/>
      <c r="J738" s="102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  <c r="CJ738" s="106"/>
      <c r="CK738" s="106"/>
      <c r="CL738" s="106"/>
      <c r="CM738" s="106"/>
      <c r="CN738" s="106"/>
      <c r="CO738" s="106"/>
      <c r="CP738" s="106"/>
      <c r="CQ738" s="106"/>
    </row>
    <row r="739" spans="8:95" ht="14.25" customHeight="1">
      <c r="H739" s="102"/>
      <c r="I739" s="102"/>
      <c r="J739" s="102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  <c r="CJ739" s="106"/>
      <c r="CK739" s="106"/>
      <c r="CL739" s="106"/>
      <c r="CM739" s="106"/>
      <c r="CN739" s="106"/>
      <c r="CO739" s="106"/>
      <c r="CP739" s="106"/>
      <c r="CQ739" s="106"/>
    </row>
    <row r="740" spans="8:95" ht="14.25" customHeight="1">
      <c r="H740" s="102"/>
      <c r="I740" s="102"/>
      <c r="J740" s="102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  <c r="CJ740" s="106"/>
      <c r="CK740" s="106"/>
      <c r="CL740" s="106"/>
      <c r="CM740" s="106"/>
      <c r="CN740" s="106"/>
      <c r="CO740" s="106"/>
      <c r="CP740" s="106"/>
      <c r="CQ740" s="106"/>
    </row>
    <row r="741" spans="8:95" ht="14.25" customHeight="1">
      <c r="H741" s="102"/>
      <c r="I741" s="102"/>
      <c r="J741" s="102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  <c r="CJ741" s="106"/>
      <c r="CK741" s="106"/>
      <c r="CL741" s="106"/>
      <c r="CM741" s="106"/>
      <c r="CN741" s="106"/>
      <c r="CO741" s="106"/>
      <c r="CP741" s="106"/>
      <c r="CQ741" s="106"/>
    </row>
    <row r="742" spans="8:95" ht="14.25" customHeight="1">
      <c r="H742" s="102"/>
      <c r="I742" s="102"/>
      <c r="J742" s="102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  <c r="CJ742" s="106"/>
      <c r="CK742" s="106"/>
      <c r="CL742" s="106"/>
      <c r="CM742" s="106"/>
      <c r="CN742" s="106"/>
      <c r="CO742" s="106"/>
      <c r="CP742" s="106"/>
      <c r="CQ742" s="106"/>
    </row>
    <row r="743" spans="8:95" ht="14.25" customHeight="1">
      <c r="H743" s="102"/>
      <c r="I743" s="102"/>
      <c r="J743" s="102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  <c r="CJ743" s="106"/>
      <c r="CK743" s="106"/>
      <c r="CL743" s="106"/>
      <c r="CM743" s="106"/>
      <c r="CN743" s="106"/>
      <c r="CO743" s="106"/>
      <c r="CP743" s="106"/>
      <c r="CQ743" s="106"/>
    </row>
    <row r="744" spans="8:95" ht="14.25" customHeight="1">
      <c r="H744" s="102"/>
      <c r="I744" s="102"/>
      <c r="J744" s="102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  <c r="CJ744" s="106"/>
      <c r="CK744" s="106"/>
      <c r="CL744" s="106"/>
      <c r="CM744" s="106"/>
      <c r="CN744" s="106"/>
      <c r="CO744" s="106"/>
      <c r="CP744" s="106"/>
      <c r="CQ744" s="106"/>
    </row>
    <row r="745" spans="8:95" ht="14.25" customHeight="1">
      <c r="H745" s="102"/>
      <c r="I745" s="102"/>
      <c r="J745" s="102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  <c r="CJ745" s="106"/>
      <c r="CK745" s="106"/>
      <c r="CL745" s="106"/>
      <c r="CM745" s="106"/>
      <c r="CN745" s="106"/>
      <c r="CO745" s="106"/>
      <c r="CP745" s="106"/>
      <c r="CQ745" s="106"/>
    </row>
    <row r="746" spans="8:95" ht="14.25" customHeight="1">
      <c r="H746" s="102"/>
      <c r="I746" s="102"/>
      <c r="J746" s="102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  <c r="CJ746" s="106"/>
      <c r="CK746" s="106"/>
      <c r="CL746" s="106"/>
      <c r="CM746" s="106"/>
      <c r="CN746" s="106"/>
      <c r="CO746" s="106"/>
      <c r="CP746" s="106"/>
      <c r="CQ746" s="106"/>
    </row>
    <row r="747" spans="8:95" ht="14.25" customHeight="1">
      <c r="H747" s="102"/>
      <c r="I747" s="102"/>
      <c r="J747" s="102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  <c r="CJ747" s="106"/>
      <c r="CK747" s="106"/>
      <c r="CL747" s="106"/>
      <c r="CM747" s="106"/>
      <c r="CN747" s="106"/>
      <c r="CO747" s="106"/>
      <c r="CP747" s="106"/>
      <c r="CQ747" s="106"/>
    </row>
    <row r="748" spans="8:95" ht="14.25" customHeight="1">
      <c r="H748" s="102"/>
      <c r="I748" s="102"/>
      <c r="J748" s="102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  <c r="CJ748" s="106"/>
      <c r="CK748" s="106"/>
      <c r="CL748" s="106"/>
      <c r="CM748" s="106"/>
      <c r="CN748" s="106"/>
      <c r="CO748" s="106"/>
      <c r="CP748" s="106"/>
      <c r="CQ748" s="106"/>
    </row>
    <row r="749" spans="8:95" ht="14.25" customHeight="1">
      <c r="H749" s="102"/>
      <c r="I749" s="102"/>
      <c r="J749" s="102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  <c r="CJ749" s="106"/>
      <c r="CK749" s="106"/>
      <c r="CL749" s="106"/>
      <c r="CM749" s="106"/>
      <c r="CN749" s="106"/>
      <c r="CO749" s="106"/>
      <c r="CP749" s="106"/>
      <c r="CQ749" s="106"/>
    </row>
    <row r="750" spans="8:95" ht="14.25" customHeight="1">
      <c r="H750" s="102"/>
      <c r="I750" s="102"/>
      <c r="J750" s="102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  <c r="CJ750" s="106"/>
      <c r="CK750" s="106"/>
      <c r="CL750" s="106"/>
      <c r="CM750" s="106"/>
      <c r="CN750" s="106"/>
      <c r="CO750" s="106"/>
      <c r="CP750" s="106"/>
      <c r="CQ750" s="106"/>
    </row>
    <row r="751" spans="8:95" ht="14.25" customHeight="1">
      <c r="H751" s="102"/>
      <c r="I751" s="102"/>
      <c r="J751" s="102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  <c r="CJ751" s="106"/>
      <c r="CK751" s="106"/>
      <c r="CL751" s="106"/>
      <c r="CM751" s="106"/>
      <c r="CN751" s="106"/>
      <c r="CO751" s="106"/>
      <c r="CP751" s="106"/>
      <c r="CQ751" s="106"/>
    </row>
    <row r="752" spans="8:95" ht="14.25" customHeight="1">
      <c r="H752" s="102"/>
      <c r="I752" s="102"/>
      <c r="J752" s="102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  <c r="CJ752" s="106"/>
      <c r="CK752" s="106"/>
      <c r="CL752" s="106"/>
      <c r="CM752" s="106"/>
      <c r="CN752" s="106"/>
      <c r="CO752" s="106"/>
      <c r="CP752" s="106"/>
      <c r="CQ752" s="106"/>
    </row>
    <row r="753" spans="8:95" ht="14.25" customHeight="1">
      <c r="H753" s="102"/>
      <c r="I753" s="102"/>
      <c r="J753" s="102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  <c r="CJ753" s="106"/>
      <c r="CK753" s="106"/>
      <c r="CL753" s="106"/>
      <c r="CM753" s="106"/>
      <c r="CN753" s="106"/>
      <c r="CO753" s="106"/>
      <c r="CP753" s="106"/>
      <c r="CQ753" s="106"/>
    </row>
    <row r="754" spans="8:95" ht="14.25" customHeight="1">
      <c r="H754" s="102"/>
      <c r="I754" s="102"/>
      <c r="J754" s="102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  <c r="CJ754" s="106"/>
      <c r="CK754" s="106"/>
      <c r="CL754" s="106"/>
      <c r="CM754" s="106"/>
      <c r="CN754" s="106"/>
      <c r="CO754" s="106"/>
      <c r="CP754" s="106"/>
      <c r="CQ754" s="106"/>
    </row>
    <row r="755" spans="8:95" ht="14.25" customHeight="1">
      <c r="H755" s="102"/>
      <c r="I755" s="102"/>
      <c r="J755" s="102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  <c r="CJ755" s="106"/>
      <c r="CK755" s="106"/>
      <c r="CL755" s="106"/>
      <c r="CM755" s="106"/>
      <c r="CN755" s="106"/>
      <c r="CO755" s="106"/>
      <c r="CP755" s="106"/>
      <c r="CQ755" s="106"/>
    </row>
    <row r="756" spans="8:95" ht="14.25" customHeight="1">
      <c r="H756" s="102"/>
      <c r="I756" s="102"/>
      <c r="J756" s="102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  <c r="CJ756" s="106"/>
      <c r="CK756" s="106"/>
      <c r="CL756" s="106"/>
      <c r="CM756" s="106"/>
      <c r="CN756" s="106"/>
      <c r="CO756" s="106"/>
      <c r="CP756" s="106"/>
      <c r="CQ756" s="106"/>
    </row>
    <row r="757" spans="8:95" ht="14.25" customHeight="1">
      <c r="H757" s="102"/>
      <c r="I757" s="102"/>
      <c r="J757" s="102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  <c r="CJ757" s="106"/>
      <c r="CK757" s="106"/>
      <c r="CL757" s="106"/>
      <c r="CM757" s="106"/>
      <c r="CN757" s="106"/>
      <c r="CO757" s="106"/>
      <c r="CP757" s="106"/>
      <c r="CQ757" s="106"/>
    </row>
    <row r="758" spans="8:95" ht="14.25" customHeight="1">
      <c r="H758" s="102"/>
      <c r="I758" s="102"/>
      <c r="J758" s="102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  <c r="CJ758" s="106"/>
      <c r="CK758" s="106"/>
      <c r="CL758" s="106"/>
      <c r="CM758" s="106"/>
      <c r="CN758" s="106"/>
      <c r="CO758" s="106"/>
      <c r="CP758" s="106"/>
      <c r="CQ758" s="106"/>
    </row>
    <row r="759" spans="8:95" ht="14.25" customHeight="1">
      <c r="H759" s="102"/>
      <c r="I759" s="102"/>
      <c r="J759" s="102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  <c r="CJ759" s="106"/>
      <c r="CK759" s="106"/>
      <c r="CL759" s="106"/>
      <c r="CM759" s="106"/>
      <c r="CN759" s="106"/>
      <c r="CO759" s="106"/>
      <c r="CP759" s="106"/>
      <c r="CQ759" s="106"/>
    </row>
    <row r="760" spans="8:95" ht="14.25" customHeight="1">
      <c r="H760" s="102"/>
      <c r="I760" s="102"/>
      <c r="J760" s="102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  <c r="CJ760" s="106"/>
      <c r="CK760" s="106"/>
      <c r="CL760" s="106"/>
      <c r="CM760" s="106"/>
      <c r="CN760" s="106"/>
      <c r="CO760" s="106"/>
      <c r="CP760" s="106"/>
      <c r="CQ760" s="106"/>
    </row>
    <row r="761" spans="8:95" ht="14.25" customHeight="1">
      <c r="H761" s="102"/>
      <c r="I761" s="102"/>
      <c r="J761" s="102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  <c r="CJ761" s="106"/>
      <c r="CK761" s="106"/>
      <c r="CL761" s="106"/>
      <c r="CM761" s="106"/>
      <c r="CN761" s="106"/>
      <c r="CO761" s="106"/>
      <c r="CP761" s="106"/>
      <c r="CQ761" s="106"/>
    </row>
    <row r="762" spans="8:95" ht="14.25" customHeight="1">
      <c r="H762" s="102"/>
      <c r="I762" s="102"/>
      <c r="J762" s="102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  <c r="CJ762" s="106"/>
      <c r="CK762" s="106"/>
      <c r="CL762" s="106"/>
      <c r="CM762" s="106"/>
      <c r="CN762" s="106"/>
      <c r="CO762" s="106"/>
      <c r="CP762" s="106"/>
      <c r="CQ762" s="106"/>
    </row>
    <row r="763" spans="8:95" ht="14.25" customHeight="1">
      <c r="H763" s="102"/>
      <c r="I763" s="102"/>
      <c r="J763" s="102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  <c r="CJ763" s="106"/>
      <c r="CK763" s="106"/>
      <c r="CL763" s="106"/>
      <c r="CM763" s="106"/>
      <c r="CN763" s="106"/>
      <c r="CO763" s="106"/>
      <c r="CP763" s="106"/>
      <c r="CQ763" s="106"/>
    </row>
    <row r="764" spans="8:95" ht="14.25" customHeight="1">
      <c r="H764" s="102"/>
      <c r="I764" s="102"/>
      <c r="J764" s="102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  <c r="CJ764" s="106"/>
      <c r="CK764" s="106"/>
      <c r="CL764" s="106"/>
      <c r="CM764" s="106"/>
      <c r="CN764" s="106"/>
      <c r="CO764" s="106"/>
      <c r="CP764" s="106"/>
      <c r="CQ764" s="106"/>
    </row>
    <row r="765" spans="8:95" ht="14.25" customHeight="1">
      <c r="H765" s="102"/>
      <c r="I765" s="102"/>
      <c r="J765" s="102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  <c r="CJ765" s="106"/>
      <c r="CK765" s="106"/>
      <c r="CL765" s="106"/>
      <c r="CM765" s="106"/>
      <c r="CN765" s="106"/>
      <c r="CO765" s="106"/>
      <c r="CP765" s="106"/>
      <c r="CQ765" s="106"/>
    </row>
    <row r="766" spans="8:95" ht="14.25" customHeight="1">
      <c r="H766" s="102"/>
      <c r="I766" s="102"/>
      <c r="J766" s="102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  <c r="CJ766" s="106"/>
      <c r="CK766" s="106"/>
      <c r="CL766" s="106"/>
      <c r="CM766" s="106"/>
      <c r="CN766" s="106"/>
      <c r="CO766" s="106"/>
      <c r="CP766" s="106"/>
      <c r="CQ766" s="106"/>
    </row>
    <row r="767" spans="8:95" ht="14.25" customHeight="1">
      <c r="H767" s="102"/>
      <c r="I767" s="102"/>
      <c r="J767" s="102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  <c r="CJ767" s="106"/>
      <c r="CK767" s="106"/>
      <c r="CL767" s="106"/>
      <c r="CM767" s="106"/>
      <c r="CN767" s="106"/>
      <c r="CO767" s="106"/>
      <c r="CP767" s="106"/>
      <c r="CQ767" s="106"/>
    </row>
    <row r="768" spans="8:95" ht="14.25" customHeight="1">
      <c r="H768" s="102"/>
      <c r="I768" s="102"/>
      <c r="J768" s="102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  <c r="CJ768" s="106"/>
      <c r="CK768" s="106"/>
      <c r="CL768" s="106"/>
      <c r="CM768" s="106"/>
      <c r="CN768" s="106"/>
      <c r="CO768" s="106"/>
      <c r="CP768" s="106"/>
      <c r="CQ768" s="106"/>
    </row>
    <row r="769" spans="8:95" ht="14.25" customHeight="1">
      <c r="H769" s="102"/>
      <c r="I769" s="102"/>
      <c r="J769" s="102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  <c r="CJ769" s="106"/>
      <c r="CK769" s="106"/>
      <c r="CL769" s="106"/>
      <c r="CM769" s="106"/>
      <c r="CN769" s="106"/>
      <c r="CO769" s="106"/>
      <c r="CP769" s="106"/>
      <c r="CQ769" s="106"/>
    </row>
    <row r="770" spans="8:95" ht="14.25" customHeight="1">
      <c r="H770" s="102"/>
      <c r="I770" s="102"/>
      <c r="J770" s="102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  <c r="CJ770" s="106"/>
      <c r="CK770" s="106"/>
      <c r="CL770" s="106"/>
      <c r="CM770" s="106"/>
      <c r="CN770" s="106"/>
      <c r="CO770" s="106"/>
      <c r="CP770" s="106"/>
      <c r="CQ770" s="106"/>
    </row>
    <row r="771" spans="8:95" ht="14.25" customHeight="1">
      <c r="H771" s="102"/>
      <c r="I771" s="102"/>
      <c r="J771" s="102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  <c r="CJ771" s="106"/>
      <c r="CK771" s="106"/>
      <c r="CL771" s="106"/>
      <c r="CM771" s="106"/>
      <c r="CN771" s="106"/>
      <c r="CO771" s="106"/>
      <c r="CP771" s="106"/>
      <c r="CQ771" s="106"/>
    </row>
    <row r="772" spans="8:95" ht="14.25" customHeight="1">
      <c r="H772" s="102"/>
      <c r="I772" s="102"/>
      <c r="J772" s="102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  <c r="CJ772" s="106"/>
      <c r="CK772" s="106"/>
      <c r="CL772" s="106"/>
      <c r="CM772" s="106"/>
      <c r="CN772" s="106"/>
      <c r="CO772" s="106"/>
      <c r="CP772" s="106"/>
      <c r="CQ772" s="106"/>
    </row>
    <row r="773" spans="8:95" ht="14.25" customHeight="1">
      <c r="H773" s="102"/>
      <c r="I773" s="102"/>
      <c r="J773" s="102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  <c r="CJ773" s="106"/>
      <c r="CK773" s="106"/>
      <c r="CL773" s="106"/>
      <c r="CM773" s="106"/>
      <c r="CN773" s="106"/>
      <c r="CO773" s="106"/>
      <c r="CP773" s="106"/>
      <c r="CQ773" s="106"/>
    </row>
    <row r="774" spans="8:95" ht="14.25" customHeight="1">
      <c r="H774" s="102"/>
      <c r="I774" s="102"/>
      <c r="J774" s="102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  <c r="CJ774" s="106"/>
      <c r="CK774" s="106"/>
      <c r="CL774" s="106"/>
      <c r="CM774" s="106"/>
      <c r="CN774" s="106"/>
      <c r="CO774" s="106"/>
      <c r="CP774" s="106"/>
      <c r="CQ774" s="106"/>
    </row>
    <row r="775" spans="8:95" ht="14.25" customHeight="1">
      <c r="H775" s="102"/>
      <c r="I775" s="102"/>
      <c r="J775" s="102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  <c r="CJ775" s="106"/>
      <c r="CK775" s="106"/>
      <c r="CL775" s="106"/>
      <c r="CM775" s="106"/>
      <c r="CN775" s="106"/>
      <c r="CO775" s="106"/>
      <c r="CP775" s="106"/>
      <c r="CQ775" s="106"/>
    </row>
    <row r="776" spans="8:95" ht="14.25" customHeight="1">
      <c r="H776" s="102"/>
      <c r="I776" s="102"/>
      <c r="J776" s="102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  <c r="CJ776" s="106"/>
      <c r="CK776" s="106"/>
      <c r="CL776" s="106"/>
      <c r="CM776" s="106"/>
      <c r="CN776" s="106"/>
      <c r="CO776" s="106"/>
      <c r="CP776" s="106"/>
      <c r="CQ776" s="106"/>
    </row>
    <row r="777" spans="8:95" ht="14.25" customHeight="1">
      <c r="H777" s="102"/>
      <c r="I777" s="102"/>
      <c r="J777" s="102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  <c r="CJ777" s="106"/>
      <c r="CK777" s="106"/>
      <c r="CL777" s="106"/>
      <c r="CM777" s="106"/>
      <c r="CN777" s="106"/>
      <c r="CO777" s="106"/>
      <c r="CP777" s="106"/>
      <c r="CQ777" s="106"/>
    </row>
    <row r="778" spans="8:95" ht="14.25" customHeight="1">
      <c r="H778" s="102"/>
      <c r="I778" s="102"/>
      <c r="J778" s="102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  <c r="CJ778" s="106"/>
      <c r="CK778" s="106"/>
      <c r="CL778" s="106"/>
      <c r="CM778" s="106"/>
      <c r="CN778" s="106"/>
      <c r="CO778" s="106"/>
      <c r="CP778" s="106"/>
      <c r="CQ778" s="106"/>
    </row>
    <row r="779" spans="8:95" ht="14.25" customHeight="1">
      <c r="H779" s="102"/>
      <c r="I779" s="102"/>
      <c r="J779" s="102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  <c r="CJ779" s="106"/>
      <c r="CK779" s="106"/>
      <c r="CL779" s="106"/>
      <c r="CM779" s="106"/>
      <c r="CN779" s="106"/>
      <c r="CO779" s="106"/>
      <c r="CP779" s="106"/>
      <c r="CQ779" s="106"/>
    </row>
    <row r="780" spans="8:95" ht="14.25" customHeight="1">
      <c r="H780" s="102"/>
      <c r="I780" s="102"/>
      <c r="J780" s="102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  <c r="CJ780" s="106"/>
      <c r="CK780" s="106"/>
      <c r="CL780" s="106"/>
      <c r="CM780" s="106"/>
      <c r="CN780" s="106"/>
      <c r="CO780" s="106"/>
      <c r="CP780" s="106"/>
      <c r="CQ780" s="106"/>
    </row>
    <row r="781" spans="8:95" ht="14.25" customHeight="1">
      <c r="H781" s="102"/>
      <c r="I781" s="102"/>
      <c r="J781" s="102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  <c r="CJ781" s="106"/>
      <c r="CK781" s="106"/>
      <c r="CL781" s="106"/>
      <c r="CM781" s="106"/>
      <c r="CN781" s="106"/>
      <c r="CO781" s="106"/>
      <c r="CP781" s="106"/>
      <c r="CQ781" s="106"/>
    </row>
    <row r="782" spans="8:95" ht="14.25" customHeight="1">
      <c r="H782" s="102"/>
      <c r="I782" s="102"/>
      <c r="J782" s="102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  <c r="CJ782" s="106"/>
      <c r="CK782" s="106"/>
      <c r="CL782" s="106"/>
      <c r="CM782" s="106"/>
      <c r="CN782" s="106"/>
      <c r="CO782" s="106"/>
      <c r="CP782" s="106"/>
      <c r="CQ782" s="106"/>
    </row>
    <row r="783" spans="8:95" ht="14.25" customHeight="1">
      <c r="H783" s="102"/>
      <c r="I783" s="102"/>
      <c r="J783" s="102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  <c r="CJ783" s="106"/>
      <c r="CK783" s="106"/>
      <c r="CL783" s="106"/>
      <c r="CM783" s="106"/>
      <c r="CN783" s="106"/>
      <c r="CO783" s="106"/>
      <c r="CP783" s="106"/>
      <c r="CQ783" s="106"/>
    </row>
    <row r="784" spans="8:95" ht="14.25" customHeight="1">
      <c r="H784" s="102"/>
      <c r="I784" s="102"/>
      <c r="J784" s="102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  <c r="CJ784" s="106"/>
      <c r="CK784" s="106"/>
      <c r="CL784" s="106"/>
      <c r="CM784" s="106"/>
      <c r="CN784" s="106"/>
      <c r="CO784" s="106"/>
      <c r="CP784" s="106"/>
      <c r="CQ784" s="106"/>
    </row>
    <row r="785" spans="8:95" ht="14.25" customHeight="1">
      <c r="H785" s="102"/>
      <c r="I785" s="102"/>
      <c r="J785" s="102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  <c r="CJ785" s="106"/>
      <c r="CK785" s="106"/>
      <c r="CL785" s="106"/>
      <c r="CM785" s="106"/>
      <c r="CN785" s="106"/>
      <c r="CO785" s="106"/>
      <c r="CP785" s="106"/>
      <c r="CQ785" s="106"/>
    </row>
    <row r="786" spans="8:95" ht="14.25" customHeight="1">
      <c r="H786" s="102"/>
      <c r="I786" s="102"/>
      <c r="J786" s="102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  <c r="CJ786" s="106"/>
      <c r="CK786" s="106"/>
      <c r="CL786" s="106"/>
      <c r="CM786" s="106"/>
      <c r="CN786" s="106"/>
      <c r="CO786" s="106"/>
      <c r="CP786" s="106"/>
      <c r="CQ786" s="106"/>
    </row>
    <row r="787" spans="8:95" ht="14.25" customHeight="1">
      <c r="H787" s="102"/>
      <c r="I787" s="102"/>
      <c r="J787" s="102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  <c r="CJ787" s="106"/>
      <c r="CK787" s="106"/>
      <c r="CL787" s="106"/>
      <c r="CM787" s="106"/>
      <c r="CN787" s="106"/>
      <c r="CO787" s="106"/>
      <c r="CP787" s="106"/>
      <c r="CQ787" s="106"/>
    </row>
    <row r="788" spans="8:95" ht="14.25" customHeight="1">
      <c r="H788" s="102"/>
      <c r="I788" s="102"/>
      <c r="J788" s="102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  <c r="CJ788" s="106"/>
      <c r="CK788" s="106"/>
      <c r="CL788" s="106"/>
      <c r="CM788" s="106"/>
      <c r="CN788" s="106"/>
      <c r="CO788" s="106"/>
      <c r="CP788" s="106"/>
      <c r="CQ788" s="106"/>
    </row>
    <row r="789" spans="8:95" ht="14.25" customHeight="1">
      <c r="H789" s="102"/>
      <c r="I789" s="102"/>
      <c r="J789" s="102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  <c r="CJ789" s="106"/>
      <c r="CK789" s="106"/>
      <c r="CL789" s="106"/>
      <c r="CM789" s="106"/>
      <c r="CN789" s="106"/>
      <c r="CO789" s="106"/>
      <c r="CP789" s="106"/>
      <c r="CQ789" s="106"/>
    </row>
    <row r="790" spans="8:95" ht="14.25" customHeight="1">
      <c r="H790" s="102"/>
      <c r="I790" s="102"/>
      <c r="J790" s="102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  <c r="CJ790" s="106"/>
      <c r="CK790" s="106"/>
      <c r="CL790" s="106"/>
      <c r="CM790" s="106"/>
      <c r="CN790" s="106"/>
      <c r="CO790" s="106"/>
      <c r="CP790" s="106"/>
      <c r="CQ790" s="106"/>
    </row>
    <row r="791" spans="8:95" ht="14.25" customHeight="1">
      <c r="H791" s="102"/>
      <c r="I791" s="102"/>
      <c r="J791" s="102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  <c r="CJ791" s="106"/>
      <c r="CK791" s="106"/>
      <c r="CL791" s="106"/>
      <c r="CM791" s="106"/>
      <c r="CN791" s="106"/>
      <c r="CO791" s="106"/>
      <c r="CP791" s="106"/>
      <c r="CQ791" s="106"/>
    </row>
    <row r="792" spans="8:95" ht="14.25" customHeight="1">
      <c r="H792" s="102"/>
      <c r="I792" s="102"/>
      <c r="J792" s="102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  <c r="CJ792" s="106"/>
      <c r="CK792" s="106"/>
      <c r="CL792" s="106"/>
      <c r="CM792" s="106"/>
      <c r="CN792" s="106"/>
      <c r="CO792" s="106"/>
      <c r="CP792" s="106"/>
      <c r="CQ792" s="106"/>
    </row>
    <row r="793" spans="8:95" ht="14.25" customHeight="1">
      <c r="H793" s="102"/>
      <c r="I793" s="102"/>
      <c r="J793" s="102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  <c r="CJ793" s="106"/>
      <c r="CK793" s="106"/>
      <c r="CL793" s="106"/>
      <c r="CM793" s="106"/>
      <c r="CN793" s="106"/>
      <c r="CO793" s="106"/>
      <c r="CP793" s="106"/>
      <c r="CQ793" s="106"/>
    </row>
    <row r="794" spans="8:95" ht="14.25" customHeight="1">
      <c r="H794" s="102"/>
      <c r="I794" s="102"/>
      <c r="J794" s="102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  <c r="CJ794" s="106"/>
      <c r="CK794" s="106"/>
      <c r="CL794" s="106"/>
      <c r="CM794" s="106"/>
      <c r="CN794" s="106"/>
      <c r="CO794" s="106"/>
      <c r="CP794" s="106"/>
      <c r="CQ794" s="106"/>
    </row>
    <row r="795" spans="8:95" ht="14.25" customHeight="1">
      <c r="H795" s="102"/>
      <c r="I795" s="102"/>
      <c r="J795" s="102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  <c r="CJ795" s="106"/>
      <c r="CK795" s="106"/>
      <c r="CL795" s="106"/>
      <c r="CM795" s="106"/>
      <c r="CN795" s="106"/>
      <c r="CO795" s="106"/>
      <c r="CP795" s="106"/>
      <c r="CQ795" s="106"/>
    </row>
    <row r="796" spans="8:95" ht="14.25" customHeight="1">
      <c r="H796" s="102"/>
      <c r="I796" s="102"/>
      <c r="J796" s="102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  <c r="CJ796" s="106"/>
      <c r="CK796" s="106"/>
      <c r="CL796" s="106"/>
      <c r="CM796" s="106"/>
      <c r="CN796" s="106"/>
      <c r="CO796" s="106"/>
      <c r="CP796" s="106"/>
      <c r="CQ796" s="106"/>
    </row>
    <row r="797" spans="8:95" ht="14.25" customHeight="1">
      <c r="H797" s="102"/>
      <c r="I797" s="102"/>
      <c r="J797" s="102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  <c r="CJ797" s="106"/>
      <c r="CK797" s="106"/>
      <c r="CL797" s="106"/>
      <c r="CM797" s="106"/>
      <c r="CN797" s="106"/>
      <c r="CO797" s="106"/>
      <c r="CP797" s="106"/>
      <c r="CQ797" s="106"/>
    </row>
    <row r="798" spans="8:95" ht="14.25" customHeight="1">
      <c r="H798" s="102"/>
      <c r="I798" s="102"/>
      <c r="J798" s="102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  <c r="CJ798" s="106"/>
      <c r="CK798" s="106"/>
      <c r="CL798" s="106"/>
      <c r="CM798" s="106"/>
      <c r="CN798" s="106"/>
      <c r="CO798" s="106"/>
      <c r="CP798" s="106"/>
      <c r="CQ798" s="106"/>
    </row>
    <row r="799" spans="8:95" ht="14.25" customHeight="1">
      <c r="H799" s="102"/>
      <c r="I799" s="102"/>
      <c r="J799" s="102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  <c r="CJ799" s="106"/>
      <c r="CK799" s="106"/>
      <c r="CL799" s="106"/>
      <c r="CM799" s="106"/>
      <c r="CN799" s="106"/>
      <c r="CO799" s="106"/>
      <c r="CP799" s="106"/>
      <c r="CQ799" s="106"/>
    </row>
    <row r="800" spans="8:95" ht="14.25" customHeight="1">
      <c r="H800" s="102"/>
      <c r="I800" s="102"/>
      <c r="J800" s="102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  <c r="CJ800" s="106"/>
      <c r="CK800" s="106"/>
      <c r="CL800" s="106"/>
      <c r="CM800" s="106"/>
      <c r="CN800" s="106"/>
      <c r="CO800" s="106"/>
      <c r="CP800" s="106"/>
      <c r="CQ800" s="106"/>
    </row>
    <row r="801" spans="8:95" ht="14.25" customHeight="1">
      <c r="H801" s="102"/>
      <c r="I801" s="102"/>
      <c r="J801" s="102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  <c r="CJ801" s="106"/>
      <c r="CK801" s="106"/>
      <c r="CL801" s="106"/>
      <c r="CM801" s="106"/>
      <c r="CN801" s="106"/>
      <c r="CO801" s="106"/>
      <c r="CP801" s="106"/>
      <c r="CQ801" s="106"/>
    </row>
    <row r="802" spans="8:95" ht="14.25" customHeight="1">
      <c r="H802" s="102"/>
      <c r="I802" s="102"/>
      <c r="J802" s="102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  <c r="CJ802" s="106"/>
      <c r="CK802" s="106"/>
      <c r="CL802" s="106"/>
      <c r="CM802" s="106"/>
      <c r="CN802" s="106"/>
      <c r="CO802" s="106"/>
      <c r="CP802" s="106"/>
      <c r="CQ802" s="106"/>
    </row>
    <row r="803" spans="8:95" ht="14.25" customHeight="1">
      <c r="H803" s="102"/>
      <c r="I803" s="102"/>
      <c r="J803" s="102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  <c r="CJ803" s="106"/>
      <c r="CK803" s="106"/>
      <c r="CL803" s="106"/>
      <c r="CM803" s="106"/>
      <c r="CN803" s="106"/>
      <c r="CO803" s="106"/>
      <c r="CP803" s="106"/>
      <c r="CQ803" s="106"/>
    </row>
    <row r="804" spans="8:95" ht="14.25" customHeight="1">
      <c r="H804" s="102"/>
      <c r="I804" s="102"/>
      <c r="J804" s="102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  <c r="CJ804" s="106"/>
      <c r="CK804" s="106"/>
      <c r="CL804" s="106"/>
      <c r="CM804" s="106"/>
      <c r="CN804" s="106"/>
      <c r="CO804" s="106"/>
      <c r="CP804" s="106"/>
      <c r="CQ804" s="106"/>
    </row>
    <row r="805" spans="8:95" ht="14.25" customHeight="1">
      <c r="H805" s="102"/>
      <c r="I805" s="102"/>
      <c r="J805" s="102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  <c r="CJ805" s="106"/>
      <c r="CK805" s="106"/>
      <c r="CL805" s="106"/>
      <c r="CM805" s="106"/>
      <c r="CN805" s="106"/>
      <c r="CO805" s="106"/>
      <c r="CP805" s="106"/>
      <c r="CQ805" s="106"/>
    </row>
    <row r="806" spans="8:95" ht="14.25" customHeight="1">
      <c r="H806" s="102"/>
      <c r="I806" s="102"/>
      <c r="J806" s="102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  <c r="CJ806" s="106"/>
      <c r="CK806" s="106"/>
      <c r="CL806" s="106"/>
      <c r="CM806" s="106"/>
      <c r="CN806" s="106"/>
      <c r="CO806" s="106"/>
      <c r="CP806" s="106"/>
      <c r="CQ806" s="106"/>
    </row>
    <row r="807" spans="8:95" ht="14.25" customHeight="1">
      <c r="H807" s="102"/>
      <c r="I807" s="102"/>
      <c r="J807" s="102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  <c r="CJ807" s="106"/>
      <c r="CK807" s="106"/>
      <c r="CL807" s="106"/>
      <c r="CM807" s="106"/>
      <c r="CN807" s="106"/>
      <c r="CO807" s="106"/>
      <c r="CP807" s="106"/>
      <c r="CQ807" s="106"/>
    </row>
    <row r="808" spans="8:95" ht="14.25" customHeight="1">
      <c r="H808" s="102"/>
      <c r="I808" s="102"/>
      <c r="J808" s="102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  <c r="CJ808" s="106"/>
      <c r="CK808" s="106"/>
      <c r="CL808" s="106"/>
      <c r="CM808" s="106"/>
      <c r="CN808" s="106"/>
      <c r="CO808" s="106"/>
      <c r="CP808" s="106"/>
      <c r="CQ808" s="106"/>
    </row>
    <row r="809" spans="8:95" ht="14.25" customHeight="1">
      <c r="H809" s="102"/>
      <c r="I809" s="102"/>
      <c r="J809" s="102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  <c r="CJ809" s="106"/>
      <c r="CK809" s="106"/>
      <c r="CL809" s="106"/>
      <c r="CM809" s="106"/>
      <c r="CN809" s="106"/>
      <c r="CO809" s="106"/>
      <c r="CP809" s="106"/>
      <c r="CQ809" s="106"/>
    </row>
    <row r="810" spans="8:95" ht="14.25" customHeight="1">
      <c r="H810" s="102"/>
      <c r="I810" s="102"/>
      <c r="J810" s="102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  <c r="CJ810" s="106"/>
      <c r="CK810" s="106"/>
      <c r="CL810" s="106"/>
      <c r="CM810" s="106"/>
      <c r="CN810" s="106"/>
      <c r="CO810" s="106"/>
      <c r="CP810" s="106"/>
      <c r="CQ810" s="106"/>
    </row>
    <row r="811" spans="8:95" ht="14.25" customHeight="1">
      <c r="H811" s="102"/>
      <c r="I811" s="102"/>
      <c r="J811" s="102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  <c r="CJ811" s="106"/>
      <c r="CK811" s="106"/>
      <c r="CL811" s="106"/>
      <c r="CM811" s="106"/>
      <c r="CN811" s="106"/>
      <c r="CO811" s="106"/>
      <c r="CP811" s="106"/>
      <c r="CQ811" s="106"/>
    </row>
    <row r="812" spans="8:95" ht="14.25" customHeight="1">
      <c r="H812" s="102"/>
      <c r="I812" s="102"/>
      <c r="J812" s="102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  <c r="CJ812" s="106"/>
      <c r="CK812" s="106"/>
      <c r="CL812" s="106"/>
      <c r="CM812" s="106"/>
      <c r="CN812" s="106"/>
      <c r="CO812" s="106"/>
      <c r="CP812" s="106"/>
      <c r="CQ812" s="106"/>
    </row>
    <row r="813" spans="8:95" ht="14.25" customHeight="1">
      <c r="H813" s="102"/>
      <c r="I813" s="102"/>
      <c r="J813" s="102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  <c r="CJ813" s="106"/>
      <c r="CK813" s="106"/>
      <c r="CL813" s="106"/>
      <c r="CM813" s="106"/>
      <c r="CN813" s="106"/>
      <c r="CO813" s="106"/>
      <c r="CP813" s="106"/>
      <c r="CQ813" s="106"/>
    </row>
    <row r="814" spans="8:95" ht="14.25" customHeight="1">
      <c r="H814" s="102"/>
      <c r="I814" s="102"/>
      <c r="J814" s="102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  <c r="CJ814" s="106"/>
      <c r="CK814" s="106"/>
      <c r="CL814" s="106"/>
      <c r="CM814" s="106"/>
      <c r="CN814" s="106"/>
      <c r="CO814" s="106"/>
      <c r="CP814" s="106"/>
      <c r="CQ814" s="106"/>
    </row>
    <row r="815" spans="8:95" ht="14.25" customHeight="1">
      <c r="H815" s="102"/>
      <c r="I815" s="102"/>
      <c r="J815" s="102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  <c r="CJ815" s="106"/>
      <c r="CK815" s="106"/>
      <c r="CL815" s="106"/>
      <c r="CM815" s="106"/>
      <c r="CN815" s="106"/>
      <c r="CO815" s="106"/>
      <c r="CP815" s="106"/>
      <c r="CQ815" s="106"/>
    </row>
    <row r="816" spans="8:95" ht="14.25" customHeight="1">
      <c r="H816" s="102"/>
      <c r="I816" s="102"/>
      <c r="J816" s="102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  <c r="CJ816" s="106"/>
      <c r="CK816" s="106"/>
      <c r="CL816" s="106"/>
      <c r="CM816" s="106"/>
      <c r="CN816" s="106"/>
      <c r="CO816" s="106"/>
      <c r="CP816" s="106"/>
      <c r="CQ816" s="106"/>
    </row>
    <row r="817" spans="8:95" ht="14.25" customHeight="1">
      <c r="H817" s="102"/>
      <c r="I817" s="102"/>
      <c r="J817" s="102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  <c r="CJ817" s="106"/>
      <c r="CK817" s="106"/>
      <c r="CL817" s="106"/>
      <c r="CM817" s="106"/>
      <c r="CN817" s="106"/>
      <c r="CO817" s="106"/>
      <c r="CP817" s="106"/>
      <c r="CQ817" s="106"/>
    </row>
    <row r="818" spans="8:95" ht="14.25" customHeight="1">
      <c r="H818" s="102"/>
      <c r="I818" s="102"/>
      <c r="J818" s="102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  <c r="CJ818" s="106"/>
      <c r="CK818" s="106"/>
      <c r="CL818" s="106"/>
      <c r="CM818" s="106"/>
      <c r="CN818" s="106"/>
      <c r="CO818" s="106"/>
      <c r="CP818" s="106"/>
      <c r="CQ818" s="106"/>
    </row>
    <row r="819" spans="8:95" ht="14.25" customHeight="1">
      <c r="H819" s="102"/>
      <c r="I819" s="102"/>
      <c r="J819" s="102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  <c r="CJ819" s="106"/>
      <c r="CK819" s="106"/>
      <c r="CL819" s="106"/>
      <c r="CM819" s="106"/>
      <c r="CN819" s="106"/>
      <c r="CO819" s="106"/>
      <c r="CP819" s="106"/>
      <c r="CQ819" s="106"/>
    </row>
    <row r="820" spans="8:95" ht="14.25" customHeight="1">
      <c r="H820" s="102"/>
      <c r="I820" s="102"/>
      <c r="J820" s="102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  <c r="CJ820" s="106"/>
      <c r="CK820" s="106"/>
      <c r="CL820" s="106"/>
      <c r="CM820" s="106"/>
      <c r="CN820" s="106"/>
      <c r="CO820" s="106"/>
      <c r="CP820" s="106"/>
      <c r="CQ820" s="106"/>
    </row>
    <row r="821" spans="8:95" ht="14.25" customHeight="1">
      <c r="H821" s="102"/>
      <c r="I821" s="102"/>
      <c r="J821" s="102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  <c r="CJ821" s="106"/>
      <c r="CK821" s="106"/>
      <c r="CL821" s="106"/>
      <c r="CM821" s="106"/>
      <c r="CN821" s="106"/>
      <c r="CO821" s="106"/>
      <c r="CP821" s="106"/>
      <c r="CQ821" s="106"/>
    </row>
    <row r="822" spans="8:95" ht="14.25" customHeight="1">
      <c r="H822" s="102"/>
      <c r="I822" s="102"/>
      <c r="J822" s="102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  <c r="CJ822" s="106"/>
      <c r="CK822" s="106"/>
      <c r="CL822" s="106"/>
      <c r="CM822" s="106"/>
      <c r="CN822" s="106"/>
      <c r="CO822" s="106"/>
      <c r="CP822" s="106"/>
      <c r="CQ822" s="106"/>
    </row>
    <row r="823" spans="8:95" ht="14.25" customHeight="1">
      <c r="H823" s="102"/>
      <c r="I823" s="102"/>
      <c r="J823" s="102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  <c r="CJ823" s="106"/>
      <c r="CK823" s="106"/>
      <c r="CL823" s="106"/>
      <c r="CM823" s="106"/>
      <c r="CN823" s="106"/>
      <c r="CO823" s="106"/>
      <c r="CP823" s="106"/>
      <c r="CQ823" s="106"/>
    </row>
    <row r="824" spans="8:95" ht="14.25" customHeight="1">
      <c r="H824" s="102"/>
      <c r="I824" s="102"/>
      <c r="J824" s="102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  <c r="CJ824" s="106"/>
      <c r="CK824" s="106"/>
      <c r="CL824" s="106"/>
      <c r="CM824" s="106"/>
      <c r="CN824" s="106"/>
      <c r="CO824" s="106"/>
      <c r="CP824" s="106"/>
      <c r="CQ824" s="106"/>
    </row>
    <row r="825" spans="8:95" ht="14.25" customHeight="1">
      <c r="H825" s="102"/>
      <c r="I825" s="102"/>
      <c r="J825" s="102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  <c r="CJ825" s="106"/>
      <c r="CK825" s="106"/>
      <c r="CL825" s="106"/>
      <c r="CM825" s="106"/>
      <c r="CN825" s="106"/>
      <c r="CO825" s="106"/>
      <c r="CP825" s="106"/>
      <c r="CQ825" s="106"/>
    </row>
    <row r="826" spans="8:95" ht="14.25" customHeight="1">
      <c r="H826" s="102"/>
      <c r="I826" s="102"/>
      <c r="J826" s="102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  <c r="CJ826" s="106"/>
      <c r="CK826" s="106"/>
      <c r="CL826" s="106"/>
      <c r="CM826" s="106"/>
      <c r="CN826" s="106"/>
      <c r="CO826" s="106"/>
      <c r="CP826" s="106"/>
      <c r="CQ826" s="106"/>
    </row>
    <row r="827" spans="8:95" ht="14.25" customHeight="1">
      <c r="H827" s="102"/>
      <c r="I827" s="102"/>
      <c r="J827" s="102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  <c r="CJ827" s="106"/>
      <c r="CK827" s="106"/>
      <c r="CL827" s="106"/>
      <c r="CM827" s="106"/>
      <c r="CN827" s="106"/>
      <c r="CO827" s="106"/>
      <c r="CP827" s="106"/>
      <c r="CQ827" s="106"/>
    </row>
    <row r="828" spans="8:95" ht="14.25" customHeight="1">
      <c r="H828" s="102"/>
      <c r="I828" s="102"/>
      <c r="J828" s="102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  <c r="CJ828" s="106"/>
      <c r="CK828" s="106"/>
      <c r="CL828" s="106"/>
      <c r="CM828" s="106"/>
      <c r="CN828" s="106"/>
      <c r="CO828" s="106"/>
      <c r="CP828" s="106"/>
      <c r="CQ828" s="106"/>
    </row>
    <row r="829" spans="8:95" ht="14.25" customHeight="1">
      <c r="H829" s="102"/>
      <c r="I829" s="102"/>
      <c r="J829" s="102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  <c r="CJ829" s="106"/>
      <c r="CK829" s="106"/>
      <c r="CL829" s="106"/>
      <c r="CM829" s="106"/>
      <c r="CN829" s="106"/>
      <c r="CO829" s="106"/>
      <c r="CP829" s="106"/>
      <c r="CQ829" s="106"/>
    </row>
    <row r="830" spans="8:95" ht="14.25" customHeight="1">
      <c r="H830" s="102"/>
      <c r="I830" s="102"/>
      <c r="J830" s="102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  <c r="CJ830" s="106"/>
      <c r="CK830" s="106"/>
      <c r="CL830" s="106"/>
      <c r="CM830" s="106"/>
      <c r="CN830" s="106"/>
      <c r="CO830" s="106"/>
      <c r="CP830" s="106"/>
      <c r="CQ830" s="106"/>
    </row>
    <row r="831" spans="8:95" ht="14.25" customHeight="1">
      <c r="H831" s="102"/>
      <c r="I831" s="102"/>
      <c r="J831" s="102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  <c r="CJ831" s="106"/>
      <c r="CK831" s="106"/>
      <c r="CL831" s="106"/>
      <c r="CM831" s="106"/>
      <c r="CN831" s="106"/>
      <c r="CO831" s="106"/>
      <c r="CP831" s="106"/>
      <c r="CQ831" s="106"/>
    </row>
    <row r="832" spans="8:95" ht="14.25" customHeight="1">
      <c r="H832" s="102"/>
      <c r="I832" s="102"/>
      <c r="J832" s="102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  <c r="CJ832" s="106"/>
      <c r="CK832" s="106"/>
      <c r="CL832" s="106"/>
      <c r="CM832" s="106"/>
      <c r="CN832" s="106"/>
      <c r="CO832" s="106"/>
      <c r="CP832" s="106"/>
      <c r="CQ832" s="106"/>
    </row>
    <row r="833" spans="8:95" ht="14.25" customHeight="1">
      <c r="H833" s="102"/>
      <c r="I833" s="102"/>
      <c r="J833" s="102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  <c r="CJ833" s="106"/>
      <c r="CK833" s="106"/>
      <c r="CL833" s="106"/>
      <c r="CM833" s="106"/>
      <c r="CN833" s="106"/>
      <c r="CO833" s="106"/>
      <c r="CP833" s="106"/>
      <c r="CQ833" s="106"/>
    </row>
    <row r="834" spans="8:95" ht="14.25" customHeight="1">
      <c r="H834" s="102"/>
      <c r="I834" s="102"/>
      <c r="J834" s="102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  <c r="CJ834" s="106"/>
      <c r="CK834" s="106"/>
      <c r="CL834" s="106"/>
      <c r="CM834" s="106"/>
      <c r="CN834" s="106"/>
      <c r="CO834" s="106"/>
      <c r="CP834" s="106"/>
      <c r="CQ834" s="106"/>
    </row>
    <row r="835" spans="8:95" ht="14.25" customHeight="1">
      <c r="H835" s="102"/>
      <c r="I835" s="102"/>
      <c r="J835" s="102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  <c r="CJ835" s="106"/>
      <c r="CK835" s="106"/>
      <c r="CL835" s="106"/>
      <c r="CM835" s="106"/>
      <c r="CN835" s="106"/>
      <c r="CO835" s="106"/>
      <c r="CP835" s="106"/>
      <c r="CQ835" s="106"/>
    </row>
    <row r="836" spans="8:95" ht="14.25" customHeight="1">
      <c r="H836" s="102"/>
      <c r="I836" s="102"/>
      <c r="J836" s="102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  <c r="CJ836" s="106"/>
      <c r="CK836" s="106"/>
      <c r="CL836" s="106"/>
      <c r="CM836" s="106"/>
      <c r="CN836" s="106"/>
      <c r="CO836" s="106"/>
      <c r="CP836" s="106"/>
      <c r="CQ836" s="106"/>
    </row>
    <row r="837" spans="8:95" ht="14.25" customHeight="1">
      <c r="H837" s="102"/>
      <c r="I837" s="102"/>
      <c r="J837" s="102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  <c r="CJ837" s="106"/>
      <c r="CK837" s="106"/>
      <c r="CL837" s="106"/>
      <c r="CM837" s="106"/>
      <c r="CN837" s="106"/>
      <c r="CO837" s="106"/>
      <c r="CP837" s="106"/>
      <c r="CQ837" s="106"/>
    </row>
    <row r="838" spans="8:95" ht="14.25" customHeight="1">
      <c r="H838" s="102"/>
      <c r="I838" s="102"/>
      <c r="J838" s="102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  <c r="CJ838" s="106"/>
      <c r="CK838" s="106"/>
      <c r="CL838" s="106"/>
      <c r="CM838" s="106"/>
      <c r="CN838" s="106"/>
      <c r="CO838" s="106"/>
      <c r="CP838" s="106"/>
      <c r="CQ838" s="106"/>
    </row>
    <row r="839" spans="8:95" ht="14.25" customHeight="1">
      <c r="H839" s="102"/>
      <c r="I839" s="102"/>
      <c r="J839" s="102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  <c r="CJ839" s="106"/>
      <c r="CK839" s="106"/>
      <c r="CL839" s="106"/>
      <c r="CM839" s="106"/>
      <c r="CN839" s="106"/>
      <c r="CO839" s="106"/>
      <c r="CP839" s="106"/>
      <c r="CQ839" s="106"/>
    </row>
    <row r="840" spans="8:95" ht="14.25" customHeight="1">
      <c r="H840" s="102"/>
      <c r="I840" s="102"/>
      <c r="J840" s="102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  <c r="CJ840" s="106"/>
      <c r="CK840" s="106"/>
      <c r="CL840" s="106"/>
      <c r="CM840" s="106"/>
      <c r="CN840" s="106"/>
      <c r="CO840" s="106"/>
      <c r="CP840" s="106"/>
      <c r="CQ840" s="106"/>
    </row>
    <row r="841" spans="8:95" ht="14.25" customHeight="1">
      <c r="H841" s="102"/>
      <c r="I841" s="102"/>
      <c r="J841" s="102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  <c r="CJ841" s="106"/>
      <c r="CK841" s="106"/>
      <c r="CL841" s="106"/>
      <c r="CM841" s="106"/>
      <c r="CN841" s="106"/>
      <c r="CO841" s="106"/>
      <c r="CP841" s="106"/>
      <c r="CQ841" s="106"/>
    </row>
    <row r="842" spans="8:95" ht="14.25" customHeight="1">
      <c r="H842" s="102"/>
      <c r="I842" s="102"/>
      <c r="J842" s="102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  <c r="CJ842" s="106"/>
      <c r="CK842" s="106"/>
      <c r="CL842" s="106"/>
      <c r="CM842" s="106"/>
      <c r="CN842" s="106"/>
      <c r="CO842" s="106"/>
      <c r="CP842" s="106"/>
      <c r="CQ842" s="106"/>
    </row>
    <row r="843" spans="8:95" ht="14.25" customHeight="1">
      <c r="H843" s="102"/>
      <c r="I843" s="102"/>
      <c r="J843" s="102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  <c r="CJ843" s="106"/>
      <c r="CK843" s="106"/>
      <c r="CL843" s="106"/>
      <c r="CM843" s="106"/>
      <c r="CN843" s="106"/>
      <c r="CO843" s="106"/>
      <c r="CP843" s="106"/>
      <c r="CQ843" s="106"/>
    </row>
    <row r="844" spans="8:95" ht="14.25" customHeight="1">
      <c r="H844" s="102"/>
      <c r="I844" s="102"/>
      <c r="J844" s="102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  <c r="CJ844" s="106"/>
      <c r="CK844" s="106"/>
      <c r="CL844" s="106"/>
      <c r="CM844" s="106"/>
      <c r="CN844" s="106"/>
      <c r="CO844" s="106"/>
      <c r="CP844" s="106"/>
      <c r="CQ844" s="106"/>
    </row>
    <row r="845" spans="8:95" ht="14.25" customHeight="1">
      <c r="H845" s="102"/>
      <c r="I845" s="102"/>
      <c r="J845" s="102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  <c r="CJ845" s="106"/>
      <c r="CK845" s="106"/>
      <c r="CL845" s="106"/>
      <c r="CM845" s="106"/>
      <c r="CN845" s="106"/>
      <c r="CO845" s="106"/>
      <c r="CP845" s="106"/>
      <c r="CQ845" s="106"/>
    </row>
    <row r="846" spans="8:95" ht="14.25" customHeight="1">
      <c r="H846" s="102"/>
      <c r="I846" s="102"/>
      <c r="J846" s="102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  <c r="CJ846" s="106"/>
      <c r="CK846" s="106"/>
      <c r="CL846" s="106"/>
      <c r="CM846" s="106"/>
      <c r="CN846" s="106"/>
      <c r="CO846" s="106"/>
      <c r="CP846" s="106"/>
      <c r="CQ846" s="106"/>
    </row>
    <row r="847" spans="8:95" ht="14.25" customHeight="1">
      <c r="H847" s="102"/>
      <c r="I847" s="102"/>
      <c r="J847" s="102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  <c r="CJ847" s="106"/>
      <c r="CK847" s="106"/>
      <c r="CL847" s="106"/>
      <c r="CM847" s="106"/>
      <c r="CN847" s="106"/>
      <c r="CO847" s="106"/>
      <c r="CP847" s="106"/>
      <c r="CQ847" s="106"/>
    </row>
    <row r="848" spans="8:95" ht="14.25" customHeight="1">
      <c r="H848" s="102"/>
      <c r="I848" s="102"/>
      <c r="J848" s="102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  <c r="CJ848" s="106"/>
      <c r="CK848" s="106"/>
      <c r="CL848" s="106"/>
      <c r="CM848" s="106"/>
      <c r="CN848" s="106"/>
      <c r="CO848" s="106"/>
      <c r="CP848" s="106"/>
      <c r="CQ848" s="106"/>
    </row>
    <row r="849" spans="8:95" ht="14.25" customHeight="1">
      <c r="H849" s="102"/>
      <c r="I849" s="102"/>
      <c r="J849" s="102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  <c r="CJ849" s="106"/>
      <c r="CK849" s="106"/>
      <c r="CL849" s="106"/>
      <c r="CM849" s="106"/>
      <c r="CN849" s="106"/>
      <c r="CO849" s="106"/>
      <c r="CP849" s="106"/>
      <c r="CQ849" s="106"/>
    </row>
    <row r="850" spans="8:95" ht="14.25" customHeight="1">
      <c r="H850" s="102"/>
      <c r="I850" s="102"/>
      <c r="J850" s="102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  <c r="CJ850" s="106"/>
      <c r="CK850" s="106"/>
      <c r="CL850" s="106"/>
      <c r="CM850" s="106"/>
      <c r="CN850" s="106"/>
      <c r="CO850" s="106"/>
      <c r="CP850" s="106"/>
      <c r="CQ850" s="106"/>
    </row>
    <row r="851" spans="8:95" ht="14.25" customHeight="1">
      <c r="H851" s="102"/>
      <c r="I851" s="102"/>
      <c r="J851" s="102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  <c r="CJ851" s="106"/>
      <c r="CK851" s="106"/>
      <c r="CL851" s="106"/>
      <c r="CM851" s="106"/>
      <c r="CN851" s="106"/>
      <c r="CO851" s="106"/>
      <c r="CP851" s="106"/>
      <c r="CQ851" s="106"/>
    </row>
    <row r="852" spans="8:95" ht="14.25" customHeight="1">
      <c r="H852" s="102"/>
      <c r="I852" s="102"/>
      <c r="J852" s="102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  <c r="CJ852" s="106"/>
      <c r="CK852" s="106"/>
      <c r="CL852" s="106"/>
      <c r="CM852" s="106"/>
      <c r="CN852" s="106"/>
      <c r="CO852" s="106"/>
      <c r="CP852" s="106"/>
      <c r="CQ852" s="106"/>
    </row>
    <row r="853" spans="8:95" ht="14.25" customHeight="1">
      <c r="H853" s="102"/>
      <c r="I853" s="102"/>
      <c r="J853" s="102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  <c r="CJ853" s="106"/>
      <c r="CK853" s="106"/>
      <c r="CL853" s="106"/>
      <c r="CM853" s="106"/>
      <c r="CN853" s="106"/>
      <c r="CO853" s="106"/>
      <c r="CP853" s="106"/>
      <c r="CQ853" s="106"/>
    </row>
    <row r="854" spans="8:95" ht="14.25" customHeight="1">
      <c r="H854" s="102"/>
      <c r="I854" s="102"/>
      <c r="J854" s="102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  <c r="CJ854" s="106"/>
      <c r="CK854" s="106"/>
      <c r="CL854" s="106"/>
      <c r="CM854" s="106"/>
      <c r="CN854" s="106"/>
      <c r="CO854" s="106"/>
      <c r="CP854" s="106"/>
      <c r="CQ854" s="106"/>
    </row>
    <row r="855" spans="8:95" ht="14.25" customHeight="1">
      <c r="H855" s="102"/>
      <c r="I855" s="102"/>
      <c r="J855" s="102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  <c r="CJ855" s="106"/>
      <c r="CK855" s="106"/>
      <c r="CL855" s="106"/>
      <c r="CM855" s="106"/>
      <c r="CN855" s="106"/>
      <c r="CO855" s="106"/>
      <c r="CP855" s="106"/>
      <c r="CQ855" s="106"/>
    </row>
    <row r="856" spans="8:95" ht="14.25" customHeight="1">
      <c r="H856" s="102"/>
      <c r="I856" s="102"/>
      <c r="J856" s="102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  <c r="CJ856" s="106"/>
      <c r="CK856" s="106"/>
      <c r="CL856" s="106"/>
      <c r="CM856" s="106"/>
      <c r="CN856" s="106"/>
      <c r="CO856" s="106"/>
      <c r="CP856" s="106"/>
      <c r="CQ856" s="106"/>
    </row>
    <row r="857" spans="8:95" ht="14.25" customHeight="1">
      <c r="H857" s="102"/>
      <c r="I857" s="102"/>
      <c r="J857" s="102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  <c r="CJ857" s="106"/>
      <c r="CK857" s="106"/>
      <c r="CL857" s="106"/>
      <c r="CM857" s="106"/>
      <c r="CN857" s="106"/>
      <c r="CO857" s="106"/>
      <c r="CP857" s="106"/>
      <c r="CQ857" s="106"/>
    </row>
    <row r="858" spans="8:95" ht="14.25" customHeight="1">
      <c r="H858" s="102"/>
      <c r="I858" s="102"/>
      <c r="J858" s="102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  <c r="CJ858" s="106"/>
      <c r="CK858" s="106"/>
      <c r="CL858" s="106"/>
      <c r="CM858" s="106"/>
      <c r="CN858" s="106"/>
      <c r="CO858" s="106"/>
      <c r="CP858" s="106"/>
      <c r="CQ858" s="106"/>
    </row>
    <row r="859" spans="8:95" ht="14.25" customHeight="1">
      <c r="H859" s="102"/>
      <c r="I859" s="102"/>
      <c r="J859" s="102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  <c r="CJ859" s="106"/>
      <c r="CK859" s="106"/>
      <c r="CL859" s="106"/>
      <c r="CM859" s="106"/>
      <c r="CN859" s="106"/>
      <c r="CO859" s="106"/>
      <c r="CP859" s="106"/>
      <c r="CQ859" s="106"/>
    </row>
    <row r="860" spans="8:95" ht="14.25" customHeight="1">
      <c r="H860" s="102"/>
      <c r="I860" s="102"/>
      <c r="J860" s="102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  <c r="CJ860" s="106"/>
      <c r="CK860" s="106"/>
      <c r="CL860" s="106"/>
      <c r="CM860" s="106"/>
      <c r="CN860" s="106"/>
      <c r="CO860" s="106"/>
      <c r="CP860" s="106"/>
      <c r="CQ860" s="106"/>
    </row>
    <row r="861" spans="8:95" ht="14.25" customHeight="1">
      <c r="H861" s="102"/>
      <c r="I861" s="102"/>
      <c r="J861" s="102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  <c r="CJ861" s="106"/>
      <c r="CK861" s="106"/>
      <c r="CL861" s="106"/>
      <c r="CM861" s="106"/>
      <c r="CN861" s="106"/>
      <c r="CO861" s="106"/>
      <c r="CP861" s="106"/>
      <c r="CQ861" s="106"/>
    </row>
    <row r="862" spans="8:95" ht="14.25" customHeight="1">
      <c r="H862" s="102"/>
      <c r="I862" s="102"/>
      <c r="J862" s="102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  <c r="CJ862" s="106"/>
      <c r="CK862" s="106"/>
      <c r="CL862" s="106"/>
      <c r="CM862" s="106"/>
      <c r="CN862" s="106"/>
      <c r="CO862" s="106"/>
      <c r="CP862" s="106"/>
      <c r="CQ862" s="106"/>
    </row>
    <row r="863" spans="8:95" ht="14.25" customHeight="1">
      <c r="H863" s="102"/>
      <c r="I863" s="102"/>
      <c r="J863" s="102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  <c r="CJ863" s="106"/>
      <c r="CK863" s="106"/>
      <c r="CL863" s="106"/>
      <c r="CM863" s="106"/>
      <c r="CN863" s="106"/>
      <c r="CO863" s="106"/>
      <c r="CP863" s="106"/>
      <c r="CQ863" s="106"/>
    </row>
    <row r="864" spans="8:95" ht="14.25" customHeight="1">
      <c r="H864" s="102"/>
      <c r="I864" s="102"/>
      <c r="J864" s="102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  <c r="CJ864" s="106"/>
      <c r="CK864" s="106"/>
      <c r="CL864" s="106"/>
      <c r="CM864" s="106"/>
      <c r="CN864" s="106"/>
      <c r="CO864" s="106"/>
      <c r="CP864" s="106"/>
      <c r="CQ864" s="106"/>
    </row>
    <row r="865" spans="8:95" ht="14.25" customHeight="1">
      <c r="H865" s="102"/>
      <c r="I865" s="102"/>
      <c r="J865" s="102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  <c r="CJ865" s="106"/>
      <c r="CK865" s="106"/>
      <c r="CL865" s="106"/>
      <c r="CM865" s="106"/>
      <c r="CN865" s="106"/>
      <c r="CO865" s="106"/>
      <c r="CP865" s="106"/>
      <c r="CQ865" s="106"/>
    </row>
    <row r="866" spans="8:95" ht="14.25" customHeight="1">
      <c r="H866" s="102"/>
      <c r="I866" s="102"/>
      <c r="J866" s="102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  <c r="CJ866" s="106"/>
      <c r="CK866" s="106"/>
      <c r="CL866" s="106"/>
      <c r="CM866" s="106"/>
      <c r="CN866" s="106"/>
      <c r="CO866" s="106"/>
      <c r="CP866" s="106"/>
      <c r="CQ866" s="106"/>
    </row>
    <row r="867" spans="8:95" ht="14.25" customHeight="1">
      <c r="H867" s="102"/>
      <c r="I867" s="102"/>
      <c r="J867" s="102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  <c r="CJ867" s="106"/>
      <c r="CK867" s="106"/>
      <c r="CL867" s="106"/>
      <c r="CM867" s="106"/>
      <c r="CN867" s="106"/>
      <c r="CO867" s="106"/>
      <c r="CP867" s="106"/>
      <c r="CQ867" s="106"/>
    </row>
    <row r="868" spans="8:95" ht="14.25" customHeight="1">
      <c r="H868" s="102"/>
      <c r="I868" s="102"/>
      <c r="J868" s="102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  <c r="CJ868" s="106"/>
      <c r="CK868" s="106"/>
      <c r="CL868" s="106"/>
      <c r="CM868" s="106"/>
      <c r="CN868" s="106"/>
      <c r="CO868" s="106"/>
      <c r="CP868" s="106"/>
      <c r="CQ868" s="106"/>
    </row>
    <row r="869" spans="8:95" ht="14.25" customHeight="1">
      <c r="H869" s="102"/>
      <c r="I869" s="102"/>
      <c r="J869" s="102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  <c r="CJ869" s="106"/>
      <c r="CK869" s="106"/>
      <c r="CL869" s="106"/>
      <c r="CM869" s="106"/>
      <c r="CN869" s="106"/>
      <c r="CO869" s="106"/>
      <c r="CP869" s="106"/>
      <c r="CQ869" s="106"/>
    </row>
    <row r="870" spans="8:95" ht="14.25" customHeight="1">
      <c r="H870" s="102"/>
      <c r="I870" s="102"/>
      <c r="J870" s="102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  <c r="CJ870" s="106"/>
      <c r="CK870" s="106"/>
      <c r="CL870" s="106"/>
      <c r="CM870" s="106"/>
      <c r="CN870" s="106"/>
      <c r="CO870" s="106"/>
      <c r="CP870" s="106"/>
      <c r="CQ870" s="106"/>
    </row>
    <row r="871" spans="8:95" ht="14.25" customHeight="1">
      <c r="H871" s="102"/>
      <c r="I871" s="102"/>
      <c r="J871" s="102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  <c r="CJ871" s="106"/>
      <c r="CK871" s="106"/>
      <c r="CL871" s="106"/>
      <c r="CM871" s="106"/>
      <c r="CN871" s="106"/>
      <c r="CO871" s="106"/>
      <c r="CP871" s="106"/>
      <c r="CQ871" s="106"/>
    </row>
    <row r="872" spans="8:95" ht="14.25" customHeight="1">
      <c r="H872" s="102"/>
      <c r="I872" s="102"/>
      <c r="J872" s="102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  <c r="CJ872" s="106"/>
      <c r="CK872" s="106"/>
      <c r="CL872" s="106"/>
      <c r="CM872" s="106"/>
      <c r="CN872" s="106"/>
      <c r="CO872" s="106"/>
      <c r="CP872" s="106"/>
      <c r="CQ872" s="106"/>
    </row>
    <row r="873" spans="8:95" ht="14.25" customHeight="1">
      <c r="H873" s="102"/>
      <c r="I873" s="102"/>
      <c r="J873" s="102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  <c r="CJ873" s="106"/>
      <c r="CK873" s="106"/>
      <c r="CL873" s="106"/>
      <c r="CM873" s="106"/>
      <c r="CN873" s="106"/>
      <c r="CO873" s="106"/>
      <c r="CP873" s="106"/>
      <c r="CQ873" s="106"/>
    </row>
    <row r="874" spans="8:95" ht="14.25" customHeight="1">
      <c r="H874" s="102"/>
      <c r="I874" s="102"/>
      <c r="J874" s="102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  <c r="CJ874" s="106"/>
      <c r="CK874" s="106"/>
      <c r="CL874" s="106"/>
      <c r="CM874" s="106"/>
      <c r="CN874" s="106"/>
      <c r="CO874" s="106"/>
      <c r="CP874" s="106"/>
      <c r="CQ874" s="106"/>
    </row>
    <row r="875" spans="8:95" ht="14.25" customHeight="1">
      <c r="H875" s="102"/>
      <c r="I875" s="102"/>
      <c r="J875" s="102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  <c r="CJ875" s="106"/>
      <c r="CK875" s="106"/>
      <c r="CL875" s="106"/>
      <c r="CM875" s="106"/>
      <c r="CN875" s="106"/>
      <c r="CO875" s="106"/>
      <c r="CP875" s="106"/>
      <c r="CQ875" s="106"/>
    </row>
    <row r="876" spans="8:95" ht="14.25" customHeight="1">
      <c r="H876" s="102"/>
      <c r="I876" s="102"/>
      <c r="J876" s="102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  <c r="CJ876" s="106"/>
      <c r="CK876" s="106"/>
      <c r="CL876" s="106"/>
      <c r="CM876" s="106"/>
      <c r="CN876" s="106"/>
      <c r="CO876" s="106"/>
      <c r="CP876" s="106"/>
      <c r="CQ876" s="106"/>
    </row>
    <row r="877" spans="8:95" ht="14.25" customHeight="1">
      <c r="H877" s="102"/>
      <c r="I877" s="102"/>
      <c r="J877" s="102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  <c r="CJ877" s="106"/>
      <c r="CK877" s="106"/>
      <c r="CL877" s="106"/>
      <c r="CM877" s="106"/>
      <c r="CN877" s="106"/>
      <c r="CO877" s="106"/>
      <c r="CP877" s="106"/>
      <c r="CQ877" s="106"/>
    </row>
    <row r="878" spans="8:95" ht="14.25" customHeight="1">
      <c r="H878" s="102"/>
      <c r="I878" s="102"/>
      <c r="J878" s="102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  <c r="CJ878" s="106"/>
      <c r="CK878" s="106"/>
      <c r="CL878" s="106"/>
      <c r="CM878" s="106"/>
      <c r="CN878" s="106"/>
      <c r="CO878" s="106"/>
      <c r="CP878" s="106"/>
      <c r="CQ878" s="106"/>
    </row>
    <row r="879" spans="8:95" ht="14.25" customHeight="1">
      <c r="H879" s="102"/>
      <c r="I879" s="102"/>
      <c r="J879" s="102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  <c r="CJ879" s="106"/>
      <c r="CK879" s="106"/>
      <c r="CL879" s="106"/>
      <c r="CM879" s="106"/>
      <c r="CN879" s="106"/>
      <c r="CO879" s="106"/>
      <c r="CP879" s="106"/>
      <c r="CQ879" s="106"/>
    </row>
    <row r="880" spans="8:95" ht="14.25" customHeight="1">
      <c r="H880" s="102"/>
      <c r="I880" s="102"/>
      <c r="J880" s="102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  <c r="CJ880" s="106"/>
      <c r="CK880" s="106"/>
      <c r="CL880" s="106"/>
      <c r="CM880" s="106"/>
      <c r="CN880" s="106"/>
      <c r="CO880" s="106"/>
      <c r="CP880" s="106"/>
      <c r="CQ880" s="106"/>
    </row>
    <row r="881" spans="8:95" ht="14.25" customHeight="1">
      <c r="H881" s="102"/>
      <c r="I881" s="102"/>
      <c r="J881" s="102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  <c r="CJ881" s="106"/>
      <c r="CK881" s="106"/>
      <c r="CL881" s="106"/>
      <c r="CM881" s="106"/>
      <c r="CN881" s="106"/>
      <c r="CO881" s="106"/>
      <c r="CP881" s="106"/>
      <c r="CQ881" s="106"/>
    </row>
    <row r="882" spans="8:95" ht="14.25" customHeight="1">
      <c r="H882" s="102"/>
      <c r="I882" s="102"/>
      <c r="J882" s="102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  <c r="CJ882" s="106"/>
      <c r="CK882" s="106"/>
      <c r="CL882" s="106"/>
      <c r="CM882" s="106"/>
      <c r="CN882" s="106"/>
      <c r="CO882" s="106"/>
      <c r="CP882" s="106"/>
      <c r="CQ882" s="106"/>
    </row>
    <row r="883" spans="8:95" ht="14.25" customHeight="1">
      <c r="H883" s="102"/>
      <c r="I883" s="102"/>
      <c r="J883" s="102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  <c r="CJ883" s="106"/>
      <c r="CK883" s="106"/>
      <c r="CL883" s="106"/>
      <c r="CM883" s="106"/>
      <c r="CN883" s="106"/>
      <c r="CO883" s="106"/>
      <c r="CP883" s="106"/>
      <c r="CQ883" s="106"/>
    </row>
    <row r="884" spans="8:95" ht="14.25" customHeight="1">
      <c r="H884" s="102"/>
      <c r="I884" s="102"/>
      <c r="J884" s="102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  <c r="CJ884" s="106"/>
      <c r="CK884" s="106"/>
      <c r="CL884" s="106"/>
      <c r="CM884" s="106"/>
      <c r="CN884" s="106"/>
      <c r="CO884" s="106"/>
      <c r="CP884" s="106"/>
      <c r="CQ884" s="106"/>
    </row>
    <row r="885" spans="8:95" ht="14.25" customHeight="1">
      <c r="H885" s="102"/>
      <c r="I885" s="102"/>
      <c r="J885" s="102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  <c r="CJ885" s="106"/>
      <c r="CK885" s="106"/>
      <c r="CL885" s="106"/>
      <c r="CM885" s="106"/>
      <c r="CN885" s="106"/>
      <c r="CO885" s="106"/>
      <c r="CP885" s="106"/>
      <c r="CQ885" s="106"/>
    </row>
    <row r="886" spans="8:95" ht="14.25" customHeight="1">
      <c r="H886" s="102"/>
      <c r="I886" s="102"/>
      <c r="J886" s="102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  <c r="CJ886" s="106"/>
      <c r="CK886" s="106"/>
      <c r="CL886" s="106"/>
      <c r="CM886" s="106"/>
      <c r="CN886" s="106"/>
      <c r="CO886" s="106"/>
      <c r="CP886" s="106"/>
      <c r="CQ886" s="106"/>
    </row>
    <row r="887" spans="8:95" ht="14.25" customHeight="1">
      <c r="H887" s="102"/>
      <c r="I887" s="102"/>
      <c r="J887" s="102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06"/>
      <c r="CN887" s="106"/>
      <c r="CO887" s="106"/>
      <c r="CP887" s="106"/>
      <c r="CQ887" s="106"/>
    </row>
    <row r="888" spans="8:95" ht="14.25" customHeight="1">
      <c r="H888" s="102"/>
      <c r="I888" s="102"/>
      <c r="J888" s="102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  <c r="CJ888" s="106"/>
      <c r="CK888" s="106"/>
      <c r="CL888" s="106"/>
      <c r="CM888" s="106"/>
      <c r="CN888" s="106"/>
      <c r="CO888" s="106"/>
      <c r="CP888" s="106"/>
      <c r="CQ888" s="106"/>
    </row>
    <row r="889" spans="8:95" ht="14.25" customHeight="1">
      <c r="H889" s="102"/>
      <c r="I889" s="102"/>
      <c r="J889" s="102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  <c r="CJ889" s="106"/>
      <c r="CK889" s="106"/>
      <c r="CL889" s="106"/>
      <c r="CM889" s="106"/>
      <c r="CN889" s="106"/>
      <c r="CO889" s="106"/>
      <c r="CP889" s="106"/>
      <c r="CQ889" s="106"/>
    </row>
    <row r="890" spans="8:95" ht="14.25" customHeight="1">
      <c r="H890" s="102"/>
      <c r="I890" s="102"/>
      <c r="J890" s="102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  <c r="CJ890" s="106"/>
      <c r="CK890" s="106"/>
      <c r="CL890" s="106"/>
      <c r="CM890" s="106"/>
      <c r="CN890" s="106"/>
      <c r="CO890" s="106"/>
      <c r="CP890" s="106"/>
      <c r="CQ890" s="106"/>
    </row>
    <row r="891" spans="8:95" ht="14.25" customHeight="1">
      <c r="H891" s="102"/>
      <c r="I891" s="102"/>
      <c r="J891" s="102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  <c r="CJ891" s="106"/>
      <c r="CK891" s="106"/>
      <c r="CL891" s="106"/>
      <c r="CM891" s="106"/>
      <c r="CN891" s="106"/>
      <c r="CO891" s="106"/>
      <c r="CP891" s="106"/>
      <c r="CQ891" s="106"/>
    </row>
    <row r="892" spans="8:95" ht="14.25" customHeight="1">
      <c r="H892" s="102"/>
      <c r="I892" s="102"/>
      <c r="J892" s="102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  <c r="CJ892" s="106"/>
      <c r="CK892" s="106"/>
      <c r="CL892" s="106"/>
      <c r="CM892" s="106"/>
      <c r="CN892" s="106"/>
      <c r="CO892" s="106"/>
      <c r="CP892" s="106"/>
      <c r="CQ892" s="106"/>
    </row>
    <row r="893" spans="8:95" ht="14.25" customHeight="1">
      <c r="H893" s="102"/>
      <c r="I893" s="102"/>
      <c r="J893" s="102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  <c r="CJ893" s="106"/>
      <c r="CK893" s="106"/>
      <c r="CL893" s="106"/>
      <c r="CM893" s="106"/>
      <c r="CN893" s="106"/>
      <c r="CO893" s="106"/>
      <c r="CP893" s="106"/>
      <c r="CQ893" s="106"/>
    </row>
    <row r="894" spans="8:95" ht="14.25" customHeight="1">
      <c r="H894" s="102"/>
      <c r="I894" s="102"/>
      <c r="J894" s="102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  <c r="CJ894" s="106"/>
      <c r="CK894" s="106"/>
      <c r="CL894" s="106"/>
      <c r="CM894" s="106"/>
      <c r="CN894" s="106"/>
      <c r="CO894" s="106"/>
      <c r="CP894" s="106"/>
      <c r="CQ894" s="106"/>
    </row>
    <row r="895" spans="8:95" ht="14.25" customHeight="1">
      <c r="H895" s="102"/>
      <c r="I895" s="102"/>
      <c r="J895" s="102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  <c r="CJ895" s="106"/>
      <c r="CK895" s="106"/>
      <c r="CL895" s="106"/>
      <c r="CM895" s="106"/>
      <c r="CN895" s="106"/>
      <c r="CO895" s="106"/>
      <c r="CP895" s="106"/>
      <c r="CQ895" s="106"/>
    </row>
    <row r="896" spans="8:95" ht="14.25" customHeight="1">
      <c r="H896" s="102"/>
      <c r="I896" s="102"/>
      <c r="J896" s="102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  <c r="CJ896" s="106"/>
      <c r="CK896" s="106"/>
      <c r="CL896" s="106"/>
      <c r="CM896" s="106"/>
      <c r="CN896" s="106"/>
      <c r="CO896" s="106"/>
      <c r="CP896" s="106"/>
      <c r="CQ896" s="106"/>
    </row>
    <row r="897" spans="8:95" ht="14.25" customHeight="1">
      <c r="H897" s="102"/>
      <c r="I897" s="102"/>
      <c r="J897" s="102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  <c r="CJ897" s="106"/>
      <c r="CK897" s="106"/>
      <c r="CL897" s="106"/>
      <c r="CM897" s="106"/>
      <c r="CN897" s="106"/>
      <c r="CO897" s="106"/>
      <c r="CP897" s="106"/>
      <c r="CQ897" s="106"/>
    </row>
    <row r="898" spans="8:95" ht="14.25" customHeight="1">
      <c r="H898" s="102"/>
      <c r="I898" s="102"/>
      <c r="J898" s="102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  <c r="CJ898" s="106"/>
      <c r="CK898" s="106"/>
      <c r="CL898" s="106"/>
      <c r="CM898" s="106"/>
      <c r="CN898" s="106"/>
      <c r="CO898" s="106"/>
      <c r="CP898" s="106"/>
      <c r="CQ898" s="106"/>
    </row>
    <row r="899" spans="8:95" ht="14.25" customHeight="1">
      <c r="H899" s="102"/>
      <c r="I899" s="102"/>
      <c r="J899" s="102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  <c r="CJ899" s="106"/>
      <c r="CK899" s="106"/>
      <c r="CL899" s="106"/>
      <c r="CM899" s="106"/>
      <c r="CN899" s="106"/>
      <c r="CO899" s="106"/>
      <c r="CP899" s="106"/>
      <c r="CQ899" s="106"/>
    </row>
    <row r="900" spans="8:95" ht="14.25" customHeight="1">
      <c r="H900" s="102"/>
      <c r="I900" s="102"/>
      <c r="J900" s="102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  <c r="CJ900" s="106"/>
      <c r="CK900" s="106"/>
      <c r="CL900" s="106"/>
      <c r="CM900" s="106"/>
      <c r="CN900" s="106"/>
      <c r="CO900" s="106"/>
      <c r="CP900" s="106"/>
      <c r="CQ900" s="106"/>
    </row>
    <row r="901" spans="8:95" ht="14.25" customHeight="1">
      <c r="H901" s="102"/>
      <c r="I901" s="102"/>
      <c r="J901" s="102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  <c r="CJ901" s="106"/>
      <c r="CK901" s="106"/>
      <c r="CL901" s="106"/>
      <c r="CM901" s="106"/>
      <c r="CN901" s="106"/>
      <c r="CO901" s="106"/>
      <c r="CP901" s="106"/>
      <c r="CQ901" s="106"/>
    </row>
    <row r="902" spans="8:95" ht="14.25" customHeight="1">
      <c r="H902" s="102"/>
      <c r="I902" s="102"/>
      <c r="J902" s="102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  <c r="CJ902" s="106"/>
      <c r="CK902" s="106"/>
      <c r="CL902" s="106"/>
      <c r="CM902" s="106"/>
      <c r="CN902" s="106"/>
      <c r="CO902" s="106"/>
      <c r="CP902" s="106"/>
      <c r="CQ902" s="106"/>
    </row>
    <row r="903" spans="8:95" ht="14.25" customHeight="1">
      <c r="H903" s="102"/>
      <c r="I903" s="102"/>
      <c r="J903" s="102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  <c r="CJ903" s="106"/>
      <c r="CK903" s="106"/>
      <c r="CL903" s="106"/>
      <c r="CM903" s="106"/>
      <c r="CN903" s="106"/>
      <c r="CO903" s="106"/>
      <c r="CP903" s="106"/>
      <c r="CQ903" s="106"/>
    </row>
    <row r="904" spans="8:95" ht="14.25" customHeight="1">
      <c r="H904" s="102"/>
      <c r="I904" s="102"/>
      <c r="J904" s="102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  <c r="CJ904" s="106"/>
      <c r="CK904" s="106"/>
      <c r="CL904" s="106"/>
      <c r="CM904" s="106"/>
      <c r="CN904" s="106"/>
      <c r="CO904" s="106"/>
      <c r="CP904" s="106"/>
      <c r="CQ904" s="106"/>
    </row>
    <row r="905" spans="8:95" ht="14.25" customHeight="1">
      <c r="H905" s="102"/>
      <c r="I905" s="102"/>
      <c r="J905" s="102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  <c r="CJ905" s="106"/>
      <c r="CK905" s="106"/>
      <c r="CL905" s="106"/>
      <c r="CM905" s="106"/>
      <c r="CN905" s="106"/>
      <c r="CO905" s="106"/>
      <c r="CP905" s="106"/>
      <c r="CQ905" s="106"/>
    </row>
    <row r="906" spans="8:95" ht="14.25" customHeight="1">
      <c r="H906" s="102"/>
      <c r="I906" s="102"/>
      <c r="J906" s="102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  <c r="CJ906" s="106"/>
      <c r="CK906" s="106"/>
      <c r="CL906" s="106"/>
      <c r="CM906" s="106"/>
      <c r="CN906" s="106"/>
      <c r="CO906" s="106"/>
      <c r="CP906" s="106"/>
      <c r="CQ906" s="106"/>
    </row>
    <row r="907" spans="8:95" ht="14.25" customHeight="1">
      <c r="H907" s="102"/>
      <c r="I907" s="102"/>
      <c r="J907" s="102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  <c r="CJ907" s="106"/>
      <c r="CK907" s="106"/>
      <c r="CL907" s="106"/>
      <c r="CM907" s="106"/>
      <c r="CN907" s="106"/>
      <c r="CO907" s="106"/>
      <c r="CP907" s="106"/>
      <c r="CQ907" s="106"/>
    </row>
    <row r="908" spans="8:95" ht="14.25" customHeight="1">
      <c r="H908" s="102"/>
      <c r="I908" s="102"/>
      <c r="J908" s="102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  <c r="CJ908" s="106"/>
      <c r="CK908" s="106"/>
      <c r="CL908" s="106"/>
      <c r="CM908" s="106"/>
      <c r="CN908" s="106"/>
      <c r="CO908" s="106"/>
      <c r="CP908" s="106"/>
      <c r="CQ908" s="106"/>
    </row>
    <row r="909" spans="8:95" ht="14.25" customHeight="1">
      <c r="H909" s="102"/>
      <c r="I909" s="102"/>
      <c r="J909" s="102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  <c r="CJ909" s="106"/>
      <c r="CK909" s="106"/>
      <c r="CL909" s="106"/>
      <c r="CM909" s="106"/>
      <c r="CN909" s="106"/>
      <c r="CO909" s="106"/>
      <c r="CP909" s="106"/>
      <c r="CQ909" s="106"/>
    </row>
    <row r="910" spans="8:95" ht="14.25" customHeight="1">
      <c r="H910" s="102"/>
      <c r="I910" s="102"/>
      <c r="J910" s="102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  <c r="CJ910" s="106"/>
      <c r="CK910" s="106"/>
      <c r="CL910" s="106"/>
      <c r="CM910" s="106"/>
      <c r="CN910" s="106"/>
      <c r="CO910" s="106"/>
      <c r="CP910" s="106"/>
      <c r="CQ910" s="106"/>
    </row>
    <row r="911" spans="8:95" ht="14.25" customHeight="1">
      <c r="H911" s="102"/>
      <c r="I911" s="102"/>
      <c r="J911" s="102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  <c r="CJ911" s="106"/>
      <c r="CK911" s="106"/>
      <c r="CL911" s="106"/>
      <c r="CM911" s="106"/>
      <c r="CN911" s="106"/>
      <c r="CO911" s="106"/>
      <c r="CP911" s="106"/>
      <c r="CQ911" s="106"/>
    </row>
    <row r="912" spans="8:95" ht="14.25" customHeight="1">
      <c r="H912" s="102"/>
      <c r="I912" s="102"/>
      <c r="J912" s="102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  <c r="CJ912" s="106"/>
      <c r="CK912" s="106"/>
      <c r="CL912" s="106"/>
      <c r="CM912" s="106"/>
      <c r="CN912" s="106"/>
      <c r="CO912" s="106"/>
      <c r="CP912" s="106"/>
      <c r="CQ912" s="106"/>
    </row>
    <row r="913" spans="8:95" ht="14.25" customHeight="1">
      <c r="H913" s="102"/>
      <c r="I913" s="102"/>
      <c r="J913" s="102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  <c r="CJ913" s="106"/>
      <c r="CK913" s="106"/>
      <c r="CL913" s="106"/>
      <c r="CM913" s="106"/>
      <c r="CN913" s="106"/>
      <c r="CO913" s="106"/>
      <c r="CP913" s="106"/>
      <c r="CQ913" s="106"/>
    </row>
    <row r="914" spans="8:95" ht="14.25" customHeight="1">
      <c r="H914" s="102"/>
      <c r="I914" s="102"/>
      <c r="J914" s="102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</row>
    <row r="915" spans="8:95" ht="14.25" customHeight="1">
      <c r="H915" s="102"/>
      <c r="I915" s="102"/>
      <c r="J915" s="102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  <c r="CJ915" s="106"/>
      <c r="CK915" s="106"/>
      <c r="CL915" s="106"/>
      <c r="CM915" s="106"/>
      <c r="CN915" s="106"/>
      <c r="CO915" s="106"/>
      <c r="CP915" s="106"/>
      <c r="CQ915" s="106"/>
    </row>
    <row r="916" spans="8:95" ht="14.25" customHeight="1">
      <c r="H916" s="102"/>
      <c r="I916" s="102"/>
      <c r="J916" s="102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  <c r="CJ916" s="106"/>
      <c r="CK916" s="106"/>
      <c r="CL916" s="106"/>
      <c r="CM916" s="106"/>
      <c r="CN916" s="106"/>
      <c r="CO916" s="106"/>
      <c r="CP916" s="106"/>
      <c r="CQ916" s="106"/>
    </row>
    <row r="917" spans="8:95" ht="14.25" customHeight="1">
      <c r="H917" s="102"/>
      <c r="I917" s="102"/>
      <c r="J917" s="102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  <c r="CJ917" s="106"/>
      <c r="CK917" s="106"/>
      <c r="CL917" s="106"/>
      <c r="CM917" s="106"/>
      <c r="CN917" s="106"/>
      <c r="CO917" s="106"/>
      <c r="CP917" s="106"/>
      <c r="CQ917" s="106"/>
    </row>
    <row r="918" spans="8:95" ht="14.25" customHeight="1">
      <c r="H918" s="102"/>
      <c r="I918" s="102"/>
      <c r="J918" s="102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  <c r="CJ918" s="106"/>
      <c r="CK918" s="106"/>
      <c r="CL918" s="106"/>
      <c r="CM918" s="106"/>
      <c r="CN918" s="106"/>
      <c r="CO918" s="106"/>
      <c r="CP918" s="106"/>
      <c r="CQ918" s="106"/>
    </row>
    <row r="919" spans="8:95" ht="14.25" customHeight="1">
      <c r="H919" s="102"/>
      <c r="I919" s="102"/>
      <c r="J919" s="102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  <c r="CJ919" s="106"/>
      <c r="CK919" s="106"/>
      <c r="CL919" s="106"/>
      <c r="CM919" s="106"/>
      <c r="CN919" s="106"/>
      <c r="CO919" s="106"/>
      <c r="CP919" s="106"/>
      <c r="CQ919" s="106"/>
    </row>
    <row r="920" spans="8:95" ht="14.25" customHeight="1">
      <c r="H920" s="102"/>
      <c r="I920" s="102"/>
      <c r="J920" s="102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  <c r="CJ920" s="106"/>
      <c r="CK920" s="106"/>
      <c r="CL920" s="106"/>
      <c r="CM920" s="106"/>
      <c r="CN920" s="106"/>
      <c r="CO920" s="106"/>
      <c r="CP920" s="106"/>
      <c r="CQ920" s="106"/>
    </row>
    <row r="921" spans="8:95" ht="14.25" customHeight="1">
      <c r="H921" s="102"/>
      <c r="I921" s="102"/>
      <c r="J921" s="102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  <c r="CJ921" s="106"/>
      <c r="CK921" s="106"/>
      <c r="CL921" s="106"/>
      <c r="CM921" s="106"/>
      <c r="CN921" s="106"/>
      <c r="CO921" s="106"/>
      <c r="CP921" s="106"/>
      <c r="CQ921" s="106"/>
    </row>
    <row r="922" spans="8:95" ht="14.25" customHeight="1">
      <c r="H922" s="102"/>
      <c r="I922" s="102"/>
      <c r="J922" s="102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  <c r="CJ922" s="106"/>
      <c r="CK922" s="106"/>
      <c r="CL922" s="106"/>
      <c r="CM922" s="106"/>
      <c r="CN922" s="106"/>
      <c r="CO922" s="106"/>
      <c r="CP922" s="106"/>
      <c r="CQ922" s="106"/>
    </row>
    <row r="923" spans="8:95" ht="14.25" customHeight="1">
      <c r="H923" s="102"/>
      <c r="I923" s="102"/>
      <c r="J923" s="102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  <c r="CJ923" s="106"/>
      <c r="CK923" s="106"/>
      <c r="CL923" s="106"/>
      <c r="CM923" s="106"/>
      <c r="CN923" s="106"/>
      <c r="CO923" s="106"/>
      <c r="CP923" s="106"/>
      <c r="CQ923" s="106"/>
    </row>
    <row r="924" spans="8:95" ht="14.25" customHeight="1">
      <c r="H924" s="102"/>
      <c r="I924" s="102"/>
      <c r="J924" s="102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  <c r="CJ924" s="106"/>
      <c r="CK924" s="106"/>
      <c r="CL924" s="106"/>
      <c r="CM924" s="106"/>
      <c r="CN924" s="106"/>
      <c r="CO924" s="106"/>
      <c r="CP924" s="106"/>
      <c r="CQ924" s="106"/>
    </row>
    <row r="925" spans="8:95" ht="14.25" customHeight="1">
      <c r="H925" s="102"/>
      <c r="I925" s="102"/>
      <c r="J925" s="102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  <c r="CJ925" s="106"/>
      <c r="CK925" s="106"/>
      <c r="CL925" s="106"/>
      <c r="CM925" s="106"/>
      <c r="CN925" s="106"/>
      <c r="CO925" s="106"/>
      <c r="CP925" s="106"/>
      <c r="CQ925" s="106"/>
    </row>
    <row r="926" spans="8:95" ht="14.25" customHeight="1">
      <c r="H926" s="102"/>
      <c r="I926" s="102"/>
      <c r="J926" s="102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  <c r="CJ926" s="106"/>
      <c r="CK926" s="106"/>
      <c r="CL926" s="106"/>
      <c r="CM926" s="106"/>
      <c r="CN926" s="106"/>
      <c r="CO926" s="106"/>
      <c r="CP926" s="106"/>
      <c r="CQ926" s="106"/>
    </row>
    <row r="927" spans="8:95" ht="14.25" customHeight="1">
      <c r="H927" s="102"/>
      <c r="I927" s="102"/>
      <c r="J927" s="102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  <c r="CJ927" s="106"/>
      <c r="CK927" s="106"/>
      <c r="CL927" s="106"/>
      <c r="CM927" s="106"/>
      <c r="CN927" s="106"/>
      <c r="CO927" s="106"/>
      <c r="CP927" s="106"/>
      <c r="CQ927" s="106"/>
    </row>
    <row r="928" spans="8:95" ht="14.25" customHeight="1">
      <c r="H928" s="102"/>
      <c r="I928" s="102"/>
      <c r="J928" s="102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  <c r="CJ928" s="106"/>
      <c r="CK928" s="106"/>
      <c r="CL928" s="106"/>
      <c r="CM928" s="106"/>
      <c r="CN928" s="106"/>
      <c r="CO928" s="106"/>
      <c r="CP928" s="106"/>
      <c r="CQ928" s="106"/>
    </row>
    <row r="929" spans="8:95" ht="14.25" customHeight="1">
      <c r="H929" s="102"/>
      <c r="I929" s="102"/>
      <c r="J929" s="102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  <c r="CJ929" s="106"/>
      <c r="CK929" s="106"/>
      <c r="CL929" s="106"/>
      <c r="CM929" s="106"/>
      <c r="CN929" s="106"/>
      <c r="CO929" s="106"/>
      <c r="CP929" s="106"/>
      <c r="CQ929" s="106"/>
    </row>
    <row r="930" spans="8:95" ht="14.25" customHeight="1">
      <c r="H930" s="102"/>
      <c r="I930" s="102"/>
      <c r="J930" s="102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  <c r="CJ930" s="106"/>
      <c r="CK930" s="106"/>
      <c r="CL930" s="106"/>
      <c r="CM930" s="106"/>
      <c r="CN930" s="106"/>
      <c r="CO930" s="106"/>
      <c r="CP930" s="106"/>
      <c r="CQ930" s="106"/>
    </row>
    <row r="931" spans="8:95" ht="14.25" customHeight="1">
      <c r="H931" s="102"/>
      <c r="I931" s="102"/>
      <c r="J931" s="102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  <c r="CJ931" s="106"/>
      <c r="CK931" s="106"/>
      <c r="CL931" s="106"/>
      <c r="CM931" s="106"/>
      <c r="CN931" s="106"/>
      <c r="CO931" s="106"/>
      <c r="CP931" s="106"/>
      <c r="CQ931" s="106"/>
    </row>
    <row r="932" spans="8:95" ht="14.25" customHeight="1">
      <c r="H932" s="102"/>
      <c r="I932" s="102"/>
      <c r="J932" s="102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  <c r="CJ932" s="106"/>
      <c r="CK932" s="106"/>
      <c r="CL932" s="106"/>
      <c r="CM932" s="106"/>
      <c r="CN932" s="106"/>
      <c r="CO932" s="106"/>
      <c r="CP932" s="106"/>
      <c r="CQ932" s="106"/>
    </row>
    <row r="933" spans="8:95" ht="14.25" customHeight="1">
      <c r="H933" s="102"/>
      <c r="I933" s="102"/>
      <c r="J933" s="102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  <c r="CJ933" s="106"/>
      <c r="CK933" s="106"/>
      <c r="CL933" s="106"/>
      <c r="CM933" s="106"/>
      <c r="CN933" s="106"/>
      <c r="CO933" s="106"/>
      <c r="CP933" s="106"/>
      <c r="CQ933" s="106"/>
    </row>
    <row r="934" spans="8:95" ht="14.25" customHeight="1">
      <c r="H934" s="102"/>
      <c r="I934" s="102"/>
      <c r="J934" s="102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  <c r="CJ934" s="106"/>
      <c r="CK934" s="106"/>
      <c r="CL934" s="106"/>
      <c r="CM934" s="106"/>
      <c r="CN934" s="106"/>
      <c r="CO934" s="106"/>
      <c r="CP934" s="106"/>
      <c r="CQ934" s="106"/>
    </row>
    <row r="935" spans="8:95" ht="14.25" customHeight="1">
      <c r="H935" s="102"/>
      <c r="I935" s="102"/>
      <c r="J935" s="102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  <c r="CJ935" s="106"/>
      <c r="CK935" s="106"/>
      <c r="CL935" s="106"/>
      <c r="CM935" s="106"/>
      <c r="CN935" s="106"/>
      <c r="CO935" s="106"/>
      <c r="CP935" s="106"/>
      <c r="CQ935" s="106"/>
    </row>
    <row r="936" spans="8:95" ht="14.25" customHeight="1">
      <c r="H936" s="102"/>
      <c r="I936" s="102"/>
      <c r="J936" s="102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  <c r="CJ936" s="106"/>
      <c r="CK936" s="106"/>
      <c r="CL936" s="106"/>
      <c r="CM936" s="106"/>
      <c r="CN936" s="106"/>
      <c r="CO936" s="106"/>
      <c r="CP936" s="106"/>
      <c r="CQ936" s="106"/>
    </row>
    <row r="937" spans="8:95" ht="14.25" customHeight="1">
      <c r="H937" s="102"/>
      <c r="I937" s="102"/>
      <c r="J937" s="102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  <c r="CJ937" s="106"/>
      <c r="CK937" s="106"/>
      <c r="CL937" s="106"/>
      <c r="CM937" s="106"/>
      <c r="CN937" s="106"/>
      <c r="CO937" s="106"/>
      <c r="CP937" s="106"/>
      <c r="CQ937" s="106"/>
    </row>
    <row r="938" spans="8:95" ht="14.25" customHeight="1">
      <c r="H938" s="102"/>
      <c r="I938" s="102"/>
      <c r="J938" s="102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  <c r="CJ938" s="106"/>
      <c r="CK938" s="106"/>
      <c r="CL938" s="106"/>
      <c r="CM938" s="106"/>
      <c r="CN938" s="106"/>
      <c r="CO938" s="106"/>
      <c r="CP938" s="106"/>
      <c r="CQ938" s="106"/>
    </row>
    <row r="939" spans="8:95" ht="14.25" customHeight="1">
      <c r="H939" s="102"/>
      <c r="I939" s="102"/>
      <c r="J939" s="102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  <c r="CJ939" s="106"/>
      <c r="CK939" s="106"/>
      <c r="CL939" s="106"/>
      <c r="CM939" s="106"/>
      <c r="CN939" s="106"/>
      <c r="CO939" s="106"/>
      <c r="CP939" s="106"/>
      <c r="CQ939" s="106"/>
    </row>
    <row r="940" spans="8:95" ht="14.25" customHeight="1">
      <c r="H940" s="102"/>
      <c r="I940" s="102"/>
      <c r="J940" s="102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  <c r="CJ940" s="106"/>
      <c r="CK940" s="106"/>
      <c r="CL940" s="106"/>
      <c r="CM940" s="106"/>
      <c r="CN940" s="106"/>
      <c r="CO940" s="106"/>
      <c r="CP940" s="106"/>
      <c r="CQ940" s="106"/>
    </row>
    <row r="941" spans="8:95" ht="14.25" customHeight="1">
      <c r="H941" s="102"/>
      <c r="I941" s="102"/>
      <c r="J941" s="102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  <c r="CJ941" s="106"/>
      <c r="CK941" s="106"/>
      <c r="CL941" s="106"/>
      <c r="CM941" s="106"/>
      <c r="CN941" s="106"/>
      <c r="CO941" s="106"/>
      <c r="CP941" s="106"/>
      <c r="CQ941" s="106"/>
    </row>
    <row r="942" spans="8:95" ht="14.25" customHeight="1">
      <c r="H942" s="102"/>
      <c r="I942" s="102"/>
      <c r="J942" s="102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  <c r="CJ942" s="106"/>
      <c r="CK942" s="106"/>
      <c r="CL942" s="106"/>
      <c r="CM942" s="106"/>
      <c r="CN942" s="106"/>
      <c r="CO942" s="106"/>
      <c r="CP942" s="106"/>
      <c r="CQ942" s="106"/>
    </row>
    <row r="943" spans="8:95" ht="14.25" customHeight="1">
      <c r="H943" s="102"/>
      <c r="I943" s="102"/>
      <c r="J943" s="102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  <c r="CJ943" s="106"/>
      <c r="CK943" s="106"/>
      <c r="CL943" s="106"/>
      <c r="CM943" s="106"/>
      <c r="CN943" s="106"/>
      <c r="CO943" s="106"/>
      <c r="CP943" s="106"/>
      <c r="CQ943" s="106"/>
    </row>
    <row r="944" spans="8:95" ht="14.25" customHeight="1">
      <c r="H944" s="102"/>
      <c r="I944" s="102"/>
      <c r="J944" s="102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  <c r="CJ944" s="106"/>
      <c r="CK944" s="106"/>
      <c r="CL944" s="106"/>
      <c r="CM944" s="106"/>
      <c r="CN944" s="106"/>
      <c r="CO944" s="106"/>
      <c r="CP944" s="106"/>
      <c r="CQ944" s="106"/>
    </row>
    <row r="945" spans="8:95" ht="14.25" customHeight="1">
      <c r="H945" s="102"/>
      <c r="I945" s="102"/>
      <c r="J945" s="102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  <c r="CJ945" s="106"/>
      <c r="CK945" s="106"/>
      <c r="CL945" s="106"/>
      <c r="CM945" s="106"/>
      <c r="CN945" s="106"/>
      <c r="CO945" s="106"/>
      <c r="CP945" s="106"/>
      <c r="CQ945" s="106"/>
    </row>
    <row r="946" spans="8:95" ht="14.25" customHeight="1">
      <c r="H946" s="102"/>
      <c r="I946" s="102"/>
      <c r="J946" s="102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  <c r="CJ946" s="106"/>
      <c r="CK946" s="106"/>
      <c r="CL946" s="106"/>
      <c r="CM946" s="106"/>
      <c r="CN946" s="106"/>
      <c r="CO946" s="106"/>
      <c r="CP946" s="106"/>
      <c r="CQ946" s="106"/>
    </row>
    <row r="947" spans="8:95" ht="14.25" customHeight="1">
      <c r="H947" s="102"/>
      <c r="I947" s="102"/>
      <c r="J947" s="102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  <c r="CJ947" s="106"/>
      <c r="CK947" s="106"/>
      <c r="CL947" s="106"/>
      <c r="CM947" s="106"/>
      <c r="CN947" s="106"/>
      <c r="CO947" s="106"/>
      <c r="CP947" s="106"/>
      <c r="CQ947" s="106"/>
    </row>
    <row r="948" spans="8:95" ht="14.25" customHeight="1">
      <c r="H948" s="102"/>
      <c r="I948" s="102"/>
      <c r="J948" s="102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  <c r="CJ948" s="106"/>
      <c r="CK948" s="106"/>
      <c r="CL948" s="106"/>
      <c r="CM948" s="106"/>
      <c r="CN948" s="106"/>
      <c r="CO948" s="106"/>
      <c r="CP948" s="106"/>
      <c r="CQ948" s="106"/>
    </row>
    <row r="949" spans="8:95" ht="14.25" customHeight="1">
      <c r="H949" s="102"/>
      <c r="I949" s="102"/>
      <c r="J949" s="102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  <c r="CJ949" s="106"/>
      <c r="CK949" s="106"/>
      <c r="CL949" s="106"/>
      <c r="CM949" s="106"/>
      <c r="CN949" s="106"/>
      <c r="CO949" s="106"/>
      <c r="CP949" s="106"/>
      <c r="CQ949" s="106"/>
    </row>
    <row r="950" spans="8:95" ht="14.25" customHeight="1">
      <c r="H950" s="102"/>
      <c r="I950" s="102"/>
      <c r="J950" s="102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  <c r="CJ950" s="106"/>
      <c r="CK950" s="106"/>
      <c r="CL950" s="106"/>
      <c r="CM950" s="106"/>
      <c r="CN950" s="106"/>
      <c r="CO950" s="106"/>
      <c r="CP950" s="106"/>
      <c r="CQ950" s="106"/>
    </row>
    <row r="951" spans="8:95" ht="14.25" customHeight="1">
      <c r="H951" s="102"/>
      <c r="I951" s="102"/>
      <c r="J951" s="102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  <c r="CJ951" s="106"/>
      <c r="CK951" s="106"/>
      <c r="CL951" s="106"/>
      <c r="CM951" s="106"/>
      <c r="CN951" s="106"/>
      <c r="CO951" s="106"/>
      <c r="CP951" s="106"/>
      <c r="CQ951" s="106"/>
    </row>
    <row r="952" spans="8:95" ht="14.25" customHeight="1">
      <c r="H952" s="102"/>
      <c r="I952" s="102"/>
      <c r="J952" s="102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  <c r="CJ952" s="106"/>
      <c r="CK952" s="106"/>
      <c r="CL952" s="106"/>
      <c r="CM952" s="106"/>
      <c r="CN952" s="106"/>
      <c r="CO952" s="106"/>
      <c r="CP952" s="106"/>
      <c r="CQ952" s="106"/>
    </row>
    <row r="953" spans="8:95" ht="14.25" customHeight="1">
      <c r="H953" s="102"/>
      <c r="I953" s="102"/>
      <c r="J953" s="102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  <c r="CJ953" s="106"/>
      <c r="CK953" s="106"/>
      <c r="CL953" s="106"/>
      <c r="CM953" s="106"/>
      <c r="CN953" s="106"/>
      <c r="CO953" s="106"/>
      <c r="CP953" s="106"/>
      <c r="CQ953" s="106"/>
    </row>
    <row r="954" spans="8:95" ht="14.25" customHeight="1">
      <c r="H954" s="102"/>
      <c r="I954" s="102"/>
      <c r="J954" s="102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  <c r="CJ954" s="106"/>
      <c r="CK954" s="106"/>
      <c r="CL954" s="106"/>
      <c r="CM954" s="106"/>
      <c r="CN954" s="106"/>
      <c r="CO954" s="106"/>
      <c r="CP954" s="106"/>
      <c r="CQ954" s="106"/>
    </row>
    <row r="955" spans="8:95" ht="14.25" customHeight="1">
      <c r="H955" s="102"/>
      <c r="I955" s="102"/>
      <c r="J955" s="102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  <c r="CJ955" s="106"/>
      <c r="CK955" s="106"/>
      <c r="CL955" s="106"/>
      <c r="CM955" s="106"/>
      <c r="CN955" s="106"/>
      <c r="CO955" s="106"/>
      <c r="CP955" s="106"/>
      <c r="CQ955" s="106"/>
    </row>
    <row r="956" spans="8:95" ht="14.25" customHeight="1">
      <c r="H956" s="102"/>
      <c r="I956" s="102"/>
      <c r="J956" s="102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  <c r="CJ956" s="106"/>
      <c r="CK956" s="106"/>
      <c r="CL956" s="106"/>
      <c r="CM956" s="106"/>
      <c r="CN956" s="106"/>
      <c r="CO956" s="106"/>
      <c r="CP956" s="106"/>
      <c r="CQ956" s="106"/>
    </row>
    <row r="957" spans="8:95" ht="14.25" customHeight="1">
      <c r="H957" s="102"/>
      <c r="I957" s="102"/>
      <c r="J957" s="102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  <c r="CJ957" s="106"/>
      <c r="CK957" s="106"/>
      <c r="CL957" s="106"/>
      <c r="CM957" s="106"/>
      <c r="CN957" s="106"/>
      <c r="CO957" s="106"/>
      <c r="CP957" s="106"/>
      <c r="CQ957" s="106"/>
    </row>
    <row r="958" spans="8:95" ht="14.25" customHeight="1">
      <c r="H958" s="102"/>
      <c r="I958" s="102"/>
      <c r="J958" s="102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  <c r="CJ958" s="106"/>
      <c r="CK958" s="106"/>
      <c r="CL958" s="106"/>
      <c r="CM958" s="106"/>
      <c r="CN958" s="106"/>
      <c r="CO958" s="106"/>
      <c r="CP958" s="106"/>
      <c r="CQ958" s="106"/>
    </row>
    <row r="959" spans="8:95" ht="14.25" customHeight="1">
      <c r="H959" s="102"/>
      <c r="I959" s="102"/>
      <c r="J959" s="102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  <c r="CJ959" s="106"/>
      <c r="CK959" s="106"/>
      <c r="CL959" s="106"/>
      <c r="CM959" s="106"/>
      <c r="CN959" s="106"/>
      <c r="CO959" s="106"/>
      <c r="CP959" s="106"/>
      <c r="CQ959" s="106"/>
    </row>
    <row r="960" spans="8:95" ht="14.25" customHeight="1">
      <c r="H960" s="102"/>
      <c r="I960" s="102"/>
      <c r="J960" s="102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  <c r="CJ960" s="106"/>
      <c r="CK960" s="106"/>
      <c r="CL960" s="106"/>
      <c r="CM960" s="106"/>
      <c r="CN960" s="106"/>
      <c r="CO960" s="106"/>
      <c r="CP960" s="106"/>
      <c r="CQ960" s="106"/>
    </row>
    <row r="961" spans="8:95" ht="14.25" customHeight="1">
      <c r="H961" s="102"/>
      <c r="I961" s="102"/>
      <c r="J961" s="102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  <c r="CJ961" s="106"/>
      <c r="CK961" s="106"/>
      <c r="CL961" s="106"/>
      <c r="CM961" s="106"/>
      <c r="CN961" s="106"/>
      <c r="CO961" s="106"/>
      <c r="CP961" s="106"/>
      <c r="CQ961" s="106"/>
    </row>
    <row r="962" spans="8:95" ht="14.25" customHeight="1">
      <c r="H962" s="102"/>
      <c r="I962" s="102"/>
      <c r="J962" s="102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  <c r="CJ962" s="106"/>
      <c r="CK962" s="106"/>
      <c r="CL962" s="106"/>
      <c r="CM962" s="106"/>
      <c r="CN962" s="106"/>
      <c r="CO962" s="106"/>
      <c r="CP962" s="106"/>
      <c r="CQ962" s="106"/>
    </row>
    <row r="963" spans="8:95" ht="14.25" customHeight="1">
      <c r="H963" s="102"/>
      <c r="I963" s="102"/>
      <c r="J963" s="102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  <c r="CJ963" s="106"/>
      <c r="CK963" s="106"/>
      <c r="CL963" s="106"/>
      <c r="CM963" s="106"/>
      <c r="CN963" s="106"/>
      <c r="CO963" s="106"/>
      <c r="CP963" s="106"/>
      <c r="CQ963" s="106"/>
    </row>
    <row r="964" spans="8:95" ht="14.25" customHeight="1">
      <c r="H964" s="102"/>
      <c r="I964" s="102"/>
      <c r="J964" s="102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  <c r="CJ964" s="106"/>
      <c r="CK964" s="106"/>
      <c r="CL964" s="106"/>
      <c r="CM964" s="106"/>
      <c r="CN964" s="106"/>
      <c r="CO964" s="106"/>
      <c r="CP964" s="106"/>
      <c r="CQ964" s="106"/>
    </row>
    <row r="965" spans="8:95" ht="14.25" customHeight="1">
      <c r="H965" s="102"/>
      <c r="I965" s="102"/>
      <c r="J965" s="102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  <c r="CJ965" s="106"/>
      <c r="CK965" s="106"/>
      <c r="CL965" s="106"/>
      <c r="CM965" s="106"/>
      <c r="CN965" s="106"/>
      <c r="CO965" s="106"/>
      <c r="CP965" s="106"/>
      <c r="CQ965" s="106"/>
    </row>
    <row r="966" spans="8:95" ht="14.25" customHeight="1">
      <c r="H966" s="102"/>
      <c r="I966" s="102"/>
      <c r="J966" s="102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  <c r="CJ966" s="106"/>
      <c r="CK966" s="106"/>
      <c r="CL966" s="106"/>
      <c r="CM966" s="106"/>
      <c r="CN966" s="106"/>
      <c r="CO966" s="106"/>
      <c r="CP966" s="106"/>
      <c r="CQ966" s="106"/>
    </row>
    <row r="967" spans="8:95" ht="14.25" customHeight="1">
      <c r="H967" s="102"/>
      <c r="I967" s="102"/>
      <c r="J967" s="102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  <c r="CJ967" s="106"/>
      <c r="CK967" s="106"/>
      <c r="CL967" s="106"/>
      <c r="CM967" s="106"/>
      <c r="CN967" s="106"/>
      <c r="CO967" s="106"/>
      <c r="CP967" s="106"/>
      <c r="CQ967" s="106"/>
    </row>
    <row r="968" spans="8:95" ht="14.25" customHeight="1">
      <c r="H968" s="102"/>
      <c r="I968" s="102"/>
      <c r="J968" s="102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</row>
    <row r="969" spans="8:95" ht="14.25" customHeight="1">
      <c r="H969" s="102"/>
      <c r="I969" s="102"/>
      <c r="J969" s="102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  <c r="CJ969" s="106"/>
      <c r="CK969" s="106"/>
      <c r="CL969" s="106"/>
      <c r="CM969" s="106"/>
      <c r="CN969" s="106"/>
      <c r="CO969" s="106"/>
      <c r="CP969" s="106"/>
      <c r="CQ969" s="106"/>
    </row>
    <row r="970" spans="8:95" ht="14.25" customHeight="1">
      <c r="H970" s="102"/>
      <c r="I970" s="102"/>
      <c r="J970" s="102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  <c r="CJ970" s="106"/>
      <c r="CK970" s="106"/>
      <c r="CL970" s="106"/>
      <c r="CM970" s="106"/>
      <c r="CN970" s="106"/>
      <c r="CO970" s="106"/>
      <c r="CP970" s="106"/>
      <c r="CQ970" s="106"/>
    </row>
    <row r="971" spans="8:95" ht="14.25" customHeight="1">
      <c r="H971" s="102"/>
      <c r="I971" s="102"/>
      <c r="J971" s="102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  <c r="CJ971" s="106"/>
      <c r="CK971" s="106"/>
      <c r="CL971" s="106"/>
      <c r="CM971" s="106"/>
      <c r="CN971" s="106"/>
      <c r="CO971" s="106"/>
      <c r="CP971" s="106"/>
      <c r="CQ971" s="106"/>
    </row>
    <row r="972" spans="8:95" ht="14.25" customHeight="1">
      <c r="H972" s="102"/>
      <c r="I972" s="102"/>
      <c r="J972" s="102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  <c r="CJ972" s="106"/>
      <c r="CK972" s="106"/>
      <c r="CL972" s="106"/>
      <c r="CM972" s="106"/>
      <c r="CN972" s="106"/>
      <c r="CO972" s="106"/>
      <c r="CP972" s="106"/>
      <c r="CQ972" s="106"/>
    </row>
    <row r="973" spans="8:95" ht="14.25" customHeight="1">
      <c r="H973" s="102"/>
      <c r="I973" s="102"/>
      <c r="J973" s="102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  <c r="CJ973" s="106"/>
      <c r="CK973" s="106"/>
      <c r="CL973" s="106"/>
      <c r="CM973" s="106"/>
      <c r="CN973" s="106"/>
      <c r="CO973" s="106"/>
      <c r="CP973" s="106"/>
      <c r="CQ973" s="106"/>
    </row>
    <row r="974" spans="8:95" ht="14.25" customHeight="1">
      <c r="H974" s="102"/>
      <c r="I974" s="102"/>
      <c r="J974" s="102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  <c r="CJ974" s="106"/>
      <c r="CK974" s="106"/>
      <c r="CL974" s="106"/>
      <c r="CM974" s="106"/>
      <c r="CN974" s="106"/>
      <c r="CO974" s="106"/>
      <c r="CP974" s="106"/>
      <c r="CQ974" s="106"/>
    </row>
    <row r="975" spans="8:95" ht="14.25" customHeight="1">
      <c r="H975" s="102"/>
      <c r="I975" s="102"/>
      <c r="J975" s="102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  <c r="CJ975" s="106"/>
      <c r="CK975" s="106"/>
      <c r="CL975" s="106"/>
      <c r="CM975" s="106"/>
      <c r="CN975" s="106"/>
      <c r="CO975" s="106"/>
      <c r="CP975" s="106"/>
      <c r="CQ975" s="106"/>
    </row>
    <row r="976" spans="8:95" ht="14.25" customHeight="1">
      <c r="H976" s="102"/>
      <c r="I976" s="102"/>
      <c r="J976" s="102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  <c r="CJ976" s="106"/>
      <c r="CK976" s="106"/>
      <c r="CL976" s="106"/>
      <c r="CM976" s="106"/>
      <c r="CN976" s="106"/>
      <c r="CO976" s="106"/>
      <c r="CP976" s="106"/>
      <c r="CQ976" s="106"/>
    </row>
    <row r="977" spans="8:95" ht="14.25" customHeight="1">
      <c r="H977" s="102"/>
      <c r="I977" s="102"/>
      <c r="J977" s="102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  <c r="CJ977" s="106"/>
      <c r="CK977" s="106"/>
      <c r="CL977" s="106"/>
      <c r="CM977" s="106"/>
      <c r="CN977" s="106"/>
      <c r="CO977" s="106"/>
      <c r="CP977" s="106"/>
      <c r="CQ977" s="106"/>
    </row>
    <row r="978" spans="8:95" ht="14.25" customHeight="1">
      <c r="H978" s="102"/>
      <c r="I978" s="102"/>
      <c r="J978" s="102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  <c r="CJ978" s="106"/>
      <c r="CK978" s="106"/>
      <c r="CL978" s="106"/>
      <c r="CM978" s="106"/>
      <c r="CN978" s="106"/>
      <c r="CO978" s="106"/>
      <c r="CP978" s="106"/>
      <c r="CQ978" s="106"/>
    </row>
    <row r="979" spans="8:95" ht="14.25" customHeight="1">
      <c r="H979" s="102"/>
      <c r="I979" s="102"/>
      <c r="J979" s="102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  <c r="CJ979" s="106"/>
      <c r="CK979" s="106"/>
      <c r="CL979" s="106"/>
      <c r="CM979" s="106"/>
      <c r="CN979" s="106"/>
      <c r="CO979" s="106"/>
      <c r="CP979" s="106"/>
      <c r="CQ979" s="106"/>
    </row>
    <row r="980" spans="8:95" ht="14.25" customHeight="1">
      <c r="H980" s="102"/>
      <c r="I980" s="102"/>
      <c r="J980" s="102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  <c r="CJ980" s="106"/>
      <c r="CK980" s="106"/>
      <c r="CL980" s="106"/>
      <c r="CM980" s="106"/>
      <c r="CN980" s="106"/>
      <c r="CO980" s="106"/>
      <c r="CP980" s="106"/>
      <c r="CQ980" s="106"/>
    </row>
    <row r="981" spans="8:95" ht="14.25" customHeight="1">
      <c r="H981" s="102"/>
      <c r="I981" s="102"/>
      <c r="J981" s="102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  <c r="CJ981" s="106"/>
      <c r="CK981" s="106"/>
      <c r="CL981" s="106"/>
      <c r="CM981" s="106"/>
      <c r="CN981" s="106"/>
      <c r="CO981" s="106"/>
      <c r="CP981" s="106"/>
      <c r="CQ981" s="106"/>
    </row>
    <row r="982" spans="8:95" ht="14.25" customHeight="1">
      <c r="H982" s="102"/>
      <c r="I982" s="102"/>
      <c r="J982" s="102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  <c r="CJ982" s="106"/>
      <c r="CK982" s="106"/>
      <c r="CL982" s="106"/>
      <c r="CM982" s="106"/>
      <c r="CN982" s="106"/>
      <c r="CO982" s="106"/>
      <c r="CP982" s="106"/>
      <c r="CQ982" s="106"/>
    </row>
    <row r="983" spans="8:95" ht="14.25" customHeight="1">
      <c r="H983" s="102"/>
      <c r="I983" s="102"/>
      <c r="J983" s="102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  <c r="CJ983" s="106"/>
      <c r="CK983" s="106"/>
      <c r="CL983" s="106"/>
      <c r="CM983" s="106"/>
      <c r="CN983" s="106"/>
      <c r="CO983" s="106"/>
      <c r="CP983" s="106"/>
      <c r="CQ983" s="106"/>
    </row>
    <row r="984" spans="8:95" ht="14.25" customHeight="1">
      <c r="H984" s="102"/>
      <c r="I984" s="102"/>
      <c r="J984" s="102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  <c r="CJ984" s="106"/>
      <c r="CK984" s="106"/>
      <c r="CL984" s="106"/>
      <c r="CM984" s="106"/>
      <c r="CN984" s="106"/>
      <c r="CO984" s="106"/>
      <c r="CP984" s="106"/>
      <c r="CQ984" s="106"/>
    </row>
    <row r="985" spans="8:95" ht="14.25" customHeight="1">
      <c r="H985" s="102"/>
      <c r="I985" s="102"/>
      <c r="J985" s="102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  <c r="CJ985" s="106"/>
      <c r="CK985" s="106"/>
      <c r="CL985" s="106"/>
      <c r="CM985" s="106"/>
      <c r="CN985" s="106"/>
      <c r="CO985" s="106"/>
      <c r="CP985" s="106"/>
      <c r="CQ985" s="106"/>
    </row>
    <row r="986" spans="8:95" ht="14.25" customHeight="1">
      <c r="H986" s="102"/>
      <c r="I986" s="102"/>
      <c r="J986" s="102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  <c r="CJ986" s="106"/>
      <c r="CK986" s="106"/>
      <c r="CL986" s="106"/>
      <c r="CM986" s="106"/>
      <c r="CN986" s="106"/>
      <c r="CO986" s="106"/>
      <c r="CP986" s="106"/>
      <c r="CQ986" s="106"/>
    </row>
    <row r="987" spans="8:95" ht="14.25" customHeight="1">
      <c r="H987" s="102"/>
      <c r="I987" s="102"/>
      <c r="J987" s="102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  <c r="CJ987" s="106"/>
      <c r="CK987" s="106"/>
      <c r="CL987" s="106"/>
      <c r="CM987" s="106"/>
      <c r="CN987" s="106"/>
      <c r="CO987" s="106"/>
      <c r="CP987" s="106"/>
      <c r="CQ987" s="106"/>
    </row>
    <row r="988" spans="8:95" ht="14.25" customHeight="1">
      <c r="H988" s="102"/>
      <c r="I988" s="102"/>
      <c r="J988" s="102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  <c r="CJ988" s="106"/>
      <c r="CK988" s="106"/>
      <c r="CL988" s="106"/>
      <c r="CM988" s="106"/>
      <c r="CN988" s="106"/>
      <c r="CO988" s="106"/>
      <c r="CP988" s="106"/>
      <c r="CQ988" s="106"/>
    </row>
    <row r="989" spans="8:95" ht="14.25" customHeight="1">
      <c r="H989" s="102"/>
      <c r="I989" s="102"/>
      <c r="J989" s="102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  <c r="CJ989" s="106"/>
      <c r="CK989" s="106"/>
      <c r="CL989" s="106"/>
      <c r="CM989" s="106"/>
      <c r="CN989" s="106"/>
      <c r="CO989" s="106"/>
      <c r="CP989" s="106"/>
      <c r="CQ989" s="106"/>
    </row>
    <row r="990" spans="8:95" ht="14.25" customHeight="1">
      <c r="H990" s="102"/>
      <c r="I990" s="102"/>
      <c r="J990" s="102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  <c r="CJ990" s="106"/>
      <c r="CK990" s="106"/>
      <c r="CL990" s="106"/>
      <c r="CM990" s="106"/>
      <c r="CN990" s="106"/>
      <c r="CO990" s="106"/>
      <c r="CP990" s="106"/>
      <c r="CQ990" s="106"/>
    </row>
    <row r="991" spans="8:95" ht="14.25" customHeight="1">
      <c r="H991" s="102"/>
      <c r="I991" s="102"/>
      <c r="J991" s="102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  <c r="CJ991" s="106"/>
      <c r="CK991" s="106"/>
      <c r="CL991" s="106"/>
      <c r="CM991" s="106"/>
      <c r="CN991" s="106"/>
      <c r="CO991" s="106"/>
      <c r="CP991" s="106"/>
      <c r="CQ991" s="106"/>
    </row>
    <row r="992" spans="8:95" ht="14.25" customHeight="1">
      <c r="H992" s="102"/>
      <c r="I992" s="102"/>
      <c r="J992" s="102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  <c r="CJ992" s="106"/>
      <c r="CK992" s="106"/>
      <c r="CL992" s="106"/>
      <c r="CM992" s="106"/>
      <c r="CN992" s="106"/>
      <c r="CO992" s="106"/>
      <c r="CP992" s="106"/>
      <c r="CQ992" s="106"/>
    </row>
    <row r="993" spans="8:95" ht="14.25" customHeight="1">
      <c r="H993" s="102"/>
      <c r="I993" s="102"/>
      <c r="J993" s="102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  <c r="CJ993" s="106"/>
      <c r="CK993" s="106"/>
      <c r="CL993" s="106"/>
      <c r="CM993" s="106"/>
      <c r="CN993" s="106"/>
      <c r="CO993" s="106"/>
      <c r="CP993" s="106"/>
      <c r="CQ993" s="106"/>
    </row>
    <row r="994" spans="8:95" ht="14.25" customHeight="1">
      <c r="H994" s="102"/>
      <c r="I994" s="102"/>
      <c r="J994" s="102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</row>
    <row r="995" spans="8:95" ht="14.25" customHeight="1">
      <c r="H995" s="102"/>
      <c r="I995" s="102"/>
      <c r="J995" s="102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  <c r="CJ995" s="106"/>
      <c r="CK995" s="106"/>
      <c r="CL995" s="106"/>
      <c r="CM995" s="106"/>
      <c r="CN995" s="106"/>
      <c r="CO995" s="106"/>
      <c r="CP995" s="106"/>
      <c r="CQ995" s="106"/>
    </row>
    <row r="996" spans="8:95" ht="14.25" customHeight="1">
      <c r="H996" s="102"/>
      <c r="I996" s="102"/>
      <c r="J996" s="102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  <c r="CJ996" s="106"/>
      <c r="CK996" s="106"/>
      <c r="CL996" s="106"/>
      <c r="CM996" s="106"/>
      <c r="CN996" s="106"/>
      <c r="CO996" s="106"/>
      <c r="CP996" s="106"/>
      <c r="CQ996" s="106"/>
    </row>
    <row r="997" spans="8:95" ht="14.25" customHeight="1">
      <c r="H997" s="102"/>
      <c r="I997" s="102"/>
      <c r="J997" s="102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  <c r="CJ997" s="106"/>
      <c r="CK997" s="106"/>
      <c r="CL997" s="106"/>
      <c r="CM997" s="106"/>
      <c r="CN997" s="106"/>
      <c r="CO997" s="106"/>
      <c r="CP997" s="106"/>
      <c r="CQ997" s="106"/>
    </row>
    <row r="998" spans="8:95" ht="14.25" customHeight="1">
      <c r="H998" s="102"/>
      <c r="I998" s="102"/>
      <c r="J998" s="102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  <c r="CJ998" s="106"/>
      <c r="CK998" s="106"/>
      <c r="CL998" s="106"/>
      <c r="CM998" s="106"/>
      <c r="CN998" s="106"/>
      <c r="CO998" s="106"/>
      <c r="CP998" s="106"/>
      <c r="CQ998" s="106"/>
    </row>
    <row r="999" spans="8:95" ht="14.25" customHeight="1">
      <c r="H999" s="102"/>
      <c r="I999" s="102"/>
      <c r="J999" s="102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  <c r="CJ999" s="106"/>
      <c r="CK999" s="106"/>
      <c r="CL999" s="106"/>
      <c r="CM999" s="106"/>
      <c r="CN999" s="106"/>
      <c r="CO999" s="106"/>
      <c r="CP999" s="106"/>
      <c r="CQ999" s="106"/>
    </row>
    <row r="1000" spans="8:95" ht="14.25" customHeight="1">
      <c r="H1000" s="102"/>
      <c r="I1000" s="102"/>
      <c r="J1000" s="102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  <c r="CJ1000" s="106"/>
      <c r="CK1000" s="106"/>
      <c r="CL1000" s="106"/>
      <c r="CM1000" s="106"/>
      <c r="CN1000" s="106"/>
      <c r="CO1000" s="106"/>
      <c r="CP1000" s="106"/>
      <c r="CQ1000" s="106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1:CH1000"/>
  <sheetViews>
    <sheetView workbookViewId="0"/>
  </sheetViews>
  <sheetFormatPr defaultColWidth="14.44140625" defaultRowHeight="15" customHeight="1"/>
  <cols>
    <col min="1" max="1" width="2.44140625" customWidth="1"/>
    <col min="2" max="2" width="8.88671875" customWidth="1"/>
    <col min="3" max="3" width="12.109375" customWidth="1"/>
    <col min="4" max="4" width="8.33203125" customWidth="1"/>
    <col min="5" max="7" width="8.88671875" customWidth="1"/>
    <col min="8" max="9" width="9.33203125" customWidth="1"/>
    <col min="10" max="10" width="13.33203125" customWidth="1"/>
    <col min="11" max="85" width="8.88671875" customWidth="1"/>
    <col min="86" max="86" width="8.6640625" customWidth="1"/>
  </cols>
  <sheetData>
    <row r="1" spans="2:86" ht="14.25" customHeight="1">
      <c r="B1" s="106"/>
      <c r="C1" s="113"/>
      <c r="D1" s="113"/>
      <c r="E1" s="106"/>
      <c r="H1" s="106"/>
      <c r="I1" s="106"/>
      <c r="J1" s="106"/>
    </row>
    <row r="2" spans="2:86" ht="14.25" customHeight="1">
      <c r="B2" s="106"/>
      <c r="C2" s="113"/>
      <c r="D2" s="113"/>
      <c r="E2" s="106"/>
      <c r="H2" s="106"/>
      <c r="I2" s="106"/>
      <c r="J2" s="106"/>
    </row>
    <row r="3" spans="2:86" ht="14.25" customHeight="1">
      <c r="B3" s="106"/>
      <c r="C3" s="113"/>
      <c r="D3" s="113"/>
      <c r="E3" s="106"/>
      <c r="H3" s="106"/>
      <c r="I3" s="114">
        <v>1</v>
      </c>
      <c r="J3" s="114">
        <v>0</v>
      </c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</row>
    <row r="4" spans="2:86" ht="14.25" customHeight="1">
      <c r="B4" s="48" t="s">
        <v>3</v>
      </c>
      <c r="C4" s="48" t="s">
        <v>2961</v>
      </c>
      <c r="D4" s="48" t="s">
        <v>127</v>
      </c>
      <c r="E4" s="48" t="s">
        <v>1108</v>
      </c>
      <c r="F4" s="48" t="s">
        <v>2962</v>
      </c>
      <c r="G4" s="48" t="s">
        <v>2963</v>
      </c>
      <c r="H4" s="48" t="s">
        <v>2964</v>
      </c>
      <c r="I4" s="116" t="s">
        <v>2706</v>
      </c>
      <c r="J4" s="48" t="s">
        <v>2965</v>
      </c>
      <c r="K4" s="48" t="s">
        <v>2966</v>
      </c>
      <c r="L4" s="48" t="s">
        <v>2967</v>
      </c>
      <c r="M4" s="48" t="s">
        <v>2968</v>
      </c>
      <c r="N4" s="48" t="s">
        <v>2969</v>
      </c>
      <c r="O4" s="48" t="s">
        <v>2970</v>
      </c>
      <c r="P4" s="48" t="s">
        <v>2971</v>
      </c>
      <c r="Q4" s="48" t="s">
        <v>2972</v>
      </c>
      <c r="R4" s="48" t="s">
        <v>2973</v>
      </c>
      <c r="S4" s="48" t="s">
        <v>2974</v>
      </c>
      <c r="T4" s="48" t="s">
        <v>2975</v>
      </c>
      <c r="U4" s="48" t="s">
        <v>2976</v>
      </c>
      <c r="V4" s="48" t="s">
        <v>2977</v>
      </c>
      <c r="W4" s="48" t="s">
        <v>2978</v>
      </c>
      <c r="X4" s="48" t="s">
        <v>2979</v>
      </c>
      <c r="Y4" s="48" t="s">
        <v>2980</v>
      </c>
      <c r="Z4" s="48" t="s">
        <v>2981</v>
      </c>
      <c r="AA4" s="48" t="s">
        <v>2982</v>
      </c>
      <c r="AB4" s="48" t="s">
        <v>2983</v>
      </c>
      <c r="AC4" s="48" t="s">
        <v>2984</v>
      </c>
      <c r="AD4" s="48" t="s">
        <v>2985</v>
      </c>
      <c r="AE4" s="48" t="s">
        <v>2986</v>
      </c>
      <c r="AF4" s="48" t="s">
        <v>2987</v>
      </c>
      <c r="AG4" s="48" t="s">
        <v>2988</v>
      </c>
      <c r="AH4" s="48" t="s">
        <v>2989</v>
      </c>
      <c r="AI4" s="48" t="s">
        <v>2990</v>
      </c>
      <c r="AJ4" s="48" t="s">
        <v>2991</v>
      </c>
      <c r="AK4" s="48" t="s">
        <v>2992</v>
      </c>
      <c r="AL4" s="48" t="s">
        <v>2993</v>
      </c>
      <c r="AM4" s="48" t="s">
        <v>2994</v>
      </c>
      <c r="AN4" s="48" t="s">
        <v>2995</v>
      </c>
      <c r="AO4" s="48" t="s">
        <v>2996</v>
      </c>
      <c r="AP4" s="48" t="s">
        <v>2997</v>
      </c>
      <c r="AQ4" s="48" t="s">
        <v>2998</v>
      </c>
      <c r="AR4" s="48" t="s">
        <v>2999</v>
      </c>
      <c r="AS4" s="48" t="s">
        <v>3000</v>
      </c>
      <c r="AT4" s="48" t="s">
        <v>3001</v>
      </c>
      <c r="AU4" s="48" t="s">
        <v>3002</v>
      </c>
      <c r="AV4" s="48" t="s">
        <v>3003</v>
      </c>
      <c r="AW4" s="48" t="s">
        <v>3004</v>
      </c>
      <c r="AX4" s="48" t="s">
        <v>3005</v>
      </c>
      <c r="AY4" s="48" t="s">
        <v>3006</v>
      </c>
      <c r="AZ4" s="48" t="s">
        <v>3007</v>
      </c>
      <c r="BA4" s="48" t="s">
        <v>3008</v>
      </c>
      <c r="BB4" s="48" t="s">
        <v>3009</v>
      </c>
      <c r="BC4" s="48" t="s">
        <v>3010</v>
      </c>
      <c r="BD4" s="48" t="s">
        <v>3011</v>
      </c>
      <c r="BE4" s="48" t="s">
        <v>3012</v>
      </c>
      <c r="BF4" s="48" t="s">
        <v>3013</v>
      </c>
      <c r="BG4" s="48" t="s">
        <v>3014</v>
      </c>
      <c r="BH4" s="48" t="s">
        <v>3015</v>
      </c>
      <c r="BI4" s="48" t="s">
        <v>3016</v>
      </c>
      <c r="BJ4" s="48" t="s">
        <v>3017</v>
      </c>
      <c r="BK4" s="48" t="s">
        <v>3018</v>
      </c>
      <c r="BL4" s="48" t="s">
        <v>3019</v>
      </c>
      <c r="BM4" s="48" t="s">
        <v>3020</v>
      </c>
      <c r="BN4" s="48" t="s">
        <v>3021</v>
      </c>
      <c r="BO4" s="48" t="s">
        <v>3022</v>
      </c>
      <c r="BP4" s="48" t="s">
        <v>3023</v>
      </c>
      <c r="BQ4" s="48" t="s">
        <v>3024</v>
      </c>
      <c r="BR4" s="48" t="s">
        <v>3025</v>
      </c>
      <c r="BS4" s="48" t="s">
        <v>3026</v>
      </c>
      <c r="BT4" s="48" t="s">
        <v>3027</v>
      </c>
      <c r="BU4" s="48" t="s">
        <v>3028</v>
      </c>
      <c r="BV4" s="48" t="s">
        <v>3029</v>
      </c>
      <c r="BW4" s="48" t="s">
        <v>3030</v>
      </c>
      <c r="BX4" s="48" t="s">
        <v>3031</v>
      </c>
      <c r="BY4" s="48" t="s">
        <v>3032</v>
      </c>
      <c r="BZ4" s="48" t="s">
        <v>3033</v>
      </c>
      <c r="CA4" s="48" t="s">
        <v>3034</v>
      </c>
      <c r="CB4" s="48" t="s">
        <v>3035</v>
      </c>
      <c r="CC4" s="48" t="s">
        <v>3036</v>
      </c>
      <c r="CD4" s="48" t="s">
        <v>3037</v>
      </c>
      <c r="CE4" s="48" t="s">
        <v>3038</v>
      </c>
      <c r="CF4" s="48" t="s">
        <v>3039</v>
      </c>
      <c r="CG4" s="48" t="s">
        <v>3040</v>
      </c>
    </row>
    <row r="5" spans="2:86" ht="14.25" customHeight="1">
      <c r="B5" s="106" t="s">
        <v>677</v>
      </c>
      <c r="C5" s="113" t="s">
        <v>2797</v>
      </c>
      <c r="D5" s="106" t="s">
        <v>707</v>
      </c>
      <c r="E5" s="106" t="s">
        <v>1764</v>
      </c>
      <c r="F5" s="109">
        <v>11053.549000000001</v>
      </c>
      <c r="G5" s="109">
        <v>11094.175999999999</v>
      </c>
      <c r="H5" s="117">
        <v>40.626999999998588</v>
      </c>
      <c r="I5" s="102">
        <v>1</v>
      </c>
      <c r="J5" s="115">
        <v>0</v>
      </c>
      <c r="K5" s="102" t="s">
        <v>2966</v>
      </c>
      <c r="L5" s="102" t="s">
        <v>2967</v>
      </c>
      <c r="M5" s="102" t="s">
        <v>2968</v>
      </c>
      <c r="N5" s="102" t="s">
        <v>2969</v>
      </c>
      <c r="O5" s="102" t="s">
        <v>2970</v>
      </c>
      <c r="P5" s="102" t="s">
        <v>2971</v>
      </c>
      <c r="Q5" s="102" t="s">
        <v>2972</v>
      </c>
      <c r="R5" s="102" t="s">
        <v>2973</v>
      </c>
      <c r="S5" s="102" t="s">
        <v>2974</v>
      </c>
      <c r="T5" s="102" t="s">
        <v>2975</v>
      </c>
      <c r="U5" s="102" t="s">
        <v>2976</v>
      </c>
      <c r="V5" s="102" t="s">
        <v>2977</v>
      </c>
      <c r="W5" s="102" t="s">
        <v>2978</v>
      </c>
      <c r="X5" s="102" t="s">
        <v>2979</v>
      </c>
      <c r="Y5" s="102" t="s">
        <v>2798</v>
      </c>
      <c r="Z5" s="102" t="s">
        <v>2798</v>
      </c>
      <c r="AA5" s="102" t="s">
        <v>2798</v>
      </c>
      <c r="AB5" s="102" t="s">
        <v>2798</v>
      </c>
      <c r="AC5" s="102" t="s">
        <v>2798</v>
      </c>
      <c r="AD5" s="102" t="s">
        <v>2798</v>
      </c>
      <c r="AE5" s="102" t="s">
        <v>2798</v>
      </c>
      <c r="AF5" s="102" t="s">
        <v>2798</v>
      </c>
      <c r="AG5" s="102" t="s">
        <v>2798</v>
      </c>
      <c r="AH5" s="102" t="s">
        <v>2798</v>
      </c>
      <c r="AI5" s="102" t="s">
        <v>2798</v>
      </c>
      <c r="AJ5" s="102" t="s">
        <v>2798</v>
      </c>
      <c r="AK5" s="102" t="s">
        <v>2798</v>
      </c>
      <c r="AL5" s="102" t="s">
        <v>2798</v>
      </c>
      <c r="AM5" s="102" t="s">
        <v>2798</v>
      </c>
      <c r="AN5" s="102" t="s">
        <v>2798</v>
      </c>
      <c r="AO5" s="102" t="s">
        <v>2798</v>
      </c>
      <c r="AP5" s="102" t="s">
        <v>2798</v>
      </c>
      <c r="AQ5" s="102" t="s">
        <v>2798</v>
      </c>
      <c r="AR5" s="102" t="s">
        <v>2798</v>
      </c>
      <c r="AS5" s="102" t="s">
        <v>2798</v>
      </c>
      <c r="AT5" s="102" t="s">
        <v>2798</v>
      </c>
      <c r="AU5" s="102" t="s">
        <v>2798</v>
      </c>
      <c r="AV5" s="102" t="s">
        <v>2798</v>
      </c>
      <c r="AW5" s="102" t="s">
        <v>2798</v>
      </c>
      <c r="AX5" s="102" t="s">
        <v>2798</v>
      </c>
      <c r="AY5" s="102" t="s">
        <v>2798</v>
      </c>
      <c r="AZ5" s="102" t="s">
        <v>2798</v>
      </c>
      <c r="BA5" s="102" t="s">
        <v>2798</v>
      </c>
      <c r="BB5" s="102" t="s">
        <v>2798</v>
      </c>
      <c r="BC5" s="102" t="s">
        <v>2798</v>
      </c>
      <c r="BD5" s="102" t="s">
        <v>2798</v>
      </c>
      <c r="BE5" s="102" t="s">
        <v>2798</v>
      </c>
      <c r="BF5" s="102" t="s">
        <v>2798</v>
      </c>
      <c r="BG5" s="102" t="s">
        <v>2798</v>
      </c>
      <c r="BH5" s="102" t="s">
        <v>2798</v>
      </c>
      <c r="BI5" s="102" t="s">
        <v>2798</v>
      </c>
      <c r="BJ5" s="102" t="s">
        <v>2798</v>
      </c>
      <c r="BK5" s="102" t="s">
        <v>2798</v>
      </c>
      <c r="BL5" s="102" t="s">
        <v>2798</v>
      </c>
      <c r="BM5" s="102" t="s">
        <v>2798</v>
      </c>
      <c r="BN5" s="102" t="s">
        <v>2798</v>
      </c>
      <c r="BO5" s="102" t="s">
        <v>2798</v>
      </c>
      <c r="BP5" s="102" t="s">
        <v>2798</v>
      </c>
      <c r="BQ5" s="102" t="s">
        <v>2798</v>
      </c>
      <c r="BR5" s="102" t="s">
        <v>2798</v>
      </c>
      <c r="BS5" s="102" t="s">
        <v>2798</v>
      </c>
      <c r="BT5" s="102" t="s">
        <v>2798</v>
      </c>
      <c r="BU5" s="102" t="s">
        <v>2798</v>
      </c>
      <c r="BV5" s="102" t="s">
        <v>2798</v>
      </c>
      <c r="BW5" s="102" t="s">
        <v>2798</v>
      </c>
      <c r="BX5" s="102" t="s">
        <v>2798</v>
      </c>
      <c r="BY5" s="102" t="s">
        <v>2798</v>
      </c>
      <c r="BZ5" s="102" t="s">
        <v>2798</v>
      </c>
      <c r="CA5" s="102" t="s">
        <v>2798</v>
      </c>
      <c r="CB5" s="102" t="s">
        <v>2798</v>
      </c>
      <c r="CC5" s="102" t="s">
        <v>2798</v>
      </c>
      <c r="CD5" s="102" t="s">
        <v>2798</v>
      </c>
      <c r="CE5" s="102" t="s">
        <v>2798</v>
      </c>
      <c r="CF5" s="102" t="s">
        <v>2798</v>
      </c>
      <c r="CG5" s="102" t="s">
        <v>2798</v>
      </c>
      <c r="CH5" s="1">
        <v>1</v>
      </c>
    </row>
    <row r="6" spans="2:86" ht="14.25" customHeight="1">
      <c r="B6" s="106" t="s">
        <v>677</v>
      </c>
      <c r="C6" s="113" t="s">
        <v>2799</v>
      </c>
      <c r="D6" s="106" t="s">
        <v>707</v>
      </c>
      <c r="E6" s="106" t="s">
        <v>1764</v>
      </c>
      <c r="F6" s="109">
        <v>11094.175999999999</v>
      </c>
      <c r="G6" s="109">
        <v>11134.803</v>
      </c>
      <c r="H6" s="117">
        <v>40.627000000000407</v>
      </c>
      <c r="I6" s="102">
        <v>0</v>
      </c>
      <c r="J6" s="115">
        <v>0</v>
      </c>
      <c r="K6" s="102" t="s">
        <v>2798</v>
      </c>
      <c r="L6" s="102" t="s">
        <v>2798</v>
      </c>
      <c r="M6" s="102" t="s">
        <v>2798</v>
      </c>
      <c r="N6" s="102" t="s">
        <v>2798</v>
      </c>
      <c r="O6" s="102" t="s">
        <v>2798</v>
      </c>
      <c r="P6" s="102" t="s">
        <v>2798</v>
      </c>
      <c r="Q6" s="102" t="s">
        <v>2798</v>
      </c>
      <c r="R6" s="102" t="s">
        <v>2798</v>
      </c>
      <c r="S6" s="102" t="s">
        <v>2798</v>
      </c>
      <c r="T6" s="102" t="s">
        <v>2798</v>
      </c>
      <c r="U6" s="102" t="s">
        <v>2798</v>
      </c>
      <c r="V6" s="102" t="s">
        <v>2798</v>
      </c>
      <c r="W6" s="102" t="s">
        <v>2798</v>
      </c>
      <c r="X6" s="102" t="s">
        <v>2798</v>
      </c>
      <c r="Y6" s="102" t="s">
        <v>2980</v>
      </c>
      <c r="Z6" s="102" t="s">
        <v>2981</v>
      </c>
      <c r="AA6" s="102" t="s">
        <v>2982</v>
      </c>
      <c r="AB6" s="102" t="s">
        <v>2983</v>
      </c>
      <c r="AC6" s="102" t="s">
        <v>2984</v>
      </c>
      <c r="AD6" s="102" t="s">
        <v>2985</v>
      </c>
      <c r="AE6" s="102" t="s">
        <v>2986</v>
      </c>
      <c r="AF6" s="102" t="s">
        <v>2798</v>
      </c>
      <c r="AG6" s="102" t="s">
        <v>2798</v>
      </c>
      <c r="AH6" s="102" t="s">
        <v>2798</v>
      </c>
      <c r="AI6" s="102" t="s">
        <v>2798</v>
      </c>
      <c r="AJ6" s="102" t="s">
        <v>2798</v>
      </c>
      <c r="AK6" s="102" t="s">
        <v>2798</v>
      </c>
      <c r="AL6" s="102" t="s">
        <v>2798</v>
      </c>
      <c r="AM6" s="102" t="s">
        <v>2798</v>
      </c>
      <c r="AN6" s="102" t="s">
        <v>2798</v>
      </c>
      <c r="AO6" s="102" t="s">
        <v>2798</v>
      </c>
      <c r="AP6" s="102" t="s">
        <v>2798</v>
      </c>
      <c r="AQ6" s="102" t="s">
        <v>2798</v>
      </c>
      <c r="AR6" s="102" t="s">
        <v>2798</v>
      </c>
      <c r="AS6" s="102" t="s">
        <v>2798</v>
      </c>
      <c r="AT6" s="102" t="s">
        <v>2798</v>
      </c>
      <c r="AU6" s="102" t="s">
        <v>2798</v>
      </c>
      <c r="AV6" s="102" t="s">
        <v>2798</v>
      </c>
      <c r="AW6" s="102" t="s">
        <v>2798</v>
      </c>
      <c r="AX6" s="102" t="s">
        <v>2798</v>
      </c>
      <c r="AY6" s="102" t="s">
        <v>2798</v>
      </c>
      <c r="AZ6" s="102" t="s">
        <v>2798</v>
      </c>
      <c r="BA6" s="102" t="s">
        <v>2798</v>
      </c>
      <c r="BB6" s="102" t="s">
        <v>2798</v>
      </c>
      <c r="BC6" s="102" t="s">
        <v>2798</v>
      </c>
      <c r="BD6" s="102" t="s">
        <v>2798</v>
      </c>
      <c r="BE6" s="102" t="s">
        <v>2798</v>
      </c>
      <c r="BF6" s="102" t="s">
        <v>2798</v>
      </c>
      <c r="BG6" s="102" t="s">
        <v>2798</v>
      </c>
      <c r="BH6" s="102" t="s">
        <v>2798</v>
      </c>
      <c r="BI6" s="102" t="s">
        <v>2798</v>
      </c>
      <c r="BJ6" s="102" t="s">
        <v>2798</v>
      </c>
      <c r="BK6" s="102" t="s">
        <v>2798</v>
      </c>
      <c r="BL6" s="102" t="s">
        <v>2798</v>
      </c>
      <c r="BM6" s="102" t="s">
        <v>3020</v>
      </c>
      <c r="BN6" s="102" t="s">
        <v>3021</v>
      </c>
      <c r="BO6" s="102" t="s">
        <v>3022</v>
      </c>
      <c r="BP6" s="102" t="s">
        <v>3023</v>
      </c>
      <c r="BQ6" s="102" t="s">
        <v>3024</v>
      </c>
      <c r="BR6" s="102" t="s">
        <v>3025</v>
      </c>
      <c r="BS6" s="102" t="s">
        <v>3026</v>
      </c>
      <c r="BT6" s="102" t="s">
        <v>2798</v>
      </c>
      <c r="BU6" s="102" t="s">
        <v>2798</v>
      </c>
      <c r="BV6" s="102" t="s">
        <v>2798</v>
      </c>
      <c r="BW6" s="102" t="s">
        <v>2798</v>
      </c>
      <c r="BX6" s="102" t="s">
        <v>2798</v>
      </c>
      <c r="BY6" s="102" t="s">
        <v>2798</v>
      </c>
      <c r="BZ6" s="102" t="s">
        <v>2798</v>
      </c>
      <c r="CA6" s="102" t="s">
        <v>2798</v>
      </c>
      <c r="CB6" s="102" t="s">
        <v>2798</v>
      </c>
      <c r="CC6" s="102" t="s">
        <v>2798</v>
      </c>
      <c r="CD6" s="102" t="s">
        <v>2798</v>
      </c>
      <c r="CE6" s="102" t="s">
        <v>2798</v>
      </c>
      <c r="CF6" s="102" t="s">
        <v>2798</v>
      </c>
      <c r="CG6" s="102" t="s">
        <v>2798</v>
      </c>
    </row>
    <row r="7" spans="2:86" ht="14.25" customHeight="1">
      <c r="B7" s="106" t="s">
        <v>677</v>
      </c>
      <c r="C7" s="113" t="s">
        <v>2800</v>
      </c>
      <c r="D7" s="106" t="s">
        <v>707</v>
      </c>
      <c r="E7" s="106" t="s">
        <v>1764</v>
      </c>
      <c r="F7" s="109">
        <v>11134.803</v>
      </c>
      <c r="G7" s="109">
        <v>11175.431</v>
      </c>
      <c r="H7" s="117">
        <v>40.628000000000611</v>
      </c>
      <c r="I7" s="102">
        <v>0</v>
      </c>
      <c r="J7" s="115">
        <v>0</v>
      </c>
      <c r="K7" s="102" t="s">
        <v>2798</v>
      </c>
      <c r="L7" s="102" t="s">
        <v>2798</v>
      </c>
      <c r="M7" s="102" t="s">
        <v>2798</v>
      </c>
      <c r="N7" s="102" t="s">
        <v>2798</v>
      </c>
      <c r="O7" s="102" t="s">
        <v>2798</v>
      </c>
      <c r="P7" s="102" t="s">
        <v>2798</v>
      </c>
      <c r="Q7" s="102" t="s">
        <v>2798</v>
      </c>
      <c r="R7" s="102" t="s">
        <v>2798</v>
      </c>
      <c r="S7" s="102" t="s">
        <v>2798</v>
      </c>
      <c r="T7" s="102" t="s">
        <v>2798</v>
      </c>
      <c r="U7" s="102" t="s">
        <v>2798</v>
      </c>
      <c r="V7" s="102" t="s">
        <v>2798</v>
      </c>
      <c r="W7" s="102" t="s">
        <v>2798</v>
      </c>
      <c r="X7" s="102" t="s">
        <v>2798</v>
      </c>
      <c r="Y7" s="102" t="s">
        <v>2798</v>
      </c>
      <c r="Z7" s="102" t="s">
        <v>2798</v>
      </c>
      <c r="AA7" s="102" t="s">
        <v>2798</v>
      </c>
      <c r="AB7" s="102" t="s">
        <v>2798</v>
      </c>
      <c r="AC7" s="102" t="s">
        <v>2798</v>
      </c>
      <c r="AD7" s="102" t="s">
        <v>2798</v>
      </c>
      <c r="AE7" s="102" t="s">
        <v>2798</v>
      </c>
      <c r="AF7" s="102" t="s">
        <v>2798</v>
      </c>
      <c r="AG7" s="102" t="s">
        <v>2798</v>
      </c>
      <c r="AH7" s="102" t="s">
        <v>2798</v>
      </c>
      <c r="AI7" s="102" t="s">
        <v>2798</v>
      </c>
      <c r="AJ7" s="102" t="s">
        <v>2798</v>
      </c>
      <c r="AK7" s="102" t="s">
        <v>2798</v>
      </c>
      <c r="AL7" s="102" t="s">
        <v>2798</v>
      </c>
      <c r="AM7" s="102" t="s">
        <v>2798</v>
      </c>
      <c r="AN7" s="102" t="s">
        <v>2798</v>
      </c>
      <c r="AO7" s="102" t="s">
        <v>2798</v>
      </c>
      <c r="AP7" s="102" t="s">
        <v>2798</v>
      </c>
      <c r="AQ7" s="102" t="s">
        <v>2798</v>
      </c>
      <c r="AR7" s="102" t="s">
        <v>2798</v>
      </c>
      <c r="AS7" s="102" t="s">
        <v>2798</v>
      </c>
      <c r="AT7" s="102" t="s">
        <v>2798</v>
      </c>
      <c r="AU7" s="102" t="s">
        <v>2798</v>
      </c>
      <c r="AV7" s="102" t="s">
        <v>2798</v>
      </c>
      <c r="AW7" s="102" t="s">
        <v>2798</v>
      </c>
      <c r="AX7" s="102" t="s">
        <v>2798</v>
      </c>
      <c r="AY7" s="102" t="s">
        <v>2798</v>
      </c>
      <c r="AZ7" s="102" t="s">
        <v>2798</v>
      </c>
      <c r="BA7" s="102" t="s">
        <v>2798</v>
      </c>
      <c r="BB7" s="102" t="s">
        <v>2798</v>
      </c>
      <c r="BC7" s="102" t="s">
        <v>2798</v>
      </c>
      <c r="BD7" s="102" t="s">
        <v>2798</v>
      </c>
      <c r="BE7" s="102" t="s">
        <v>2798</v>
      </c>
      <c r="BF7" s="102" t="s">
        <v>2798</v>
      </c>
      <c r="BG7" s="102" t="s">
        <v>2798</v>
      </c>
      <c r="BH7" s="102" t="s">
        <v>2798</v>
      </c>
      <c r="BI7" s="102" t="s">
        <v>2798</v>
      </c>
      <c r="BJ7" s="102" t="s">
        <v>2798</v>
      </c>
      <c r="BK7" s="102" t="s">
        <v>2798</v>
      </c>
      <c r="BL7" s="102" t="s">
        <v>2798</v>
      </c>
      <c r="BM7" s="102" t="s">
        <v>2798</v>
      </c>
      <c r="BN7" s="102" t="s">
        <v>2798</v>
      </c>
      <c r="BO7" s="102" t="s">
        <v>2798</v>
      </c>
      <c r="BP7" s="102" t="s">
        <v>2798</v>
      </c>
      <c r="BQ7" s="102" t="s">
        <v>2798</v>
      </c>
      <c r="BR7" s="102" t="s">
        <v>2798</v>
      </c>
      <c r="BS7" s="102" t="s">
        <v>2798</v>
      </c>
      <c r="BT7" s="102" t="s">
        <v>3027</v>
      </c>
      <c r="BU7" s="102" t="s">
        <v>3028</v>
      </c>
      <c r="BV7" s="102" t="s">
        <v>3029</v>
      </c>
      <c r="BW7" s="102" t="s">
        <v>3030</v>
      </c>
      <c r="BX7" s="102" t="s">
        <v>3031</v>
      </c>
      <c r="BY7" s="102" t="s">
        <v>3032</v>
      </c>
      <c r="BZ7" s="102" t="s">
        <v>3033</v>
      </c>
      <c r="CA7" s="102" t="s">
        <v>3034</v>
      </c>
      <c r="CB7" s="102" t="s">
        <v>3035</v>
      </c>
      <c r="CC7" s="102" t="s">
        <v>3036</v>
      </c>
      <c r="CD7" s="102" t="s">
        <v>3037</v>
      </c>
      <c r="CE7" s="102" t="s">
        <v>3038</v>
      </c>
      <c r="CF7" s="102" t="s">
        <v>3039</v>
      </c>
      <c r="CG7" s="102" t="s">
        <v>3040</v>
      </c>
    </row>
    <row r="8" spans="2:86" ht="14.25" customHeight="1">
      <c r="B8" s="106" t="s">
        <v>677</v>
      </c>
      <c r="C8" s="113" t="s">
        <v>2806</v>
      </c>
      <c r="D8" s="106" t="s">
        <v>707</v>
      </c>
      <c r="E8" s="106" t="s">
        <v>1807</v>
      </c>
      <c r="F8" s="109">
        <v>11402.447</v>
      </c>
      <c r="G8" s="109">
        <v>11446.058999999999</v>
      </c>
      <c r="H8" s="117">
        <v>43.611999999999171</v>
      </c>
      <c r="I8" s="102">
        <v>0</v>
      </c>
      <c r="J8" s="115">
        <v>0</v>
      </c>
      <c r="K8" s="102" t="s">
        <v>2966</v>
      </c>
      <c r="L8" s="102" t="s">
        <v>2967</v>
      </c>
      <c r="M8" s="102" t="s">
        <v>2968</v>
      </c>
      <c r="N8" s="102" t="s">
        <v>2969</v>
      </c>
      <c r="O8" s="102" t="s">
        <v>2970</v>
      </c>
      <c r="P8" s="102" t="s">
        <v>2971</v>
      </c>
      <c r="Q8" s="102" t="s">
        <v>2972</v>
      </c>
      <c r="R8" s="102" t="s">
        <v>2973</v>
      </c>
      <c r="S8" s="102" t="s">
        <v>2974</v>
      </c>
      <c r="T8" s="102" t="s">
        <v>2975</v>
      </c>
      <c r="U8" s="102" t="s">
        <v>2976</v>
      </c>
      <c r="V8" s="102" t="s">
        <v>2977</v>
      </c>
      <c r="W8" s="102" t="s">
        <v>2978</v>
      </c>
      <c r="X8" s="102" t="s">
        <v>2979</v>
      </c>
      <c r="Y8" s="102" t="s">
        <v>2980</v>
      </c>
      <c r="Z8" s="102" t="s">
        <v>2798</v>
      </c>
      <c r="AA8" s="102" t="s">
        <v>2798</v>
      </c>
      <c r="AB8" s="102" t="s">
        <v>2798</v>
      </c>
      <c r="AC8" s="102" t="s">
        <v>2798</v>
      </c>
      <c r="AD8" s="102" t="s">
        <v>2798</v>
      </c>
      <c r="AE8" s="102" t="s">
        <v>2798</v>
      </c>
      <c r="AF8" s="102" t="s">
        <v>2798</v>
      </c>
      <c r="AG8" s="102" t="s">
        <v>2798</v>
      </c>
      <c r="AH8" s="102" t="s">
        <v>2798</v>
      </c>
      <c r="AI8" s="102" t="s">
        <v>2798</v>
      </c>
      <c r="AJ8" s="102" t="s">
        <v>2798</v>
      </c>
      <c r="AK8" s="102" t="s">
        <v>2798</v>
      </c>
      <c r="AL8" s="102" t="s">
        <v>2798</v>
      </c>
      <c r="AM8" s="102" t="s">
        <v>2798</v>
      </c>
      <c r="AN8" s="102" t="s">
        <v>2798</v>
      </c>
      <c r="AO8" s="102" t="s">
        <v>2798</v>
      </c>
      <c r="AP8" s="102" t="s">
        <v>2798</v>
      </c>
      <c r="AQ8" s="102" t="s">
        <v>2798</v>
      </c>
      <c r="AR8" s="102" t="s">
        <v>2798</v>
      </c>
      <c r="AS8" s="102" t="s">
        <v>2798</v>
      </c>
      <c r="AT8" s="102" t="s">
        <v>2798</v>
      </c>
      <c r="AU8" s="102" t="s">
        <v>2798</v>
      </c>
      <c r="AV8" s="102" t="s">
        <v>2798</v>
      </c>
      <c r="AW8" s="102" t="s">
        <v>2798</v>
      </c>
      <c r="AX8" s="102" t="s">
        <v>2798</v>
      </c>
      <c r="AY8" s="102" t="s">
        <v>2798</v>
      </c>
      <c r="AZ8" s="102" t="s">
        <v>2798</v>
      </c>
      <c r="BA8" s="102" t="s">
        <v>2798</v>
      </c>
      <c r="BB8" s="102" t="s">
        <v>2798</v>
      </c>
      <c r="BC8" s="102" t="s">
        <v>2798</v>
      </c>
      <c r="BD8" s="102" t="s">
        <v>2798</v>
      </c>
      <c r="BE8" s="102" t="s">
        <v>2798</v>
      </c>
      <c r="BF8" s="102" t="s">
        <v>2798</v>
      </c>
      <c r="BG8" s="102" t="s">
        <v>2798</v>
      </c>
      <c r="BH8" s="102" t="s">
        <v>2798</v>
      </c>
      <c r="BI8" s="102" t="s">
        <v>2798</v>
      </c>
      <c r="BJ8" s="102" t="s">
        <v>2798</v>
      </c>
      <c r="BK8" s="102" t="s">
        <v>2798</v>
      </c>
      <c r="BL8" s="102" t="s">
        <v>2798</v>
      </c>
      <c r="BM8" s="102" t="s">
        <v>2798</v>
      </c>
      <c r="BN8" s="102" t="s">
        <v>2798</v>
      </c>
      <c r="BO8" s="102" t="s">
        <v>2798</v>
      </c>
      <c r="BP8" s="102" t="s">
        <v>2798</v>
      </c>
      <c r="BQ8" s="102" t="s">
        <v>2798</v>
      </c>
      <c r="BR8" s="102" t="s">
        <v>2798</v>
      </c>
      <c r="BS8" s="102" t="s">
        <v>2798</v>
      </c>
      <c r="BT8" s="102" t="s">
        <v>2798</v>
      </c>
      <c r="BU8" s="102" t="s">
        <v>2798</v>
      </c>
      <c r="BV8" s="102" t="s">
        <v>2798</v>
      </c>
      <c r="BW8" s="102" t="s">
        <v>2798</v>
      </c>
      <c r="BX8" s="102" t="s">
        <v>2798</v>
      </c>
      <c r="BY8" s="102" t="s">
        <v>2798</v>
      </c>
      <c r="BZ8" s="102" t="s">
        <v>2798</v>
      </c>
      <c r="CA8" s="102" t="s">
        <v>2798</v>
      </c>
      <c r="CB8" s="102" t="s">
        <v>2798</v>
      </c>
      <c r="CC8" s="102" t="s">
        <v>2798</v>
      </c>
      <c r="CD8" s="102" t="s">
        <v>2798</v>
      </c>
      <c r="CE8" s="102" t="s">
        <v>2798</v>
      </c>
      <c r="CF8" s="102" t="s">
        <v>2798</v>
      </c>
      <c r="CG8" s="102" t="s">
        <v>2798</v>
      </c>
    </row>
    <row r="9" spans="2:86" ht="14.25" customHeight="1">
      <c r="B9" s="106" t="s">
        <v>677</v>
      </c>
      <c r="C9" s="113" t="s">
        <v>2807</v>
      </c>
      <c r="D9" s="106" t="s">
        <v>707</v>
      </c>
      <c r="E9" s="106" t="s">
        <v>1807</v>
      </c>
      <c r="F9" s="109">
        <v>11446.058999999999</v>
      </c>
      <c r="G9" s="109">
        <v>11489.671</v>
      </c>
      <c r="H9" s="117">
        <v>43.61200000000099</v>
      </c>
      <c r="I9" s="102">
        <v>0</v>
      </c>
      <c r="J9" s="115">
        <v>0</v>
      </c>
      <c r="K9" s="102" t="s">
        <v>2798</v>
      </c>
      <c r="L9" s="102" t="s">
        <v>2798</v>
      </c>
      <c r="M9" s="102" t="s">
        <v>2798</v>
      </c>
      <c r="N9" s="102" t="s">
        <v>2798</v>
      </c>
      <c r="O9" s="102" t="s">
        <v>2798</v>
      </c>
      <c r="P9" s="102" t="s">
        <v>2798</v>
      </c>
      <c r="Q9" s="102" t="s">
        <v>2798</v>
      </c>
      <c r="R9" s="102" t="s">
        <v>2798</v>
      </c>
      <c r="S9" s="102" t="s">
        <v>2798</v>
      </c>
      <c r="T9" s="102" t="s">
        <v>2798</v>
      </c>
      <c r="U9" s="102" t="s">
        <v>2798</v>
      </c>
      <c r="V9" s="102" t="s">
        <v>2798</v>
      </c>
      <c r="W9" s="102" t="s">
        <v>2798</v>
      </c>
      <c r="X9" s="102" t="s">
        <v>2798</v>
      </c>
      <c r="Y9" s="102" t="s">
        <v>2798</v>
      </c>
      <c r="Z9" s="102" t="s">
        <v>2981</v>
      </c>
      <c r="AA9" s="102" t="s">
        <v>2982</v>
      </c>
      <c r="AB9" s="102" t="s">
        <v>2983</v>
      </c>
      <c r="AC9" s="102" t="s">
        <v>2984</v>
      </c>
      <c r="AD9" s="102" t="s">
        <v>2985</v>
      </c>
      <c r="AE9" s="102" t="s">
        <v>2986</v>
      </c>
      <c r="AF9" s="102" t="s">
        <v>2987</v>
      </c>
      <c r="AG9" s="102" t="s">
        <v>2988</v>
      </c>
      <c r="AH9" s="102" t="s">
        <v>2989</v>
      </c>
      <c r="AI9" s="102" t="s">
        <v>2990</v>
      </c>
      <c r="AJ9" s="102" t="s">
        <v>2991</v>
      </c>
      <c r="AK9" s="102" t="s">
        <v>2992</v>
      </c>
      <c r="AL9" s="102" t="s">
        <v>2993</v>
      </c>
      <c r="AM9" s="102" t="s">
        <v>2994</v>
      </c>
      <c r="AN9" s="102" t="s">
        <v>2995</v>
      </c>
      <c r="AO9" s="102" t="s">
        <v>2798</v>
      </c>
      <c r="AP9" s="102" t="s">
        <v>2798</v>
      </c>
      <c r="AQ9" s="102" t="s">
        <v>2798</v>
      </c>
      <c r="AR9" s="102" t="s">
        <v>2798</v>
      </c>
      <c r="AS9" s="102" t="s">
        <v>2798</v>
      </c>
      <c r="AT9" s="102" t="s">
        <v>2798</v>
      </c>
      <c r="AU9" s="102" t="s">
        <v>2798</v>
      </c>
      <c r="AV9" s="102" t="s">
        <v>2798</v>
      </c>
      <c r="AW9" s="102" t="s">
        <v>2798</v>
      </c>
      <c r="AX9" s="102" t="s">
        <v>2798</v>
      </c>
      <c r="AY9" s="102" t="s">
        <v>2798</v>
      </c>
      <c r="AZ9" s="102" t="s">
        <v>2798</v>
      </c>
      <c r="BA9" s="102" t="s">
        <v>2798</v>
      </c>
      <c r="BB9" s="102" t="s">
        <v>2798</v>
      </c>
      <c r="BC9" s="102" t="s">
        <v>2798</v>
      </c>
      <c r="BD9" s="102" t="s">
        <v>2798</v>
      </c>
      <c r="BE9" s="102" t="s">
        <v>2798</v>
      </c>
      <c r="BF9" s="102" t="s">
        <v>2798</v>
      </c>
      <c r="BG9" s="102" t="s">
        <v>2798</v>
      </c>
      <c r="BH9" s="102" t="s">
        <v>2798</v>
      </c>
      <c r="BI9" s="102" t="s">
        <v>2798</v>
      </c>
      <c r="BJ9" s="102" t="s">
        <v>2798</v>
      </c>
      <c r="BK9" s="102" t="s">
        <v>2798</v>
      </c>
      <c r="BL9" s="102" t="s">
        <v>2798</v>
      </c>
      <c r="BM9" s="102" t="s">
        <v>2798</v>
      </c>
      <c r="BN9" s="102" t="s">
        <v>2798</v>
      </c>
      <c r="BO9" s="102" t="s">
        <v>2798</v>
      </c>
      <c r="BP9" s="102" t="s">
        <v>2798</v>
      </c>
      <c r="BQ9" s="102" t="s">
        <v>2798</v>
      </c>
      <c r="BR9" s="102" t="s">
        <v>2798</v>
      </c>
      <c r="BS9" s="102" t="s">
        <v>2798</v>
      </c>
      <c r="BT9" s="102" t="s">
        <v>2798</v>
      </c>
      <c r="BU9" s="102" t="s">
        <v>2798</v>
      </c>
      <c r="BV9" s="102" t="s">
        <v>2798</v>
      </c>
      <c r="BW9" s="102" t="s">
        <v>2798</v>
      </c>
      <c r="BX9" s="102" t="s">
        <v>2798</v>
      </c>
      <c r="BY9" s="102" t="s">
        <v>2798</v>
      </c>
      <c r="BZ9" s="102" t="s">
        <v>2798</v>
      </c>
      <c r="CA9" s="102" t="s">
        <v>2798</v>
      </c>
      <c r="CB9" s="102" t="s">
        <v>2798</v>
      </c>
      <c r="CC9" s="102" t="s">
        <v>2798</v>
      </c>
      <c r="CD9" s="102" t="s">
        <v>2798</v>
      </c>
      <c r="CE9" s="102" t="s">
        <v>2798</v>
      </c>
      <c r="CF9" s="102" t="s">
        <v>2798</v>
      </c>
      <c r="CG9" s="102" t="s">
        <v>2798</v>
      </c>
    </row>
    <row r="10" spans="2:86" ht="14.25" customHeight="1">
      <c r="B10" s="106" t="s">
        <v>677</v>
      </c>
      <c r="C10" s="113" t="s">
        <v>2808</v>
      </c>
      <c r="D10" s="106" t="s">
        <v>707</v>
      </c>
      <c r="E10" s="106" t="s">
        <v>1807</v>
      </c>
      <c r="F10" s="109">
        <v>11489.671</v>
      </c>
      <c r="G10" s="109">
        <v>11533.282999999999</v>
      </c>
      <c r="H10" s="117">
        <v>43.611999999999171</v>
      </c>
      <c r="I10" s="102">
        <v>0</v>
      </c>
      <c r="J10" s="115">
        <v>0</v>
      </c>
      <c r="K10" s="102" t="s">
        <v>2798</v>
      </c>
      <c r="L10" s="102" t="s">
        <v>2798</v>
      </c>
      <c r="M10" s="102" t="s">
        <v>2798</v>
      </c>
      <c r="N10" s="102" t="s">
        <v>2798</v>
      </c>
      <c r="O10" s="102" t="s">
        <v>2798</v>
      </c>
      <c r="P10" s="102" t="s">
        <v>2798</v>
      </c>
      <c r="Q10" s="102" t="s">
        <v>2798</v>
      </c>
      <c r="R10" s="102" t="s">
        <v>2798</v>
      </c>
      <c r="S10" s="102" t="s">
        <v>2798</v>
      </c>
      <c r="T10" s="102" t="s">
        <v>2798</v>
      </c>
      <c r="U10" s="102" t="s">
        <v>2798</v>
      </c>
      <c r="V10" s="102" t="s">
        <v>2798</v>
      </c>
      <c r="W10" s="102" t="s">
        <v>2798</v>
      </c>
      <c r="X10" s="102" t="s">
        <v>2798</v>
      </c>
      <c r="Y10" s="102" t="s">
        <v>2798</v>
      </c>
      <c r="Z10" s="102" t="s">
        <v>2798</v>
      </c>
      <c r="AA10" s="102" t="s">
        <v>2798</v>
      </c>
      <c r="AB10" s="102" t="s">
        <v>2798</v>
      </c>
      <c r="AC10" s="102" t="s">
        <v>2798</v>
      </c>
      <c r="AD10" s="102" t="s">
        <v>2798</v>
      </c>
      <c r="AE10" s="102" t="s">
        <v>2798</v>
      </c>
      <c r="AF10" s="102" t="s">
        <v>2798</v>
      </c>
      <c r="AG10" s="102" t="s">
        <v>2798</v>
      </c>
      <c r="AH10" s="102" t="s">
        <v>2798</v>
      </c>
      <c r="AI10" s="102" t="s">
        <v>2798</v>
      </c>
      <c r="AJ10" s="102" t="s">
        <v>2798</v>
      </c>
      <c r="AK10" s="102" t="s">
        <v>2798</v>
      </c>
      <c r="AL10" s="102" t="s">
        <v>2798</v>
      </c>
      <c r="AM10" s="102" t="s">
        <v>2798</v>
      </c>
      <c r="AN10" s="102" t="s">
        <v>2798</v>
      </c>
      <c r="AO10" s="102" t="s">
        <v>2996</v>
      </c>
      <c r="AP10" s="102" t="s">
        <v>2997</v>
      </c>
      <c r="AQ10" s="102" t="s">
        <v>2998</v>
      </c>
      <c r="AR10" s="102" t="s">
        <v>2999</v>
      </c>
      <c r="AS10" s="102" t="s">
        <v>3000</v>
      </c>
      <c r="AT10" s="102" t="s">
        <v>3001</v>
      </c>
      <c r="AU10" s="102" t="s">
        <v>3002</v>
      </c>
      <c r="AV10" s="102" t="s">
        <v>3003</v>
      </c>
      <c r="AW10" s="102" t="s">
        <v>3004</v>
      </c>
      <c r="AX10" s="102" t="s">
        <v>3005</v>
      </c>
      <c r="AY10" s="102" t="s">
        <v>3006</v>
      </c>
      <c r="AZ10" s="102" t="s">
        <v>3007</v>
      </c>
      <c r="BA10" s="102" t="s">
        <v>3008</v>
      </c>
      <c r="BB10" s="102" t="s">
        <v>3009</v>
      </c>
      <c r="BC10" s="102" t="s">
        <v>3010</v>
      </c>
      <c r="BD10" s="102" t="s">
        <v>2798</v>
      </c>
      <c r="BE10" s="102" t="s">
        <v>2798</v>
      </c>
      <c r="BF10" s="102" t="s">
        <v>2798</v>
      </c>
      <c r="BG10" s="102" t="s">
        <v>2798</v>
      </c>
      <c r="BH10" s="102" t="s">
        <v>2798</v>
      </c>
      <c r="BI10" s="102" t="s">
        <v>2798</v>
      </c>
      <c r="BJ10" s="102" t="s">
        <v>2798</v>
      </c>
      <c r="BK10" s="102" t="s">
        <v>2798</v>
      </c>
      <c r="BL10" s="102" t="s">
        <v>2798</v>
      </c>
      <c r="BM10" s="102" t="s">
        <v>2798</v>
      </c>
      <c r="BN10" s="102" t="s">
        <v>2798</v>
      </c>
      <c r="BO10" s="102" t="s">
        <v>2798</v>
      </c>
      <c r="BP10" s="102" t="s">
        <v>2798</v>
      </c>
      <c r="BQ10" s="102" t="s">
        <v>2798</v>
      </c>
      <c r="BR10" s="102" t="s">
        <v>2798</v>
      </c>
      <c r="BS10" s="102" t="s">
        <v>2798</v>
      </c>
      <c r="BT10" s="102" t="s">
        <v>2798</v>
      </c>
      <c r="BU10" s="102" t="s">
        <v>2798</v>
      </c>
      <c r="BV10" s="102" t="s">
        <v>2798</v>
      </c>
      <c r="BW10" s="102" t="s">
        <v>2798</v>
      </c>
      <c r="BX10" s="102" t="s">
        <v>2798</v>
      </c>
      <c r="BY10" s="102" t="s">
        <v>2798</v>
      </c>
      <c r="BZ10" s="102" t="s">
        <v>2798</v>
      </c>
      <c r="CA10" s="102" t="s">
        <v>2798</v>
      </c>
      <c r="CB10" s="102" t="s">
        <v>2798</v>
      </c>
      <c r="CC10" s="102" t="s">
        <v>2798</v>
      </c>
      <c r="CD10" s="102" t="s">
        <v>2798</v>
      </c>
      <c r="CE10" s="102" t="s">
        <v>2798</v>
      </c>
      <c r="CF10" s="102" t="s">
        <v>2798</v>
      </c>
      <c r="CG10" s="102" t="s">
        <v>2798</v>
      </c>
    </row>
    <row r="11" spans="2:86" ht="14.25" customHeight="1">
      <c r="B11" s="106" t="s">
        <v>677</v>
      </c>
      <c r="C11" s="113" t="s">
        <v>2809</v>
      </c>
      <c r="D11" s="106" t="s">
        <v>707</v>
      </c>
      <c r="E11" s="106" t="s">
        <v>1807</v>
      </c>
      <c r="F11" s="109">
        <v>11533.282999999999</v>
      </c>
      <c r="G11" s="109">
        <v>11576.896000000001</v>
      </c>
      <c r="H11" s="117">
        <v>43.613000000001193</v>
      </c>
      <c r="I11" s="102">
        <v>0</v>
      </c>
      <c r="J11" s="115">
        <v>0</v>
      </c>
      <c r="K11" s="102" t="s">
        <v>2798</v>
      </c>
      <c r="L11" s="102" t="s">
        <v>2798</v>
      </c>
      <c r="M11" s="102" t="s">
        <v>2798</v>
      </c>
      <c r="N11" s="102" t="s">
        <v>2798</v>
      </c>
      <c r="O11" s="102" t="s">
        <v>2798</v>
      </c>
      <c r="P11" s="102" t="s">
        <v>2798</v>
      </c>
      <c r="Q11" s="102" t="s">
        <v>2798</v>
      </c>
      <c r="R11" s="102" t="s">
        <v>2798</v>
      </c>
      <c r="S11" s="102" t="s">
        <v>2798</v>
      </c>
      <c r="T11" s="102" t="s">
        <v>2798</v>
      </c>
      <c r="U11" s="102" t="s">
        <v>2798</v>
      </c>
      <c r="V11" s="102" t="s">
        <v>2798</v>
      </c>
      <c r="W11" s="102" t="s">
        <v>2798</v>
      </c>
      <c r="X11" s="102" t="s">
        <v>2798</v>
      </c>
      <c r="Y11" s="102" t="s">
        <v>2798</v>
      </c>
      <c r="Z11" s="102" t="s">
        <v>2798</v>
      </c>
      <c r="AA11" s="102" t="s">
        <v>2798</v>
      </c>
      <c r="AB11" s="102" t="s">
        <v>2798</v>
      </c>
      <c r="AC11" s="102" t="s">
        <v>2798</v>
      </c>
      <c r="AD11" s="102" t="s">
        <v>2798</v>
      </c>
      <c r="AE11" s="102" t="s">
        <v>2798</v>
      </c>
      <c r="AF11" s="102" t="s">
        <v>2798</v>
      </c>
      <c r="AG11" s="102" t="s">
        <v>2798</v>
      </c>
      <c r="AH11" s="102" t="s">
        <v>2798</v>
      </c>
      <c r="AI11" s="102" t="s">
        <v>2798</v>
      </c>
      <c r="AJ11" s="102" t="s">
        <v>2798</v>
      </c>
      <c r="AK11" s="102" t="s">
        <v>2798</v>
      </c>
      <c r="AL11" s="102" t="s">
        <v>2798</v>
      </c>
      <c r="AM11" s="102" t="s">
        <v>2798</v>
      </c>
      <c r="AN11" s="102" t="s">
        <v>2798</v>
      </c>
      <c r="AO11" s="102" t="s">
        <v>2798</v>
      </c>
      <c r="AP11" s="102" t="s">
        <v>2798</v>
      </c>
      <c r="AQ11" s="102" t="s">
        <v>2798</v>
      </c>
      <c r="AR11" s="102" t="s">
        <v>2798</v>
      </c>
      <c r="AS11" s="102" t="s">
        <v>2798</v>
      </c>
      <c r="AT11" s="102" t="s">
        <v>2798</v>
      </c>
      <c r="AU11" s="102" t="s">
        <v>2798</v>
      </c>
      <c r="AV11" s="102" t="s">
        <v>2798</v>
      </c>
      <c r="AW11" s="102" t="s">
        <v>2798</v>
      </c>
      <c r="AX11" s="102" t="s">
        <v>2798</v>
      </c>
      <c r="AY11" s="102" t="s">
        <v>2798</v>
      </c>
      <c r="AZ11" s="102" t="s">
        <v>2798</v>
      </c>
      <c r="BA11" s="102" t="s">
        <v>2798</v>
      </c>
      <c r="BB11" s="102" t="s">
        <v>2798</v>
      </c>
      <c r="BC11" s="102" t="s">
        <v>2798</v>
      </c>
      <c r="BD11" s="102" t="s">
        <v>3011</v>
      </c>
      <c r="BE11" s="102" t="s">
        <v>3012</v>
      </c>
      <c r="BF11" s="102" t="s">
        <v>3013</v>
      </c>
      <c r="BG11" s="102" t="s">
        <v>3014</v>
      </c>
      <c r="BH11" s="102" t="s">
        <v>3015</v>
      </c>
      <c r="BI11" s="102" t="s">
        <v>3016</v>
      </c>
      <c r="BJ11" s="102" t="s">
        <v>3017</v>
      </c>
      <c r="BK11" s="102" t="s">
        <v>3018</v>
      </c>
      <c r="BL11" s="102" t="s">
        <v>3019</v>
      </c>
      <c r="BM11" s="102" t="s">
        <v>3020</v>
      </c>
      <c r="BN11" s="102" t="s">
        <v>3021</v>
      </c>
      <c r="BO11" s="102" t="s">
        <v>3022</v>
      </c>
      <c r="BP11" s="102" t="s">
        <v>3023</v>
      </c>
      <c r="BQ11" s="102" t="s">
        <v>3024</v>
      </c>
      <c r="BR11" s="102" t="s">
        <v>3025</v>
      </c>
      <c r="BS11" s="102" t="s">
        <v>2798</v>
      </c>
      <c r="BT11" s="102" t="s">
        <v>2798</v>
      </c>
      <c r="BU11" s="102" t="s">
        <v>2798</v>
      </c>
      <c r="BV11" s="102" t="s">
        <v>2798</v>
      </c>
      <c r="BW11" s="102" t="s">
        <v>2798</v>
      </c>
      <c r="BX11" s="102" t="s">
        <v>2798</v>
      </c>
      <c r="BY11" s="102" t="s">
        <v>2798</v>
      </c>
      <c r="BZ11" s="102" t="s">
        <v>2798</v>
      </c>
      <c r="CA11" s="102" t="s">
        <v>2798</v>
      </c>
      <c r="CB11" s="102" t="s">
        <v>2798</v>
      </c>
      <c r="CC11" s="102" t="s">
        <v>2798</v>
      </c>
      <c r="CD11" s="102" t="s">
        <v>2798</v>
      </c>
      <c r="CE11" s="102" t="s">
        <v>2798</v>
      </c>
      <c r="CF11" s="102" t="s">
        <v>2798</v>
      </c>
      <c r="CG11" s="102" t="s">
        <v>2798</v>
      </c>
    </row>
    <row r="12" spans="2:86" ht="14.25" customHeight="1">
      <c r="B12" s="106" t="s">
        <v>677</v>
      </c>
      <c r="C12" s="113" t="s">
        <v>2810</v>
      </c>
      <c r="D12" s="106" t="s">
        <v>707</v>
      </c>
      <c r="E12" s="106" t="s">
        <v>1807</v>
      </c>
      <c r="F12" s="109">
        <v>11576.896000000001</v>
      </c>
      <c r="G12" s="109">
        <v>11617.522999999999</v>
      </c>
      <c r="H12" s="117">
        <v>40.626999999998588</v>
      </c>
      <c r="I12" s="102">
        <v>0</v>
      </c>
      <c r="J12" s="115">
        <v>0</v>
      </c>
      <c r="K12" s="102" t="s">
        <v>2798</v>
      </c>
      <c r="L12" s="102" t="s">
        <v>2798</v>
      </c>
      <c r="M12" s="102" t="s">
        <v>2798</v>
      </c>
      <c r="N12" s="102" t="s">
        <v>2798</v>
      </c>
      <c r="O12" s="102" t="s">
        <v>2798</v>
      </c>
      <c r="P12" s="102" t="s">
        <v>2798</v>
      </c>
      <c r="Q12" s="102" t="s">
        <v>2798</v>
      </c>
      <c r="R12" s="102" t="s">
        <v>2798</v>
      </c>
      <c r="S12" s="102" t="s">
        <v>2798</v>
      </c>
      <c r="T12" s="102" t="s">
        <v>2798</v>
      </c>
      <c r="U12" s="102" t="s">
        <v>2798</v>
      </c>
      <c r="V12" s="102" t="s">
        <v>2798</v>
      </c>
      <c r="W12" s="102" t="s">
        <v>2798</v>
      </c>
      <c r="X12" s="102" t="s">
        <v>2798</v>
      </c>
      <c r="Y12" s="102" t="s">
        <v>2798</v>
      </c>
      <c r="Z12" s="102" t="s">
        <v>2798</v>
      </c>
      <c r="AA12" s="102" t="s">
        <v>2798</v>
      </c>
      <c r="AB12" s="102" t="s">
        <v>2798</v>
      </c>
      <c r="AC12" s="102" t="s">
        <v>2798</v>
      </c>
      <c r="AD12" s="102" t="s">
        <v>2798</v>
      </c>
      <c r="AE12" s="102" t="s">
        <v>2798</v>
      </c>
      <c r="AF12" s="102" t="s">
        <v>2798</v>
      </c>
      <c r="AG12" s="102" t="s">
        <v>2798</v>
      </c>
      <c r="AH12" s="102" t="s">
        <v>2798</v>
      </c>
      <c r="AI12" s="102" t="s">
        <v>2798</v>
      </c>
      <c r="AJ12" s="102" t="s">
        <v>2798</v>
      </c>
      <c r="AK12" s="102" t="s">
        <v>2798</v>
      </c>
      <c r="AL12" s="102" t="s">
        <v>2798</v>
      </c>
      <c r="AM12" s="102" t="s">
        <v>2798</v>
      </c>
      <c r="AN12" s="102" t="s">
        <v>2798</v>
      </c>
      <c r="AO12" s="102" t="s">
        <v>2798</v>
      </c>
      <c r="AP12" s="102" t="s">
        <v>2798</v>
      </c>
      <c r="AQ12" s="102" t="s">
        <v>2798</v>
      </c>
      <c r="AR12" s="102" t="s">
        <v>2798</v>
      </c>
      <c r="AS12" s="102" t="s">
        <v>2798</v>
      </c>
      <c r="AT12" s="102" t="s">
        <v>2798</v>
      </c>
      <c r="AU12" s="102" t="s">
        <v>2798</v>
      </c>
      <c r="AV12" s="102" t="s">
        <v>2798</v>
      </c>
      <c r="AW12" s="102" t="s">
        <v>2798</v>
      </c>
      <c r="AX12" s="102" t="s">
        <v>2798</v>
      </c>
      <c r="AY12" s="102" t="s">
        <v>2798</v>
      </c>
      <c r="AZ12" s="102" t="s">
        <v>2798</v>
      </c>
      <c r="BA12" s="102" t="s">
        <v>2798</v>
      </c>
      <c r="BB12" s="102" t="s">
        <v>2798</v>
      </c>
      <c r="BC12" s="102" t="s">
        <v>2798</v>
      </c>
      <c r="BD12" s="102" t="s">
        <v>2798</v>
      </c>
      <c r="BE12" s="102" t="s">
        <v>2798</v>
      </c>
      <c r="BF12" s="102" t="s">
        <v>2798</v>
      </c>
      <c r="BG12" s="102" t="s">
        <v>2798</v>
      </c>
      <c r="BH12" s="102" t="s">
        <v>2798</v>
      </c>
      <c r="BI12" s="102" t="s">
        <v>2798</v>
      </c>
      <c r="BJ12" s="102" t="s">
        <v>2798</v>
      </c>
      <c r="BK12" s="102" t="s">
        <v>2798</v>
      </c>
      <c r="BL12" s="102" t="s">
        <v>2798</v>
      </c>
      <c r="BM12" s="102" t="s">
        <v>2798</v>
      </c>
      <c r="BN12" s="102" t="s">
        <v>2798</v>
      </c>
      <c r="BO12" s="102" t="s">
        <v>2798</v>
      </c>
      <c r="BP12" s="102" t="s">
        <v>2798</v>
      </c>
      <c r="BQ12" s="102" t="s">
        <v>2798</v>
      </c>
      <c r="BR12" s="102" t="s">
        <v>2798</v>
      </c>
      <c r="BS12" s="102" t="s">
        <v>3026</v>
      </c>
      <c r="BT12" s="102" t="s">
        <v>3027</v>
      </c>
      <c r="BU12" s="102" t="s">
        <v>3028</v>
      </c>
      <c r="BV12" s="102" t="s">
        <v>3029</v>
      </c>
      <c r="BW12" s="102" t="s">
        <v>3030</v>
      </c>
      <c r="BX12" s="102" t="s">
        <v>3031</v>
      </c>
      <c r="BY12" s="102" t="s">
        <v>3032</v>
      </c>
      <c r="BZ12" s="102" t="s">
        <v>2798</v>
      </c>
      <c r="CA12" s="102" t="s">
        <v>3034</v>
      </c>
      <c r="CB12" s="102" t="s">
        <v>3035</v>
      </c>
      <c r="CC12" s="102" t="s">
        <v>3036</v>
      </c>
      <c r="CD12" s="102" t="s">
        <v>3037</v>
      </c>
      <c r="CE12" s="102" t="s">
        <v>3038</v>
      </c>
      <c r="CF12" s="102" t="s">
        <v>3039</v>
      </c>
      <c r="CG12" s="102" t="s">
        <v>3040</v>
      </c>
    </row>
    <row r="13" spans="2:86" ht="14.25" customHeight="1">
      <c r="B13" s="106" t="s">
        <v>61</v>
      </c>
      <c r="C13" s="113" t="s">
        <v>2867</v>
      </c>
      <c r="D13" s="106" t="s">
        <v>707</v>
      </c>
      <c r="E13" s="106" t="s">
        <v>2112</v>
      </c>
      <c r="F13" s="109">
        <v>14311.27</v>
      </c>
      <c r="G13" s="109">
        <v>14349.23</v>
      </c>
      <c r="H13" s="117">
        <v>37.959999999999127</v>
      </c>
      <c r="I13" s="102">
        <v>0</v>
      </c>
      <c r="J13" s="115">
        <v>0</v>
      </c>
      <c r="K13" s="102" t="s">
        <v>2966</v>
      </c>
      <c r="L13" s="102" t="s">
        <v>2967</v>
      </c>
      <c r="M13" s="102" t="s">
        <v>2968</v>
      </c>
      <c r="N13" s="102" t="s">
        <v>2969</v>
      </c>
      <c r="O13" s="102" t="s">
        <v>2970</v>
      </c>
      <c r="P13" s="102" t="s">
        <v>2971</v>
      </c>
      <c r="Q13" s="102" t="s">
        <v>2972</v>
      </c>
      <c r="R13" s="102" t="s">
        <v>2973</v>
      </c>
      <c r="S13" s="102" t="s">
        <v>2974</v>
      </c>
      <c r="T13" s="102" t="s">
        <v>2975</v>
      </c>
      <c r="U13" s="102" t="s">
        <v>2976</v>
      </c>
      <c r="V13" s="102" t="s">
        <v>2977</v>
      </c>
      <c r="W13" s="102" t="s">
        <v>2978</v>
      </c>
      <c r="X13" s="102" t="s">
        <v>2798</v>
      </c>
      <c r="Y13" s="102" t="s">
        <v>2798</v>
      </c>
      <c r="Z13" s="102" t="s">
        <v>2798</v>
      </c>
      <c r="AA13" s="102" t="s">
        <v>2798</v>
      </c>
      <c r="AB13" s="102" t="s">
        <v>2798</v>
      </c>
      <c r="AC13" s="102" t="s">
        <v>2798</v>
      </c>
      <c r="AD13" s="102" t="s">
        <v>2798</v>
      </c>
      <c r="AE13" s="102" t="s">
        <v>2798</v>
      </c>
      <c r="AF13" s="102" t="s">
        <v>2798</v>
      </c>
      <c r="AG13" s="102" t="s">
        <v>2798</v>
      </c>
      <c r="AH13" s="102" t="s">
        <v>2798</v>
      </c>
      <c r="AI13" s="102" t="s">
        <v>2798</v>
      </c>
      <c r="AJ13" s="102" t="s">
        <v>2798</v>
      </c>
      <c r="AK13" s="102" t="s">
        <v>2798</v>
      </c>
      <c r="AL13" s="102" t="s">
        <v>2798</v>
      </c>
      <c r="AM13" s="102" t="s">
        <v>2798</v>
      </c>
      <c r="AN13" s="102" t="s">
        <v>2798</v>
      </c>
      <c r="AO13" s="102" t="s">
        <v>2798</v>
      </c>
      <c r="AP13" s="102" t="s">
        <v>2798</v>
      </c>
      <c r="AQ13" s="102" t="s">
        <v>2798</v>
      </c>
      <c r="AR13" s="102" t="s">
        <v>2798</v>
      </c>
      <c r="AS13" s="102" t="s">
        <v>2798</v>
      </c>
      <c r="AT13" s="102" t="s">
        <v>2798</v>
      </c>
      <c r="AU13" s="102" t="s">
        <v>2798</v>
      </c>
      <c r="AV13" s="102" t="s">
        <v>2798</v>
      </c>
      <c r="AW13" s="102" t="s">
        <v>2798</v>
      </c>
      <c r="AX13" s="102" t="s">
        <v>2798</v>
      </c>
      <c r="AY13" s="102" t="s">
        <v>2798</v>
      </c>
      <c r="AZ13" s="102" t="s">
        <v>2798</v>
      </c>
      <c r="BA13" s="102" t="s">
        <v>2798</v>
      </c>
      <c r="BB13" s="102" t="s">
        <v>2798</v>
      </c>
      <c r="BC13" s="102" t="s">
        <v>2798</v>
      </c>
      <c r="BD13" s="102" t="s">
        <v>2798</v>
      </c>
      <c r="BE13" s="102" t="s">
        <v>2798</v>
      </c>
      <c r="BF13" s="102" t="s">
        <v>2798</v>
      </c>
      <c r="BG13" s="102" t="s">
        <v>2798</v>
      </c>
      <c r="BH13" s="102" t="s">
        <v>2798</v>
      </c>
      <c r="BI13" s="102" t="s">
        <v>2798</v>
      </c>
      <c r="BJ13" s="102" t="s">
        <v>2798</v>
      </c>
      <c r="BK13" s="102" t="s">
        <v>2798</v>
      </c>
      <c r="BL13" s="102" t="s">
        <v>2798</v>
      </c>
      <c r="BM13" s="102" t="s">
        <v>2798</v>
      </c>
      <c r="BN13" s="102" t="s">
        <v>2798</v>
      </c>
      <c r="BO13" s="102" t="s">
        <v>2798</v>
      </c>
      <c r="BP13" s="102" t="s">
        <v>2798</v>
      </c>
      <c r="BQ13" s="102" t="s">
        <v>2798</v>
      </c>
      <c r="BR13" s="102" t="s">
        <v>2798</v>
      </c>
      <c r="BS13" s="102" t="s">
        <v>2798</v>
      </c>
      <c r="BT13" s="102" t="s">
        <v>2798</v>
      </c>
      <c r="BU13" s="102" t="s">
        <v>2798</v>
      </c>
      <c r="BV13" s="102" t="s">
        <v>2798</v>
      </c>
      <c r="BW13" s="102" t="s">
        <v>2798</v>
      </c>
      <c r="BX13" s="102" t="s">
        <v>2798</v>
      </c>
      <c r="BY13" s="102" t="s">
        <v>2798</v>
      </c>
      <c r="BZ13" s="102" t="s">
        <v>2798</v>
      </c>
      <c r="CA13" s="102" t="s">
        <v>2798</v>
      </c>
      <c r="CB13" s="102" t="s">
        <v>2798</v>
      </c>
      <c r="CC13" s="102" t="s">
        <v>2798</v>
      </c>
      <c r="CD13" s="102" t="s">
        <v>2798</v>
      </c>
      <c r="CE13" s="102" t="s">
        <v>2798</v>
      </c>
      <c r="CF13" s="102" t="s">
        <v>2798</v>
      </c>
      <c r="CG13" s="102" t="s">
        <v>2798</v>
      </c>
    </row>
    <row r="14" spans="2:86" ht="14.25" customHeight="1">
      <c r="B14" s="106" t="s">
        <v>61</v>
      </c>
      <c r="C14" s="113" t="s">
        <v>2868</v>
      </c>
      <c r="D14" s="106" t="s">
        <v>707</v>
      </c>
      <c r="E14" s="106" t="s">
        <v>2112</v>
      </c>
      <c r="F14" s="109">
        <v>14349.23</v>
      </c>
      <c r="G14" s="109">
        <v>14387.19</v>
      </c>
      <c r="H14" s="117">
        <v>37.960000000000946</v>
      </c>
      <c r="I14" s="102">
        <v>0</v>
      </c>
      <c r="J14" s="115">
        <v>0</v>
      </c>
      <c r="K14" s="102" t="s">
        <v>2798</v>
      </c>
      <c r="L14" s="102" t="s">
        <v>2798</v>
      </c>
      <c r="M14" s="102" t="s">
        <v>2798</v>
      </c>
      <c r="N14" s="102" t="s">
        <v>2798</v>
      </c>
      <c r="O14" s="102" t="s">
        <v>2798</v>
      </c>
      <c r="P14" s="102" t="s">
        <v>2798</v>
      </c>
      <c r="Q14" s="102" t="s">
        <v>2798</v>
      </c>
      <c r="R14" s="102" t="s">
        <v>2798</v>
      </c>
      <c r="S14" s="102" t="s">
        <v>2798</v>
      </c>
      <c r="T14" s="102" t="s">
        <v>2798</v>
      </c>
      <c r="U14" s="102" t="s">
        <v>2798</v>
      </c>
      <c r="V14" s="102" t="s">
        <v>2798</v>
      </c>
      <c r="W14" s="102" t="s">
        <v>2798</v>
      </c>
      <c r="X14" s="102" t="s">
        <v>2979</v>
      </c>
      <c r="Y14" s="102" t="s">
        <v>2980</v>
      </c>
      <c r="Z14" s="102" t="s">
        <v>2981</v>
      </c>
      <c r="AA14" s="102" t="s">
        <v>2982</v>
      </c>
      <c r="AB14" s="102" t="s">
        <v>2983</v>
      </c>
      <c r="AC14" s="102" t="s">
        <v>2984</v>
      </c>
      <c r="AD14" s="102" t="s">
        <v>2985</v>
      </c>
      <c r="AE14" s="102" t="s">
        <v>2798</v>
      </c>
      <c r="AF14" s="102" t="s">
        <v>2798</v>
      </c>
      <c r="AG14" s="102" t="s">
        <v>2798</v>
      </c>
      <c r="AH14" s="102" t="s">
        <v>2798</v>
      </c>
      <c r="AI14" s="102" t="s">
        <v>2798</v>
      </c>
      <c r="AJ14" s="102" t="s">
        <v>2798</v>
      </c>
      <c r="AK14" s="102" t="s">
        <v>2798</v>
      </c>
      <c r="AL14" s="102" t="s">
        <v>2798</v>
      </c>
      <c r="AM14" s="102" t="s">
        <v>2798</v>
      </c>
      <c r="AN14" s="102" t="s">
        <v>2798</v>
      </c>
      <c r="AO14" s="102" t="s">
        <v>2798</v>
      </c>
      <c r="AP14" s="102" t="s">
        <v>2798</v>
      </c>
      <c r="AQ14" s="102" t="s">
        <v>2798</v>
      </c>
      <c r="AR14" s="102" t="s">
        <v>2798</v>
      </c>
      <c r="AS14" s="102" t="s">
        <v>2798</v>
      </c>
      <c r="AT14" s="102" t="s">
        <v>2798</v>
      </c>
      <c r="AU14" s="102" t="s">
        <v>2798</v>
      </c>
      <c r="AV14" s="102" t="s">
        <v>2798</v>
      </c>
      <c r="AW14" s="102" t="s">
        <v>2798</v>
      </c>
      <c r="AX14" s="102" t="s">
        <v>2798</v>
      </c>
      <c r="AY14" s="102" t="s">
        <v>2798</v>
      </c>
      <c r="AZ14" s="102" t="s">
        <v>2798</v>
      </c>
      <c r="BA14" s="102" t="s">
        <v>2798</v>
      </c>
      <c r="BB14" s="102" t="s">
        <v>2798</v>
      </c>
      <c r="BC14" s="102" t="s">
        <v>2798</v>
      </c>
      <c r="BD14" s="102" t="s">
        <v>2798</v>
      </c>
      <c r="BE14" s="102" t="s">
        <v>2798</v>
      </c>
      <c r="BF14" s="102" t="s">
        <v>2798</v>
      </c>
      <c r="BG14" s="102" t="s">
        <v>2798</v>
      </c>
      <c r="BH14" s="102" t="s">
        <v>2798</v>
      </c>
      <c r="BI14" s="102" t="s">
        <v>2798</v>
      </c>
      <c r="BJ14" s="102" t="s">
        <v>2798</v>
      </c>
      <c r="BK14" s="102" t="s">
        <v>2798</v>
      </c>
      <c r="BL14" s="102" t="s">
        <v>2798</v>
      </c>
      <c r="BM14" s="102" t="s">
        <v>2798</v>
      </c>
      <c r="BN14" s="102" t="s">
        <v>2798</v>
      </c>
      <c r="BO14" s="102" t="s">
        <v>3022</v>
      </c>
      <c r="BP14" s="102" t="s">
        <v>3023</v>
      </c>
      <c r="BQ14" s="102" t="s">
        <v>3024</v>
      </c>
      <c r="BR14" s="102" t="s">
        <v>3025</v>
      </c>
      <c r="BS14" s="102" t="s">
        <v>3026</v>
      </c>
      <c r="BT14" s="102" t="s">
        <v>3027</v>
      </c>
      <c r="BU14" s="102" t="s">
        <v>2798</v>
      </c>
      <c r="BV14" s="102" t="s">
        <v>2798</v>
      </c>
      <c r="BW14" s="102" t="s">
        <v>2798</v>
      </c>
      <c r="BX14" s="102" t="s">
        <v>2798</v>
      </c>
      <c r="BY14" s="102" t="s">
        <v>2798</v>
      </c>
      <c r="BZ14" s="102" t="s">
        <v>2798</v>
      </c>
      <c r="CA14" s="102" t="s">
        <v>2798</v>
      </c>
      <c r="CB14" s="102" t="s">
        <v>2798</v>
      </c>
      <c r="CC14" s="102" t="s">
        <v>2798</v>
      </c>
      <c r="CD14" s="102" t="s">
        <v>2798</v>
      </c>
      <c r="CE14" s="102" t="s">
        <v>2798</v>
      </c>
      <c r="CF14" s="102" t="s">
        <v>2798</v>
      </c>
      <c r="CG14" s="102" t="s">
        <v>2798</v>
      </c>
    </row>
    <row r="15" spans="2:86" ht="14.25" customHeight="1">
      <c r="B15" s="106" t="s">
        <v>61</v>
      </c>
      <c r="C15" s="113" t="s">
        <v>2869</v>
      </c>
      <c r="D15" s="106" t="s">
        <v>707</v>
      </c>
      <c r="E15" s="106" t="s">
        <v>2112</v>
      </c>
      <c r="F15" s="109">
        <v>14387.19</v>
      </c>
      <c r="G15" s="109">
        <v>14425.15</v>
      </c>
      <c r="H15" s="117">
        <v>37.959999999999127</v>
      </c>
      <c r="I15" s="102">
        <v>0</v>
      </c>
      <c r="J15" s="115">
        <v>0</v>
      </c>
      <c r="K15" s="102" t="s">
        <v>2798</v>
      </c>
      <c r="L15" s="102" t="s">
        <v>2798</v>
      </c>
      <c r="M15" s="102" t="s">
        <v>2798</v>
      </c>
      <c r="N15" s="102" t="s">
        <v>2798</v>
      </c>
      <c r="O15" s="102" t="s">
        <v>2798</v>
      </c>
      <c r="P15" s="102" t="s">
        <v>2798</v>
      </c>
      <c r="Q15" s="102" t="s">
        <v>2798</v>
      </c>
      <c r="R15" s="102" t="s">
        <v>2798</v>
      </c>
      <c r="S15" s="102" t="s">
        <v>2798</v>
      </c>
      <c r="T15" s="102" t="s">
        <v>2798</v>
      </c>
      <c r="U15" s="102" t="s">
        <v>2798</v>
      </c>
      <c r="V15" s="102" t="s">
        <v>2798</v>
      </c>
      <c r="W15" s="102" t="s">
        <v>2798</v>
      </c>
      <c r="X15" s="102" t="s">
        <v>2798</v>
      </c>
      <c r="Y15" s="102" t="s">
        <v>2798</v>
      </c>
      <c r="Z15" s="102" t="s">
        <v>2798</v>
      </c>
      <c r="AA15" s="102" t="s">
        <v>2798</v>
      </c>
      <c r="AB15" s="102" t="s">
        <v>2798</v>
      </c>
      <c r="AC15" s="102" t="s">
        <v>2798</v>
      </c>
      <c r="AD15" s="102" t="s">
        <v>2798</v>
      </c>
      <c r="AE15" s="102" t="s">
        <v>2798</v>
      </c>
      <c r="AF15" s="102" t="s">
        <v>2798</v>
      </c>
      <c r="AG15" s="102" t="s">
        <v>2798</v>
      </c>
      <c r="AH15" s="102" t="s">
        <v>2798</v>
      </c>
      <c r="AI15" s="102" t="s">
        <v>2798</v>
      </c>
      <c r="AJ15" s="102" t="s">
        <v>2798</v>
      </c>
      <c r="AK15" s="102" t="s">
        <v>2798</v>
      </c>
      <c r="AL15" s="102" t="s">
        <v>2798</v>
      </c>
      <c r="AM15" s="102" t="s">
        <v>2798</v>
      </c>
      <c r="AN15" s="102" t="s">
        <v>2798</v>
      </c>
      <c r="AO15" s="102" t="s">
        <v>2798</v>
      </c>
      <c r="AP15" s="102" t="s">
        <v>2798</v>
      </c>
      <c r="AQ15" s="102" t="s">
        <v>2798</v>
      </c>
      <c r="AR15" s="102" t="s">
        <v>2798</v>
      </c>
      <c r="AS15" s="102" t="s">
        <v>2798</v>
      </c>
      <c r="AT15" s="102" t="s">
        <v>2798</v>
      </c>
      <c r="AU15" s="102" t="s">
        <v>2798</v>
      </c>
      <c r="AV15" s="102" t="s">
        <v>2798</v>
      </c>
      <c r="AW15" s="102" t="s">
        <v>2798</v>
      </c>
      <c r="AX15" s="102" t="s">
        <v>2798</v>
      </c>
      <c r="AY15" s="102" t="s">
        <v>2798</v>
      </c>
      <c r="AZ15" s="102" t="s">
        <v>2798</v>
      </c>
      <c r="BA15" s="102" t="s">
        <v>2798</v>
      </c>
      <c r="BB15" s="102" t="s">
        <v>2798</v>
      </c>
      <c r="BC15" s="102" t="s">
        <v>2798</v>
      </c>
      <c r="BD15" s="102" t="s">
        <v>2798</v>
      </c>
      <c r="BE15" s="102" t="s">
        <v>2798</v>
      </c>
      <c r="BF15" s="102" t="s">
        <v>2798</v>
      </c>
      <c r="BG15" s="102" t="s">
        <v>2798</v>
      </c>
      <c r="BH15" s="102" t="s">
        <v>2798</v>
      </c>
      <c r="BI15" s="102" t="s">
        <v>2798</v>
      </c>
      <c r="BJ15" s="102" t="s">
        <v>2798</v>
      </c>
      <c r="BK15" s="102" t="s">
        <v>2798</v>
      </c>
      <c r="BL15" s="102" t="s">
        <v>2798</v>
      </c>
      <c r="BM15" s="102" t="s">
        <v>2798</v>
      </c>
      <c r="BN15" s="102" t="s">
        <v>2798</v>
      </c>
      <c r="BO15" s="102" t="s">
        <v>2798</v>
      </c>
      <c r="BP15" s="102" t="s">
        <v>2798</v>
      </c>
      <c r="BQ15" s="102" t="s">
        <v>2798</v>
      </c>
      <c r="BR15" s="102" t="s">
        <v>2798</v>
      </c>
      <c r="BS15" s="102" t="s">
        <v>2798</v>
      </c>
      <c r="BT15" s="102" t="s">
        <v>2798</v>
      </c>
      <c r="BU15" s="102" t="s">
        <v>3028</v>
      </c>
      <c r="BV15" s="102" t="s">
        <v>3029</v>
      </c>
      <c r="BW15" s="102" t="s">
        <v>3030</v>
      </c>
      <c r="BX15" s="102" t="s">
        <v>3031</v>
      </c>
      <c r="BY15" s="102" t="s">
        <v>3032</v>
      </c>
      <c r="BZ15" s="102" t="s">
        <v>3033</v>
      </c>
      <c r="CA15" s="102" t="s">
        <v>3034</v>
      </c>
      <c r="CB15" s="102" t="s">
        <v>3035</v>
      </c>
      <c r="CC15" s="102" t="s">
        <v>3036</v>
      </c>
      <c r="CD15" s="102" t="s">
        <v>3037</v>
      </c>
      <c r="CE15" s="102" t="s">
        <v>3038</v>
      </c>
      <c r="CF15" s="102" t="s">
        <v>3039</v>
      </c>
      <c r="CG15" s="102" t="s">
        <v>3040</v>
      </c>
    </row>
    <row r="16" spans="2:86" ht="14.25" customHeight="1">
      <c r="B16" s="106" t="s">
        <v>61</v>
      </c>
      <c r="C16" s="113" t="s">
        <v>2873</v>
      </c>
      <c r="D16" s="106" t="s">
        <v>707</v>
      </c>
      <c r="E16" s="106" t="s">
        <v>2146</v>
      </c>
      <c r="F16" s="109">
        <v>14575.15</v>
      </c>
      <c r="G16" s="109">
        <v>14616.12</v>
      </c>
      <c r="H16" s="117">
        <v>40.970000000001164</v>
      </c>
      <c r="I16" s="102">
        <v>0</v>
      </c>
      <c r="J16" s="115">
        <v>0</v>
      </c>
      <c r="K16" s="102" t="s">
        <v>2966</v>
      </c>
      <c r="L16" s="102" t="s">
        <v>2967</v>
      </c>
      <c r="M16" s="102" t="s">
        <v>2968</v>
      </c>
      <c r="N16" s="102" t="s">
        <v>2969</v>
      </c>
      <c r="O16" s="102" t="s">
        <v>2970</v>
      </c>
      <c r="P16" s="102" t="s">
        <v>2971</v>
      </c>
      <c r="Q16" s="102" t="s">
        <v>2972</v>
      </c>
      <c r="R16" s="102" t="s">
        <v>2973</v>
      </c>
      <c r="S16" s="102" t="s">
        <v>2974</v>
      </c>
      <c r="T16" s="102" t="s">
        <v>2975</v>
      </c>
      <c r="U16" s="102" t="s">
        <v>2976</v>
      </c>
      <c r="V16" s="102" t="s">
        <v>2977</v>
      </c>
      <c r="W16" s="102" t="s">
        <v>2978</v>
      </c>
      <c r="X16" s="102" t="s">
        <v>2979</v>
      </c>
      <c r="Y16" s="102" t="s">
        <v>2798</v>
      </c>
      <c r="Z16" s="102" t="s">
        <v>2798</v>
      </c>
      <c r="AA16" s="102" t="s">
        <v>2798</v>
      </c>
      <c r="AB16" s="102" t="s">
        <v>2798</v>
      </c>
      <c r="AC16" s="102" t="s">
        <v>2798</v>
      </c>
      <c r="AD16" s="102" t="s">
        <v>2798</v>
      </c>
      <c r="AE16" s="102" t="s">
        <v>2798</v>
      </c>
      <c r="AF16" s="102" t="s">
        <v>2798</v>
      </c>
      <c r="AG16" s="102" t="s">
        <v>2798</v>
      </c>
      <c r="AH16" s="102" t="s">
        <v>2798</v>
      </c>
      <c r="AI16" s="102" t="s">
        <v>2798</v>
      </c>
      <c r="AJ16" s="102" t="s">
        <v>2798</v>
      </c>
      <c r="AK16" s="102" t="s">
        <v>2798</v>
      </c>
      <c r="AL16" s="102" t="s">
        <v>2798</v>
      </c>
      <c r="AM16" s="102" t="s">
        <v>2798</v>
      </c>
      <c r="AN16" s="102" t="s">
        <v>2798</v>
      </c>
      <c r="AO16" s="102" t="s">
        <v>2798</v>
      </c>
      <c r="AP16" s="102" t="s">
        <v>2798</v>
      </c>
      <c r="AQ16" s="102" t="s">
        <v>2798</v>
      </c>
      <c r="AR16" s="102" t="s">
        <v>2798</v>
      </c>
      <c r="AS16" s="102" t="s">
        <v>2798</v>
      </c>
      <c r="AT16" s="102" t="s">
        <v>2798</v>
      </c>
      <c r="AU16" s="102" t="s">
        <v>2798</v>
      </c>
      <c r="AV16" s="102" t="s">
        <v>2798</v>
      </c>
      <c r="AW16" s="102" t="s">
        <v>2798</v>
      </c>
      <c r="AX16" s="102" t="s">
        <v>2798</v>
      </c>
      <c r="AY16" s="102" t="s">
        <v>2798</v>
      </c>
      <c r="AZ16" s="102" t="s">
        <v>2798</v>
      </c>
      <c r="BA16" s="102" t="s">
        <v>2798</v>
      </c>
      <c r="BB16" s="102" t="s">
        <v>2798</v>
      </c>
      <c r="BC16" s="102" t="s">
        <v>2798</v>
      </c>
      <c r="BD16" s="102" t="s">
        <v>2798</v>
      </c>
      <c r="BE16" s="102" t="s">
        <v>2798</v>
      </c>
      <c r="BF16" s="102" t="s">
        <v>2798</v>
      </c>
      <c r="BG16" s="102" t="s">
        <v>2798</v>
      </c>
      <c r="BH16" s="102" t="s">
        <v>2798</v>
      </c>
      <c r="BI16" s="102" t="s">
        <v>2798</v>
      </c>
      <c r="BJ16" s="102" t="s">
        <v>2798</v>
      </c>
      <c r="BK16" s="102" t="s">
        <v>2798</v>
      </c>
      <c r="BL16" s="102" t="s">
        <v>2798</v>
      </c>
      <c r="BM16" s="102" t="s">
        <v>2798</v>
      </c>
      <c r="BN16" s="102" t="s">
        <v>2798</v>
      </c>
      <c r="BO16" s="102" t="s">
        <v>2798</v>
      </c>
      <c r="BP16" s="102" t="s">
        <v>2798</v>
      </c>
      <c r="BQ16" s="102" t="s">
        <v>2798</v>
      </c>
      <c r="BR16" s="102" t="s">
        <v>2798</v>
      </c>
      <c r="BS16" s="102" t="s">
        <v>2798</v>
      </c>
      <c r="BT16" s="102" t="s">
        <v>2798</v>
      </c>
      <c r="BU16" s="102" t="s">
        <v>2798</v>
      </c>
      <c r="BV16" s="102" t="s">
        <v>2798</v>
      </c>
      <c r="BW16" s="102" t="s">
        <v>2798</v>
      </c>
      <c r="BX16" s="102" t="s">
        <v>2798</v>
      </c>
      <c r="BY16" s="102" t="s">
        <v>2798</v>
      </c>
      <c r="BZ16" s="102" t="s">
        <v>2798</v>
      </c>
      <c r="CA16" s="102" t="s">
        <v>2798</v>
      </c>
      <c r="CB16" s="102" t="s">
        <v>2798</v>
      </c>
      <c r="CC16" s="102" t="s">
        <v>2798</v>
      </c>
      <c r="CD16" s="102" t="s">
        <v>2798</v>
      </c>
      <c r="CE16" s="102" t="s">
        <v>2798</v>
      </c>
      <c r="CF16" s="102" t="s">
        <v>2798</v>
      </c>
      <c r="CG16" s="102" t="s">
        <v>2798</v>
      </c>
    </row>
    <row r="17" spans="2:85" ht="14.25" customHeight="1">
      <c r="B17" s="106" t="s">
        <v>61</v>
      </c>
      <c r="C17" s="113" t="s">
        <v>2874</v>
      </c>
      <c r="D17" s="106" t="s">
        <v>707</v>
      </c>
      <c r="E17" s="106" t="s">
        <v>2146</v>
      </c>
      <c r="F17" s="109">
        <v>14616.12</v>
      </c>
      <c r="G17" s="109">
        <v>14657.09</v>
      </c>
      <c r="H17" s="117">
        <v>40.969999999999345</v>
      </c>
      <c r="I17" s="102">
        <v>0</v>
      </c>
      <c r="J17" s="115">
        <v>0</v>
      </c>
      <c r="K17" s="102" t="s">
        <v>2798</v>
      </c>
      <c r="L17" s="102" t="s">
        <v>2798</v>
      </c>
      <c r="M17" s="102" t="s">
        <v>2798</v>
      </c>
      <c r="N17" s="102" t="s">
        <v>2798</v>
      </c>
      <c r="O17" s="102" t="s">
        <v>2798</v>
      </c>
      <c r="P17" s="102" t="s">
        <v>2798</v>
      </c>
      <c r="Q17" s="102" t="s">
        <v>2798</v>
      </c>
      <c r="R17" s="102" t="s">
        <v>2798</v>
      </c>
      <c r="S17" s="102" t="s">
        <v>2798</v>
      </c>
      <c r="T17" s="102" t="s">
        <v>2798</v>
      </c>
      <c r="U17" s="102" t="s">
        <v>2798</v>
      </c>
      <c r="V17" s="102" t="s">
        <v>2798</v>
      </c>
      <c r="W17" s="102" t="s">
        <v>2798</v>
      </c>
      <c r="X17" s="102" t="s">
        <v>2798</v>
      </c>
      <c r="Y17" s="102" t="s">
        <v>2980</v>
      </c>
      <c r="Z17" s="102" t="s">
        <v>2981</v>
      </c>
      <c r="AA17" s="102" t="s">
        <v>2982</v>
      </c>
      <c r="AB17" s="102" t="s">
        <v>2983</v>
      </c>
      <c r="AC17" s="102" t="s">
        <v>2984</v>
      </c>
      <c r="AD17" s="102" t="s">
        <v>2985</v>
      </c>
      <c r="AE17" s="102" t="s">
        <v>2986</v>
      </c>
      <c r="AF17" s="102" t="s">
        <v>2987</v>
      </c>
      <c r="AG17" s="102" t="s">
        <v>2988</v>
      </c>
      <c r="AH17" s="102" t="s">
        <v>2989</v>
      </c>
      <c r="AI17" s="102" t="s">
        <v>2990</v>
      </c>
      <c r="AJ17" s="102" t="s">
        <v>2991</v>
      </c>
      <c r="AK17" s="102" t="s">
        <v>2992</v>
      </c>
      <c r="AL17" s="102" t="s">
        <v>2993</v>
      </c>
      <c r="AM17" s="102" t="s">
        <v>2798</v>
      </c>
      <c r="AN17" s="102" t="s">
        <v>2798</v>
      </c>
      <c r="AO17" s="102" t="s">
        <v>2798</v>
      </c>
      <c r="AP17" s="102" t="s">
        <v>2798</v>
      </c>
      <c r="AQ17" s="102" t="s">
        <v>2798</v>
      </c>
      <c r="AR17" s="102" t="s">
        <v>2798</v>
      </c>
      <c r="AS17" s="102" t="s">
        <v>2798</v>
      </c>
      <c r="AT17" s="102" t="s">
        <v>2798</v>
      </c>
      <c r="AU17" s="102" t="s">
        <v>2798</v>
      </c>
      <c r="AV17" s="102" t="s">
        <v>2798</v>
      </c>
      <c r="AW17" s="102" t="s">
        <v>2798</v>
      </c>
      <c r="AX17" s="102" t="s">
        <v>2798</v>
      </c>
      <c r="AY17" s="102" t="s">
        <v>2798</v>
      </c>
      <c r="AZ17" s="102" t="s">
        <v>2798</v>
      </c>
      <c r="BA17" s="102" t="s">
        <v>2798</v>
      </c>
      <c r="BB17" s="102" t="s">
        <v>2798</v>
      </c>
      <c r="BC17" s="102" t="s">
        <v>2798</v>
      </c>
      <c r="BD17" s="102" t="s">
        <v>2798</v>
      </c>
      <c r="BE17" s="102" t="s">
        <v>2798</v>
      </c>
      <c r="BF17" s="102" t="s">
        <v>2798</v>
      </c>
      <c r="BG17" s="102" t="s">
        <v>2798</v>
      </c>
      <c r="BH17" s="102" t="s">
        <v>2798</v>
      </c>
      <c r="BI17" s="102" t="s">
        <v>2798</v>
      </c>
      <c r="BJ17" s="102" t="s">
        <v>2798</v>
      </c>
      <c r="BK17" s="102" t="s">
        <v>2798</v>
      </c>
      <c r="BL17" s="102" t="s">
        <v>2798</v>
      </c>
      <c r="BM17" s="102" t="s">
        <v>2798</v>
      </c>
      <c r="BN17" s="102" t="s">
        <v>2798</v>
      </c>
      <c r="BO17" s="102" t="s">
        <v>2798</v>
      </c>
      <c r="BP17" s="102" t="s">
        <v>2798</v>
      </c>
      <c r="BQ17" s="102" t="s">
        <v>2798</v>
      </c>
      <c r="BR17" s="102" t="s">
        <v>2798</v>
      </c>
      <c r="BS17" s="102" t="s">
        <v>2798</v>
      </c>
      <c r="BT17" s="102" t="s">
        <v>2798</v>
      </c>
      <c r="BU17" s="102" t="s">
        <v>2798</v>
      </c>
      <c r="BV17" s="102" t="s">
        <v>2798</v>
      </c>
      <c r="BW17" s="102" t="s">
        <v>2798</v>
      </c>
      <c r="BX17" s="102" t="s">
        <v>2798</v>
      </c>
      <c r="BY17" s="102" t="s">
        <v>2798</v>
      </c>
      <c r="BZ17" s="102" t="s">
        <v>2798</v>
      </c>
      <c r="CA17" s="102" t="s">
        <v>2798</v>
      </c>
      <c r="CB17" s="102" t="s">
        <v>2798</v>
      </c>
      <c r="CC17" s="102" t="s">
        <v>2798</v>
      </c>
      <c r="CD17" s="102" t="s">
        <v>2798</v>
      </c>
      <c r="CE17" s="102" t="s">
        <v>2798</v>
      </c>
      <c r="CF17" s="102" t="s">
        <v>2798</v>
      </c>
      <c r="CG17" s="102" t="s">
        <v>2798</v>
      </c>
    </row>
    <row r="18" spans="2:85" ht="14.25" customHeight="1">
      <c r="B18" s="106" t="s">
        <v>61</v>
      </c>
      <c r="C18" s="113" t="s">
        <v>2875</v>
      </c>
      <c r="D18" s="106" t="s">
        <v>707</v>
      </c>
      <c r="E18" s="106" t="s">
        <v>2146</v>
      </c>
      <c r="F18" s="109">
        <v>14657.09</v>
      </c>
      <c r="G18" s="109">
        <v>14698.06</v>
      </c>
      <c r="H18" s="117">
        <v>40.969999999999345</v>
      </c>
      <c r="I18" s="102">
        <v>0</v>
      </c>
      <c r="J18" s="115">
        <v>0</v>
      </c>
      <c r="K18" s="102" t="s">
        <v>2798</v>
      </c>
      <c r="L18" s="102" t="s">
        <v>2798</v>
      </c>
      <c r="M18" s="102" t="s">
        <v>2798</v>
      </c>
      <c r="N18" s="102" t="s">
        <v>2798</v>
      </c>
      <c r="O18" s="102" t="s">
        <v>2798</v>
      </c>
      <c r="P18" s="102" t="s">
        <v>2798</v>
      </c>
      <c r="Q18" s="102" t="s">
        <v>2798</v>
      </c>
      <c r="R18" s="102" t="s">
        <v>2798</v>
      </c>
      <c r="S18" s="102" t="s">
        <v>2798</v>
      </c>
      <c r="T18" s="102" t="s">
        <v>2798</v>
      </c>
      <c r="U18" s="102" t="s">
        <v>2798</v>
      </c>
      <c r="V18" s="102" t="s">
        <v>2798</v>
      </c>
      <c r="W18" s="102" t="s">
        <v>2798</v>
      </c>
      <c r="X18" s="102" t="s">
        <v>2798</v>
      </c>
      <c r="Y18" s="102" t="s">
        <v>2798</v>
      </c>
      <c r="Z18" s="102" t="s">
        <v>2798</v>
      </c>
      <c r="AA18" s="102" t="s">
        <v>2798</v>
      </c>
      <c r="AB18" s="102" t="s">
        <v>2798</v>
      </c>
      <c r="AC18" s="102" t="s">
        <v>2798</v>
      </c>
      <c r="AD18" s="102" t="s">
        <v>2798</v>
      </c>
      <c r="AE18" s="102" t="s">
        <v>2798</v>
      </c>
      <c r="AF18" s="102" t="s">
        <v>2798</v>
      </c>
      <c r="AG18" s="102" t="s">
        <v>2798</v>
      </c>
      <c r="AH18" s="102" t="s">
        <v>2798</v>
      </c>
      <c r="AI18" s="102" t="s">
        <v>2798</v>
      </c>
      <c r="AJ18" s="102" t="s">
        <v>2798</v>
      </c>
      <c r="AK18" s="102" t="s">
        <v>2798</v>
      </c>
      <c r="AL18" s="102" t="s">
        <v>2798</v>
      </c>
      <c r="AM18" s="102" t="s">
        <v>2994</v>
      </c>
      <c r="AN18" s="102" t="s">
        <v>2995</v>
      </c>
      <c r="AO18" s="102" t="s">
        <v>2996</v>
      </c>
      <c r="AP18" s="102" t="s">
        <v>2997</v>
      </c>
      <c r="AQ18" s="102" t="s">
        <v>2998</v>
      </c>
      <c r="AR18" s="102" t="s">
        <v>2999</v>
      </c>
      <c r="AS18" s="102" t="s">
        <v>3000</v>
      </c>
      <c r="AT18" s="102" t="s">
        <v>2798</v>
      </c>
      <c r="AU18" s="102" t="s">
        <v>2798</v>
      </c>
      <c r="AV18" s="102" t="s">
        <v>2798</v>
      </c>
      <c r="AW18" s="102" t="s">
        <v>2798</v>
      </c>
      <c r="AX18" s="102" t="s">
        <v>2798</v>
      </c>
      <c r="AY18" s="102" t="s">
        <v>3006</v>
      </c>
      <c r="AZ18" s="102" t="s">
        <v>3007</v>
      </c>
      <c r="BA18" s="102" t="s">
        <v>3008</v>
      </c>
      <c r="BB18" s="102" t="s">
        <v>3009</v>
      </c>
      <c r="BC18" s="102" t="s">
        <v>3010</v>
      </c>
      <c r="BD18" s="102" t="s">
        <v>3011</v>
      </c>
      <c r="BE18" s="102" t="s">
        <v>3012</v>
      </c>
      <c r="BF18" s="102" t="s">
        <v>2798</v>
      </c>
      <c r="BG18" s="102" t="s">
        <v>2798</v>
      </c>
      <c r="BH18" s="102" t="s">
        <v>2798</v>
      </c>
      <c r="BI18" s="102" t="s">
        <v>2798</v>
      </c>
      <c r="BJ18" s="102" t="s">
        <v>2798</v>
      </c>
      <c r="BK18" s="102" t="s">
        <v>2798</v>
      </c>
      <c r="BL18" s="102" t="s">
        <v>2798</v>
      </c>
      <c r="BM18" s="102" t="s">
        <v>2798</v>
      </c>
      <c r="BN18" s="102" t="s">
        <v>2798</v>
      </c>
      <c r="BO18" s="102" t="s">
        <v>2798</v>
      </c>
      <c r="BP18" s="102" t="s">
        <v>2798</v>
      </c>
      <c r="BQ18" s="102" t="s">
        <v>2798</v>
      </c>
      <c r="BR18" s="102" t="s">
        <v>2798</v>
      </c>
      <c r="BS18" s="102" t="s">
        <v>2798</v>
      </c>
      <c r="BT18" s="102" t="s">
        <v>2798</v>
      </c>
      <c r="BU18" s="102" t="s">
        <v>2798</v>
      </c>
      <c r="BV18" s="102" t="s">
        <v>2798</v>
      </c>
      <c r="BW18" s="102" t="s">
        <v>2798</v>
      </c>
      <c r="BX18" s="102" t="s">
        <v>2798</v>
      </c>
      <c r="BY18" s="102" t="s">
        <v>2798</v>
      </c>
      <c r="BZ18" s="102" t="s">
        <v>2798</v>
      </c>
      <c r="CA18" s="102" t="s">
        <v>2798</v>
      </c>
      <c r="CB18" s="102" t="s">
        <v>2798</v>
      </c>
      <c r="CC18" s="102" t="s">
        <v>2798</v>
      </c>
      <c r="CD18" s="102" t="s">
        <v>2798</v>
      </c>
      <c r="CE18" s="102" t="s">
        <v>2798</v>
      </c>
      <c r="CF18" s="102" t="s">
        <v>2798</v>
      </c>
      <c r="CG18" s="102" t="s">
        <v>2798</v>
      </c>
    </row>
    <row r="19" spans="2:85" ht="14.25" customHeight="1">
      <c r="B19" s="106" t="s">
        <v>61</v>
      </c>
      <c r="C19" s="113" t="s">
        <v>2876</v>
      </c>
      <c r="D19" s="106" t="s">
        <v>707</v>
      </c>
      <c r="E19" s="106" t="s">
        <v>2146</v>
      </c>
      <c r="F19" s="109">
        <v>14698.06</v>
      </c>
      <c r="G19" s="109">
        <v>14739.03</v>
      </c>
      <c r="H19" s="117">
        <v>40.970000000001164</v>
      </c>
      <c r="I19" s="102">
        <v>0</v>
      </c>
      <c r="J19" s="115">
        <v>0</v>
      </c>
      <c r="K19" s="102" t="s">
        <v>2798</v>
      </c>
      <c r="L19" s="102" t="s">
        <v>2798</v>
      </c>
      <c r="M19" s="102" t="s">
        <v>2798</v>
      </c>
      <c r="N19" s="102" t="s">
        <v>2798</v>
      </c>
      <c r="O19" s="102" t="s">
        <v>2798</v>
      </c>
      <c r="P19" s="102" t="s">
        <v>2798</v>
      </c>
      <c r="Q19" s="102" t="s">
        <v>2798</v>
      </c>
      <c r="R19" s="102" t="s">
        <v>2798</v>
      </c>
      <c r="S19" s="102" t="s">
        <v>2798</v>
      </c>
      <c r="T19" s="102" t="s">
        <v>2798</v>
      </c>
      <c r="U19" s="102" t="s">
        <v>2798</v>
      </c>
      <c r="V19" s="102" t="s">
        <v>2798</v>
      </c>
      <c r="W19" s="102" t="s">
        <v>2798</v>
      </c>
      <c r="X19" s="102" t="s">
        <v>2798</v>
      </c>
      <c r="Y19" s="102" t="s">
        <v>2798</v>
      </c>
      <c r="Z19" s="102" t="s">
        <v>2798</v>
      </c>
      <c r="AA19" s="102" t="s">
        <v>2798</v>
      </c>
      <c r="AB19" s="102" t="s">
        <v>2798</v>
      </c>
      <c r="AC19" s="102" t="s">
        <v>2798</v>
      </c>
      <c r="AD19" s="102" t="s">
        <v>2798</v>
      </c>
      <c r="AE19" s="102" t="s">
        <v>2798</v>
      </c>
      <c r="AF19" s="102" t="s">
        <v>2798</v>
      </c>
      <c r="AG19" s="102" t="s">
        <v>2798</v>
      </c>
      <c r="AH19" s="102" t="s">
        <v>2798</v>
      </c>
      <c r="AI19" s="102" t="s">
        <v>2798</v>
      </c>
      <c r="AJ19" s="102" t="s">
        <v>2798</v>
      </c>
      <c r="AK19" s="102" t="s">
        <v>2798</v>
      </c>
      <c r="AL19" s="102" t="s">
        <v>2798</v>
      </c>
      <c r="AM19" s="102" t="s">
        <v>2798</v>
      </c>
      <c r="AN19" s="102" t="s">
        <v>2798</v>
      </c>
      <c r="AO19" s="102" t="s">
        <v>2798</v>
      </c>
      <c r="AP19" s="102" t="s">
        <v>2798</v>
      </c>
      <c r="AQ19" s="102" t="s">
        <v>2798</v>
      </c>
      <c r="AR19" s="102" t="s">
        <v>2798</v>
      </c>
      <c r="AS19" s="102" t="s">
        <v>2798</v>
      </c>
      <c r="AT19" s="102" t="s">
        <v>2798</v>
      </c>
      <c r="AU19" s="102" t="s">
        <v>2798</v>
      </c>
      <c r="AV19" s="102" t="s">
        <v>2798</v>
      </c>
      <c r="AW19" s="102" t="s">
        <v>2798</v>
      </c>
      <c r="AX19" s="102" t="s">
        <v>2798</v>
      </c>
      <c r="AY19" s="102" t="s">
        <v>2798</v>
      </c>
      <c r="AZ19" s="102" t="s">
        <v>2798</v>
      </c>
      <c r="BA19" s="102" t="s">
        <v>2798</v>
      </c>
      <c r="BB19" s="102" t="s">
        <v>2798</v>
      </c>
      <c r="BC19" s="102" t="s">
        <v>2798</v>
      </c>
      <c r="BD19" s="102" t="s">
        <v>2798</v>
      </c>
      <c r="BE19" s="102" t="s">
        <v>2798</v>
      </c>
      <c r="BF19" s="102" t="s">
        <v>3013</v>
      </c>
      <c r="BG19" s="102" t="s">
        <v>3014</v>
      </c>
      <c r="BH19" s="102" t="s">
        <v>3015</v>
      </c>
      <c r="BI19" s="102" t="s">
        <v>3016</v>
      </c>
      <c r="BJ19" s="102" t="s">
        <v>3017</v>
      </c>
      <c r="BK19" s="102" t="s">
        <v>3018</v>
      </c>
      <c r="BL19" s="102" t="s">
        <v>3019</v>
      </c>
      <c r="BM19" s="102" t="s">
        <v>3020</v>
      </c>
      <c r="BN19" s="102" t="s">
        <v>3021</v>
      </c>
      <c r="BO19" s="102" t="s">
        <v>3022</v>
      </c>
      <c r="BP19" s="102" t="s">
        <v>3023</v>
      </c>
      <c r="BQ19" s="102" t="s">
        <v>3024</v>
      </c>
      <c r="BR19" s="102" t="s">
        <v>3025</v>
      </c>
      <c r="BS19" s="102" t="s">
        <v>3026</v>
      </c>
      <c r="BT19" s="102" t="s">
        <v>2798</v>
      </c>
      <c r="BU19" s="102" t="s">
        <v>2798</v>
      </c>
      <c r="BV19" s="102" t="s">
        <v>2798</v>
      </c>
      <c r="BW19" s="102" t="s">
        <v>2798</v>
      </c>
      <c r="BX19" s="102" t="s">
        <v>2798</v>
      </c>
      <c r="BY19" s="102" t="s">
        <v>2798</v>
      </c>
      <c r="BZ19" s="102" t="s">
        <v>2798</v>
      </c>
      <c r="CA19" s="102" t="s">
        <v>2798</v>
      </c>
      <c r="CB19" s="102" t="s">
        <v>2798</v>
      </c>
      <c r="CC19" s="102" t="s">
        <v>2798</v>
      </c>
      <c r="CD19" s="102" t="s">
        <v>2798</v>
      </c>
      <c r="CE19" s="102" t="s">
        <v>2798</v>
      </c>
      <c r="CF19" s="102" t="s">
        <v>2798</v>
      </c>
      <c r="CG19" s="102" t="s">
        <v>2798</v>
      </c>
    </row>
    <row r="20" spans="2:85" ht="14.25" customHeight="1">
      <c r="B20" s="106" t="s">
        <v>61</v>
      </c>
      <c r="C20" s="113" t="s">
        <v>2877</v>
      </c>
      <c r="D20" s="106" t="s">
        <v>707</v>
      </c>
      <c r="E20" s="106" t="s">
        <v>2146</v>
      </c>
      <c r="F20" s="109">
        <v>14739.03</v>
      </c>
      <c r="G20" s="109">
        <v>14780</v>
      </c>
      <c r="H20" s="117">
        <v>40.969999999999345</v>
      </c>
      <c r="I20" s="102">
        <v>0</v>
      </c>
      <c r="J20" s="115">
        <v>0</v>
      </c>
      <c r="K20" s="102" t="s">
        <v>2798</v>
      </c>
      <c r="L20" s="102" t="s">
        <v>2798</v>
      </c>
      <c r="M20" s="102" t="s">
        <v>2798</v>
      </c>
      <c r="N20" s="102" t="s">
        <v>2798</v>
      </c>
      <c r="O20" s="102" t="s">
        <v>2798</v>
      </c>
      <c r="P20" s="102" t="s">
        <v>2798</v>
      </c>
      <c r="Q20" s="102" t="s">
        <v>2798</v>
      </c>
      <c r="R20" s="102" t="s">
        <v>2798</v>
      </c>
      <c r="S20" s="102" t="s">
        <v>2798</v>
      </c>
      <c r="T20" s="102" t="s">
        <v>2798</v>
      </c>
      <c r="U20" s="102" t="s">
        <v>2798</v>
      </c>
      <c r="V20" s="102" t="s">
        <v>2798</v>
      </c>
      <c r="W20" s="102" t="s">
        <v>2798</v>
      </c>
      <c r="X20" s="102" t="s">
        <v>2798</v>
      </c>
      <c r="Y20" s="102" t="s">
        <v>2798</v>
      </c>
      <c r="Z20" s="102" t="s">
        <v>2798</v>
      </c>
      <c r="AA20" s="102" t="s">
        <v>2798</v>
      </c>
      <c r="AB20" s="102" t="s">
        <v>2798</v>
      </c>
      <c r="AC20" s="102" t="s">
        <v>2798</v>
      </c>
      <c r="AD20" s="102" t="s">
        <v>2798</v>
      </c>
      <c r="AE20" s="102" t="s">
        <v>2798</v>
      </c>
      <c r="AF20" s="102" t="s">
        <v>2798</v>
      </c>
      <c r="AG20" s="102" t="s">
        <v>2798</v>
      </c>
      <c r="AH20" s="102" t="s">
        <v>2798</v>
      </c>
      <c r="AI20" s="102" t="s">
        <v>2798</v>
      </c>
      <c r="AJ20" s="102" t="s">
        <v>2798</v>
      </c>
      <c r="AK20" s="102" t="s">
        <v>2798</v>
      </c>
      <c r="AL20" s="102" t="s">
        <v>2798</v>
      </c>
      <c r="AM20" s="102" t="s">
        <v>2798</v>
      </c>
      <c r="AN20" s="102" t="s">
        <v>2798</v>
      </c>
      <c r="AO20" s="102" t="s">
        <v>2798</v>
      </c>
      <c r="AP20" s="102" t="s">
        <v>2798</v>
      </c>
      <c r="AQ20" s="102" t="s">
        <v>2798</v>
      </c>
      <c r="AR20" s="102" t="s">
        <v>2798</v>
      </c>
      <c r="AS20" s="102" t="s">
        <v>2798</v>
      </c>
      <c r="AT20" s="102" t="s">
        <v>2798</v>
      </c>
      <c r="AU20" s="102" t="s">
        <v>2798</v>
      </c>
      <c r="AV20" s="102" t="s">
        <v>2798</v>
      </c>
      <c r="AW20" s="102" t="s">
        <v>2798</v>
      </c>
      <c r="AX20" s="102" t="s">
        <v>2798</v>
      </c>
      <c r="AY20" s="102" t="s">
        <v>2798</v>
      </c>
      <c r="AZ20" s="102" t="s">
        <v>2798</v>
      </c>
      <c r="BA20" s="102" t="s">
        <v>2798</v>
      </c>
      <c r="BB20" s="102" t="s">
        <v>2798</v>
      </c>
      <c r="BC20" s="102" t="s">
        <v>2798</v>
      </c>
      <c r="BD20" s="102" t="s">
        <v>2798</v>
      </c>
      <c r="BE20" s="102" t="s">
        <v>2798</v>
      </c>
      <c r="BF20" s="102" t="s">
        <v>2798</v>
      </c>
      <c r="BG20" s="102" t="s">
        <v>2798</v>
      </c>
      <c r="BH20" s="102" t="s">
        <v>2798</v>
      </c>
      <c r="BI20" s="102" t="s">
        <v>2798</v>
      </c>
      <c r="BJ20" s="102" t="s">
        <v>2798</v>
      </c>
      <c r="BK20" s="102" t="s">
        <v>2798</v>
      </c>
      <c r="BL20" s="102" t="s">
        <v>2798</v>
      </c>
      <c r="BM20" s="102" t="s">
        <v>2798</v>
      </c>
      <c r="BN20" s="102" t="s">
        <v>2798</v>
      </c>
      <c r="BO20" s="102" t="s">
        <v>2798</v>
      </c>
      <c r="BP20" s="102" t="s">
        <v>2798</v>
      </c>
      <c r="BQ20" s="102" t="s">
        <v>2798</v>
      </c>
      <c r="BR20" s="102" t="s">
        <v>2798</v>
      </c>
      <c r="BS20" s="102" t="s">
        <v>2798</v>
      </c>
      <c r="BT20" s="102" t="s">
        <v>3027</v>
      </c>
      <c r="BU20" s="102" t="s">
        <v>3028</v>
      </c>
      <c r="BV20" s="102" t="s">
        <v>3029</v>
      </c>
      <c r="BW20" s="102" t="s">
        <v>3030</v>
      </c>
      <c r="BX20" s="102" t="s">
        <v>3031</v>
      </c>
      <c r="BY20" s="102" t="s">
        <v>3032</v>
      </c>
      <c r="BZ20" s="102" t="s">
        <v>3033</v>
      </c>
      <c r="CA20" s="102" t="s">
        <v>3034</v>
      </c>
      <c r="CB20" s="102" t="s">
        <v>3035</v>
      </c>
      <c r="CC20" s="102" t="s">
        <v>3036</v>
      </c>
      <c r="CD20" s="102" t="s">
        <v>3037</v>
      </c>
      <c r="CE20" s="102" t="s">
        <v>3038</v>
      </c>
      <c r="CF20" s="102" t="s">
        <v>3039</v>
      </c>
      <c r="CG20" s="102" t="s">
        <v>3040</v>
      </c>
    </row>
    <row r="21" spans="2:85" ht="14.25" customHeight="1">
      <c r="B21" s="106"/>
      <c r="C21" s="113"/>
      <c r="D21" s="113"/>
      <c r="E21" s="106"/>
      <c r="F21" s="118"/>
      <c r="G21" s="118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</row>
    <row r="22" spans="2:85" ht="14.25" customHeight="1">
      <c r="B22" s="48" t="s">
        <v>3</v>
      </c>
      <c r="C22" s="48" t="s">
        <v>2961</v>
      </c>
      <c r="D22" s="48" t="s">
        <v>127</v>
      </c>
      <c r="E22" s="48" t="s">
        <v>1108</v>
      </c>
      <c r="F22" s="48" t="s">
        <v>2962</v>
      </c>
      <c r="G22" s="48" t="s">
        <v>2963</v>
      </c>
      <c r="H22" s="48" t="s">
        <v>2964</v>
      </c>
      <c r="I22" s="48"/>
      <c r="J22" s="48" t="s">
        <v>3041</v>
      </c>
      <c r="K22" s="48" t="s">
        <v>3042</v>
      </c>
      <c r="L22" s="48" t="s">
        <v>3043</v>
      </c>
      <c r="M22" s="48" t="s">
        <v>3044</v>
      </c>
      <c r="N22" s="48" t="s">
        <v>3045</v>
      </c>
      <c r="O22" s="48" t="s">
        <v>3046</v>
      </c>
      <c r="P22" s="48" t="s">
        <v>3047</v>
      </c>
      <c r="Q22" s="48" t="s">
        <v>3048</v>
      </c>
      <c r="R22" s="48" t="s">
        <v>3049</v>
      </c>
      <c r="S22" s="48" t="s">
        <v>3050</v>
      </c>
      <c r="T22" s="48" t="s">
        <v>3051</v>
      </c>
      <c r="U22" s="48" t="s">
        <v>3052</v>
      </c>
      <c r="V22" s="48" t="s">
        <v>3053</v>
      </c>
      <c r="W22" s="48" t="s">
        <v>3054</v>
      </c>
      <c r="X22" s="48" t="s">
        <v>3055</v>
      </c>
      <c r="Y22" s="48" t="s">
        <v>3056</v>
      </c>
      <c r="Z22" s="48" t="s">
        <v>3057</v>
      </c>
      <c r="AA22" s="48" t="s">
        <v>3058</v>
      </c>
      <c r="AB22" s="48" t="s">
        <v>3059</v>
      </c>
      <c r="AC22" s="48" t="s">
        <v>3060</v>
      </c>
      <c r="AD22" s="48" t="s">
        <v>3061</v>
      </c>
      <c r="AE22" s="48" t="s">
        <v>3062</v>
      </c>
      <c r="AF22" s="48" t="s">
        <v>3063</v>
      </c>
      <c r="AG22" s="48" t="s">
        <v>3064</v>
      </c>
      <c r="AH22" s="48" t="s">
        <v>3065</v>
      </c>
      <c r="AI22" s="48" t="s">
        <v>3066</v>
      </c>
      <c r="AJ22" s="48" t="s">
        <v>3067</v>
      </c>
      <c r="AK22" s="48" t="s">
        <v>3068</v>
      </c>
      <c r="AL22" s="48" t="s">
        <v>3069</v>
      </c>
      <c r="AM22" s="48" t="s">
        <v>3070</v>
      </c>
      <c r="AN22" s="48" t="s">
        <v>3071</v>
      </c>
      <c r="AO22" s="48" t="s">
        <v>3072</v>
      </c>
      <c r="AP22" s="48" t="s">
        <v>3073</v>
      </c>
      <c r="AQ22" s="48" t="s">
        <v>3074</v>
      </c>
      <c r="AR22" s="48" t="s">
        <v>3075</v>
      </c>
      <c r="AS22" s="48" t="s">
        <v>3076</v>
      </c>
      <c r="AT22" s="48" t="s">
        <v>3077</v>
      </c>
      <c r="AU22" s="48" t="s">
        <v>3078</v>
      </c>
      <c r="AV22" s="48" t="s">
        <v>3079</v>
      </c>
      <c r="AW22" s="48" t="s">
        <v>3080</v>
      </c>
      <c r="AX22" s="48" t="s">
        <v>3081</v>
      </c>
      <c r="AY22" s="48" t="s">
        <v>3082</v>
      </c>
      <c r="AZ22" s="48" t="s">
        <v>3083</v>
      </c>
      <c r="BA22" s="48" t="s">
        <v>3084</v>
      </c>
      <c r="BB22" s="48" t="s">
        <v>3085</v>
      </c>
      <c r="BC22" s="48" t="s">
        <v>3086</v>
      </c>
      <c r="BD22" s="48" t="s">
        <v>3087</v>
      </c>
      <c r="BE22" s="48" t="s">
        <v>3088</v>
      </c>
      <c r="BF22" s="48" t="s">
        <v>3089</v>
      </c>
      <c r="BG22" s="48" t="s">
        <v>3090</v>
      </c>
      <c r="BH22" s="48" t="s">
        <v>3091</v>
      </c>
      <c r="BI22" s="48" t="s">
        <v>3092</v>
      </c>
      <c r="BJ22" s="48" t="s">
        <v>3093</v>
      </c>
      <c r="BK22" s="48" t="s">
        <v>3094</v>
      </c>
      <c r="BL22" s="48" t="s">
        <v>3095</v>
      </c>
      <c r="BM22" s="48" t="s">
        <v>3096</v>
      </c>
      <c r="BN22" s="48" t="s">
        <v>3097</v>
      </c>
      <c r="BO22" s="48" t="s">
        <v>3098</v>
      </c>
      <c r="BP22" s="48" t="s">
        <v>3099</v>
      </c>
      <c r="BQ22" s="48" t="s">
        <v>3100</v>
      </c>
      <c r="BR22" s="48" t="s">
        <v>3101</v>
      </c>
      <c r="BS22" s="48" t="s">
        <v>3102</v>
      </c>
      <c r="BT22" s="48" t="s">
        <v>3103</v>
      </c>
      <c r="BU22" s="48" t="s">
        <v>3104</v>
      </c>
      <c r="BV22" s="48" t="s">
        <v>3105</v>
      </c>
      <c r="BW22" s="48" t="s">
        <v>3106</v>
      </c>
      <c r="BX22" s="48" t="s">
        <v>3107</v>
      </c>
      <c r="BY22" s="48" t="s">
        <v>3108</v>
      </c>
      <c r="BZ22" s="48" t="s">
        <v>3109</v>
      </c>
      <c r="CA22" s="48" t="s">
        <v>3110</v>
      </c>
      <c r="CB22" s="48" t="s">
        <v>3111</v>
      </c>
      <c r="CC22" s="48" t="s">
        <v>3112</v>
      </c>
      <c r="CD22" s="48" t="s">
        <v>3113</v>
      </c>
      <c r="CE22" s="48" t="s">
        <v>3114</v>
      </c>
      <c r="CF22" s="48" t="s">
        <v>3115</v>
      </c>
      <c r="CG22" s="48" t="s">
        <v>3116</v>
      </c>
    </row>
    <row r="23" spans="2:85" ht="14.25" customHeight="1">
      <c r="B23" s="106" t="s">
        <v>677</v>
      </c>
      <c r="C23" s="113" t="s">
        <v>2880</v>
      </c>
      <c r="D23" s="106" t="s">
        <v>794</v>
      </c>
      <c r="E23" s="106" t="s">
        <v>2194</v>
      </c>
      <c r="F23" s="109">
        <v>11053.549000000001</v>
      </c>
      <c r="G23" s="109">
        <v>11094.175999999999</v>
      </c>
      <c r="H23" s="117">
        <v>40.626999999998588</v>
      </c>
      <c r="I23" s="102">
        <v>0</v>
      </c>
      <c r="J23" s="115">
        <v>0</v>
      </c>
      <c r="K23" s="102" t="s">
        <v>2966</v>
      </c>
      <c r="L23" s="102" t="s">
        <v>2967</v>
      </c>
      <c r="M23" s="102" t="s">
        <v>2968</v>
      </c>
      <c r="N23" s="102" t="s">
        <v>2969</v>
      </c>
      <c r="O23" s="102" t="s">
        <v>2970</v>
      </c>
      <c r="P23" s="102" t="s">
        <v>2971</v>
      </c>
      <c r="Q23" s="102" t="s">
        <v>2972</v>
      </c>
      <c r="R23" s="102" t="s">
        <v>2973</v>
      </c>
      <c r="S23" s="102" t="s">
        <v>2974</v>
      </c>
      <c r="T23" s="102" t="s">
        <v>2975</v>
      </c>
      <c r="U23" s="102" t="s">
        <v>2976</v>
      </c>
      <c r="V23" s="102" t="s">
        <v>2977</v>
      </c>
      <c r="W23" s="102" t="s">
        <v>2978</v>
      </c>
      <c r="X23" s="102" t="s">
        <v>2979</v>
      </c>
      <c r="Y23" s="102" t="s">
        <v>2798</v>
      </c>
      <c r="Z23" s="102" t="s">
        <v>2798</v>
      </c>
      <c r="AA23" s="102" t="s">
        <v>2798</v>
      </c>
      <c r="AB23" s="102" t="s">
        <v>2798</v>
      </c>
      <c r="AC23" s="102" t="s">
        <v>2798</v>
      </c>
      <c r="AD23" s="102" t="s">
        <v>2798</v>
      </c>
      <c r="AE23" s="102" t="s">
        <v>2798</v>
      </c>
      <c r="AF23" s="102" t="s">
        <v>2798</v>
      </c>
      <c r="AG23" s="102" t="s">
        <v>2798</v>
      </c>
      <c r="AH23" s="102" t="s">
        <v>2798</v>
      </c>
      <c r="AI23" s="102" t="s">
        <v>2798</v>
      </c>
      <c r="AJ23" s="102" t="s">
        <v>2798</v>
      </c>
      <c r="AK23" s="102" t="s">
        <v>2798</v>
      </c>
      <c r="AL23" s="102" t="s">
        <v>2798</v>
      </c>
      <c r="AM23" s="102" t="s">
        <v>2798</v>
      </c>
      <c r="AN23" s="102" t="s">
        <v>2798</v>
      </c>
      <c r="AO23" s="102" t="s">
        <v>2798</v>
      </c>
      <c r="AP23" s="102" t="s">
        <v>2798</v>
      </c>
      <c r="AQ23" s="102" t="s">
        <v>2798</v>
      </c>
      <c r="AR23" s="102" t="s">
        <v>2798</v>
      </c>
      <c r="AS23" s="102" t="s">
        <v>2798</v>
      </c>
      <c r="AT23" s="102" t="s">
        <v>2798</v>
      </c>
      <c r="AU23" s="102" t="s">
        <v>2798</v>
      </c>
      <c r="AV23" s="102" t="s">
        <v>2798</v>
      </c>
      <c r="AW23" s="102" t="s">
        <v>2798</v>
      </c>
      <c r="AX23" s="102" t="s">
        <v>2798</v>
      </c>
      <c r="AY23" s="102" t="s">
        <v>2798</v>
      </c>
      <c r="AZ23" s="102" t="s">
        <v>2798</v>
      </c>
      <c r="BA23" s="102" t="s">
        <v>2798</v>
      </c>
      <c r="BB23" s="102" t="s">
        <v>2798</v>
      </c>
      <c r="BC23" s="102" t="s">
        <v>2798</v>
      </c>
      <c r="BD23" s="102" t="s">
        <v>2798</v>
      </c>
      <c r="BE23" s="102" t="s">
        <v>2798</v>
      </c>
      <c r="BF23" s="102" t="s">
        <v>2798</v>
      </c>
      <c r="BG23" s="102" t="s">
        <v>2798</v>
      </c>
      <c r="BH23" s="102" t="s">
        <v>2798</v>
      </c>
      <c r="BI23" s="102" t="s">
        <v>2798</v>
      </c>
      <c r="BJ23" s="102" t="s">
        <v>2798</v>
      </c>
      <c r="BK23" s="102" t="s">
        <v>2798</v>
      </c>
      <c r="BL23" s="102" t="s">
        <v>2798</v>
      </c>
      <c r="BM23" s="102" t="s">
        <v>2798</v>
      </c>
      <c r="BN23" s="102" t="s">
        <v>2798</v>
      </c>
      <c r="BO23" s="102" t="s">
        <v>2798</v>
      </c>
      <c r="BP23" s="102" t="s">
        <v>2798</v>
      </c>
      <c r="BQ23" s="102" t="s">
        <v>2798</v>
      </c>
      <c r="BR23" s="102" t="s">
        <v>2798</v>
      </c>
      <c r="BS23" s="102" t="s">
        <v>2798</v>
      </c>
      <c r="BT23" s="102" t="s">
        <v>2798</v>
      </c>
      <c r="BU23" s="102" t="s">
        <v>2798</v>
      </c>
      <c r="BV23" s="102" t="s">
        <v>2798</v>
      </c>
      <c r="BW23" s="102" t="s">
        <v>2798</v>
      </c>
      <c r="BX23" s="102" t="s">
        <v>2798</v>
      </c>
      <c r="BY23" s="102" t="s">
        <v>2798</v>
      </c>
      <c r="BZ23" s="102" t="s">
        <v>2798</v>
      </c>
      <c r="CA23" s="102" t="s">
        <v>2798</v>
      </c>
      <c r="CB23" s="102" t="s">
        <v>2798</v>
      </c>
      <c r="CC23" s="102" t="s">
        <v>2798</v>
      </c>
      <c r="CD23" s="102" t="s">
        <v>2798</v>
      </c>
      <c r="CE23" s="102" t="s">
        <v>2798</v>
      </c>
      <c r="CF23" s="102" t="s">
        <v>2798</v>
      </c>
      <c r="CG23" s="102" t="s">
        <v>2798</v>
      </c>
    </row>
    <row r="24" spans="2:85" ht="14.25" customHeight="1">
      <c r="B24" s="106" t="s">
        <v>677</v>
      </c>
      <c r="C24" s="113" t="s">
        <v>2881</v>
      </c>
      <c r="D24" s="106" t="s">
        <v>794</v>
      </c>
      <c r="E24" s="106" t="s">
        <v>2194</v>
      </c>
      <c r="F24" s="109">
        <v>11094.175999999999</v>
      </c>
      <c r="G24" s="109">
        <v>11134.803</v>
      </c>
      <c r="H24" s="117">
        <v>40.627000000000407</v>
      </c>
      <c r="I24" s="102">
        <v>0</v>
      </c>
      <c r="J24" s="115">
        <v>0</v>
      </c>
      <c r="K24" s="102" t="s">
        <v>2798</v>
      </c>
      <c r="L24" s="102" t="s">
        <v>2798</v>
      </c>
      <c r="M24" s="102" t="s">
        <v>2798</v>
      </c>
      <c r="N24" s="102" t="s">
        <v>2798</v>
      </c>
      <c r="O24" s="102" t="s">
        <v>2798</v>
      </c>
      <c r="P24" s="102" t="s">
        <v>2798</v>
      </c>
      <c r="Q24" s="102" t="s">
        <v>2798</v>
      </c>
      <c r="R24" s="102" t="s">
        <v>2798</v>
      </c>
      <c r="S24" s="102" t="s">
        <v>2798</v>
      </c>
      <c r="T24" s="102" t="s">
        <v>2798</v>
      </c>
      <c r="U24" s="102" t="s">
        <v>2798</v>
      </c>
      <c r="V24" s="102" t="s">
        <v>2798</v>
      </c>
      <c r="W24" s="102" t="s">
        <v>2798</v>
      </c>
      <c r="X24" s="102" t="s">
        <v>2798</v>
      </c>
      <c r="Y24" s="102" t="s">
        <v>2980</v>
      </c>
      <c r="Z24" s="102" t="s">
        <v>2981</v>
      </c>
      <c r="AA24" s="102" t="s">
        <v>2982</v>
      </c>
      <c r="AB24" s="102" t="s">
        <v>2983</v>
      </c>
      <c r="AC24" s="102" t="s">
        <v>2984</v>
      </c>
      <c r="AD24" s="102" t="s">
        <v>2985</v>
      </c>
      <c r="AE24" s="102" t="s">
        <v>2986</v>
      </c>
      <c r="AF24" s="102" t="s">
        <v>2987</v>
      </c>
      <c r="AG24" s="102" t="s">
        <v>2988</v>
      </c>
      <c r="AH24" s="102" t="s">
        <v>2989</v>
      </c>
      <c r="AI24" s="102" t="s">
        <v>2990</v>
      </c>
      <c r="AJ24" s="102" t="s">
        <v>2991</v>
      </c>
      <c r="AK24" s="102" t="s">
        <v>2992</v>
      </c>
      <c r="AL24" s="102" t="s">
        <v>2993</v>
      </c>
      <c r="AM24" s="102" t="s">
        <v>2798</v>
      </c>
      <c r="AN24" s="102" t="s">
        <v>2798</v>
      </c>
      <c r="AO24" s="102" t="s">
        <v>2798</v>
      </c>
      <c r="AP24" s="102" t="s">
        <v>2798</v>
      </c>
      <c r="AQ24" s="102" t="s">
        <v>2798</v>
      </c>
      <c r="AR24" s="102" t="s">
        <v>2798</v>
      </c>
      <c r="AS24" s="102" t="s">
        <v>2798</v>
      </c>
      <c r="AT24" s="102" t="s">
        <v>2798</v>
      </c>
      <c r="AU24" s="102" t="s">
        <v>2798</v>
      </c>
      <c r="AV24" s="102" t="s">
        <v>2798</v>
      </c>
      <c r="AW24" s="102" t="s">
        <v>2798</v>
      </c>
      <c r="AX24" s="102" t="s">
        <v>2798</v>
      </c>
      <c r="AY24" s="102" t="s">
        <v>2798</v>
      </c>
      <c r="AZ24" s="102" t="s">
        <v>2798</v>
      </c>
      <c r="BA24" s="102" t="s">
        <v>2798</v>
      </c>
      <c r="BB24" s="102" t="s">
        <v>2798</v>
      </c>
      <c r="BC24" s="102" t="s">
        <v>2798</v>
      </c>
      <c r="BD24" s="102" t="s">
        <v>2798</v>
      </c>
      <c r="BE24" s="102" t="s">
        <v>2798</v>
      </c>
      <c r="BF24" s="102" t="s">
        <v>2798</v>
      </c>
      <c r="BG24" s="102" t="s">
        <v>2798</v>
      </c>
      <c r="BH24" s="102" t="s">
        <v>2798</v>
      </c>
      <c r="BI24" s="102" t="s">
        <v>2798</v>
      </c>
      <c r="BJ24" s="102" t="s">
        <v>2798</v>
      </c>
      <c r="BK24" s="102" t="s">
        <v>2798</v>
      </c>
      <c r="BL24" s="102" t="s">
        <v>2798</v>
      </c>
      <c r="BM24" s="102" t="s">
        <v>2798</v>
      </c>
      <c r="BN24" s="102" t="s">
        <v>2798</v>
      </c>
      <c r="BO24" s="102" t="s">
        <v>2798</v>
      </c>
      <c r="BP24" s="102" t="s">
        <v>2798</v>
      </c>
      <c r="BQ24" s="102" t="s">
        <v>2798</v>
      </c>
      <c r="BR24" s="102" t="s">
        <v>2798</v>
      </c>
      <c r="BS24" s="102" t="s">
        <v>2798</v>
      </c>
      <c r="BT24" s="102" t="s">
        <v>2798</v>
      </c>
      <c r="BU24" s="102" t="s">
        <v>2798</v>
      </c>
      <c r="BV24" s="102" t="s">
        <v>2798</v>
      </c>
      <c r="BW24" s="102" t="s">
        <v>2798</v>
      </c>
      <c r="BX24" s="102" t="s">
        <v>2798</v>
      </c>
      <c r="BY24" s="102" t="s">
        <v>2798</v>
      </c>
      <c r="BZ24" s="102" t="s">
        <v>2798</v>
      </c>
      <c r="CA24" s="102" t="s">
        <v>2798</v>
      </c>
      <c r="CB24" s="102" t="s">
        <v>2798</v>
      </c>
      <c r="CC24" s="102" t="s">
        <v>2798</v>
      </c>
      <c r="CD24" s="102" t="s">
        <v>2798</v>
      </c>
      <c r="CE24" s="102" t="s">
        <v>2798</v>
      </c>
      <c r="CF24" s="102" t="s">
        <v>2798</v>
      </c>
      <c r="CG24" s="102" t="s">
        <v>2798</v>
      </c>
    </row>
    <row r="25" spans="2:85" ht="14.25" customHeight="1">
      <c r="B25" s="106" t="s">
        <v>677</v>
      </c>
      <c r="C25" s="113" t="s">
        <v>2882</v>
      </c>
      <c r="D25" s="106" t="s">
        <v>794</v>
      </c>
      <c r="E25" s="106" t="s">
        <v>2194</v>
      </c>
      <c r="F25" s="109">
        <v>11134.803</v>
      </c>
      <c r="G25" s="109">
        <v>11175.431</v>
      </c>
      <c r="H25" s="117">
        <v>40.628000000000611</v>
      </c>
      <c r="I25" s="102">
        <v>0</v>
      </c>
      <c r="J25" s="115">
        <v>0</v>
      </c>
      <c r="K25" s="102" t="s">
        <v>2798</v>
      </c>
      <c r="L25" s="102" t="s">
        <v>2798</v>
      </c>
      <c r="M25" s="102" t="s">
        <v>2798</v>
      </c>
      <c r="N25" s="102" t="s">
        <v>2798</v>
      </c>
      <c r="O25" s="102" t="s">
        <v>2798</v>
      </c>
      <c r="P25" s="102" t="s">
        <v>2798</v>
      </c>
      <c r="Q25" s="102" t="s">
        <v>2798</v>
      </c>
      <c r="R25" s="102" t="s">
        <v>2798</v>
      </c>
      <c r="S25" s="102" t="s">
        <v>2798</v>
      </c>
      <c r="T25" s="102" t="s">
        <v>2798</v>
      </c>
      <c r="U25" s="102" t="s">
        <v>2798</v>
      </c>
      <c r="V25" s="102" t="s">
        <v>2798</v>
      </c>
      <c r="W25" s="102" t="s">
        <v>2798</v>
      </c>
      <c r="X25" s="102" t="s">
        <v>2798</v>
      </c>
      <c r="Y25" s="102" t="s">
        <v>2798</v>
      </c>
      <c r="Z25" s="102" t="s">
        <v>2798</v>
      </c>
      <c r="AA25" s="102" t="s">
        <v>2798</v>
      </c>
      <c r="AB25" s="102" t="s">
        <v>2798</v>
      </c>
      <c r="AC25" s="102" t="s">
        <v>2798</v>
      </c>
      <c r="AD25" s="102" t="s">
        <v>2798</v>
      </c>
      <c r="AE25" s="102" t="s">
        <v>2798</v>
      </c>
      <c r="AF25" s="102" t="s">
        <v>2798</v>
      </c>
      <c r="AG25" s="102" t="s">
        <v>2798</v>
      </c>
      <c r="AH25" s="102" t="s">
        <v>2798</v>
      </c>
      <c r="AI25" s="102" t="s">
        <v>2798</v>
      </c>
      <c r="AJ25" s="102" t="s">
        <v>2798</v>
      </c>
      <c r="AK25" s="102" t="s">
        <v>2798</v>
      </c>
      <c r="AL25" s="102" t="s">
        <v>2798</v>
      </c>
      <c r="AM25" s="102" t="s">
        <v>2994</v>
      </c>
      <c r="AN25" s="102" t="s">
        <v>2995</v>
      </c>
      <c r="AO25" s="102" t="s">
        <v>2996</v>
      </c>
      <c r="AP25" s="102" t="s">
        <v>2997</v>
      </c>
      <c r="AQ25" s="102" t="s">
        <v>2998</v>
      </c>
      <c r="AR25" s="102" t="s">
        <v>2999</v>
      </c>
      <c r="AS25" s="102" t="s">
        <v>3000</v>
      </c>
      <c r="AT25" s="102" t="s">
        <v>2798</v>
      </c>
      <c r="AU25" s="102" t="s">
        <v>2798</v>
      </c>
      <c r="AV25" s="102" t="s">
        <v>2798</v>
      </c>
      <c r="AW25" s="102" t="s">
        <v>2798</v>
      </c>
      <c r="AX25" s="102" t="s">
        <v>2798</v>
      </c>
      <c r="AY25" s="102" t="s">
        <v>3006</v>
      </c>
      <c r="AZ25" s="102" t="s">
        <v>3007</v>
      </c>
      <c r="BA25" s="102" t="s">
        <v>3008</v>
      </c>
      <c r="BB25" s="102" t="s">
        <v>3009</v>
      </c>
      <c r="BC25" s="102" t="s">
        <v>3010</v>
      </c>
      <c r="BD25" s="102" t="s">
        <v>3011</v>
      </c>
      <c r="BE25" s="102" t="s">
        <v>3012</v>
      </c>
      <c r="BF25" s="102" t="s">
        <v>2798</v>
      </c>
      <c r="BG25" s="102" t="s">
        <v>2798</v>
      </c>
      <c r="BH25" s="102" t="s">
        <v>2798</v>
      </c>
      <c r="BI25" s="102" t="s">
        <v>2798</v>
      </c>
      <c r="BJ25" s="102" t="s">
        <v>2798</v>
      </c>
      <c r="BK25" s="102" t="s">
        <v>2798</v>
      </c>
      <c r="BL25" s="102" t="s">
        <v>2798</v>
      </c>
      <c r="BM25" s="102" t="s">
        <v>2798</v>
      </c>
      <c r="BN25" s="102" t="s">
        <v>2798</v>
      </c>
      <c r="BO25" s="102" t="s">
        <v>2798</v>
      </c>
      <c r="BP25" s="102" t="s">
        <v>2798</v>
      </c>
      <c r="BQ25" s="102" t="s">
        <v>2798</v>
      </c>
      <c r="BR25" s="102" t="s">
        <v>2798</v>
      </c>
      <c r="BS25" s="102" t="s">
        <v>2798</v>
      </c>
      <c r="BT25" s="102" t="s">
        <v>2798</v>
      </c>
      <c r="BU25" s="102" t="s">
        <v>2798</v>
      </c>
      <c r="BV25" s="102" t="s">
        <v>2798</v>
      </c>
      <c r="BW25" s="102" t="s">
        <v>2798</v>
      </c>
      <c r="BX25" s="102" t="s">
        <v>2798</v>
      </c>
      <c r="BY25" s="102" t="s">
        <v>2798</v>
      </c>
      <c r="BZ25" s="102" t="s">
        <v>2798</v>
      </c>
      <c r="CA25" s="102" t="s">
        <v>2798</v>
      </c>
      <c r="CB25" s="102" t="s">
        <v>2798</v>
      </c>
      <c r="CC25" s="102" t="s">
        <v>2798</v>
      </c>
      <c r="CD25" s="102" t="s">
        <v>2798</v>
      </c>
      <c r="CE25" s="102" t="s">
        <v>2798</v>
      </c>
      <c r="CF25" s="102" t="s">
        <v>2798</v>
      </c>
      <c r="CG25" s="102" t="s">
        <v>2798</v>
      </c>
    </row>
    <row r="26" spans="2:85" ht="14.25" customHeight="1">
      <c r="B26" s="106" t="s">
        <v>677</v>
      </c>
      <c r="C26" s="113" t="s">
        <v>2883</v>
      </c>
      <c r="D26" s="106" t="s">
        <v>794</v>
      </c>
      <c r="E26" s="106" t="s">
        <v>2194</v>
      </c>
      <c r="F26" s="109">
        <v>11175.431</v>
      </c>
      <c r="G26" s="109">
        <v>11216.058000000001</v>
      </c>
      <c r="H26" s="117">
        <v>40.627000000000407</v>
      </c>
      <c r="I26" s="102">
        <v>0</v>
      </c>
      <c r="J26" s="115">
        <v>0</v>
      </c>
      <c r="K26" s="102" t="s">
        <v>2798</v>
      </c>
      <c r="L26" s="102" t="s">
        <v>2798</v>
      </c>
      <c r="M26" s="102" t="s">
        <v>2798</v>
      </c>
      <c r="N26" s="102" t="s">
        <v>2798</v>
      </c>
      <c r="O26" s="102" t="s">
        <v>2798</v>
      </c>
      <c r="P26" s="102" t="s">
        <v>2798</v>
      </c>
      <c r="Q26" s="102" t="s">
        <v>2798</v>
      </c>
      <c r="R26" s="102" t="s">
        <v>2798</v>
      </c>
      <c r="S26" s="102" t="s">
        <v>2798</v>
      </c>
      <c r="T26" s="102" t="s">
        <v>2798</v>
      </c>
      <c r="U26" s="102" t="s">
        <v>2798</v>
      </c>
      <c r="V26" s="102" t="s">
        <v>2798</v>
      </c>
      <c r="W26" s="102" t="s">
        <v>2798</v>
      </c>
      <c r="X26" s="102" t="s">
        <v>2798</v>
      </c>
      <c r="Y26" s="102" t="s">
        <v>2798</v>
      </c>
      <c r="Z26" s="102" t="s">
        <v>2798</v>
      </c>
      <c r="AA26" s="102" t="s">
        <v>2798</v>
      </c>
      <c r="AB26" s="102" t="s">
        <v>2798</v>
      </c>
      <c r="AC26" s="102" t="s">
        <v>2798</v>
      </c>
      <c r="AD26" s="102" t="s">
        <v>2798</v>
      </c>
      <c r="AE26" s="102" t="s">
        <v>2798</v>
      </c>
      <c r="AF26" s="102" t="s">
        <v>2798</v>
      </c>
      <c r="AG26" s="102" t="s">
        <v>2798</v>
      </c>
      <c r="AH26" s="102" t="s">
        <v>2798</v>
      </c>
      <c r="AI26" s="102" t="s">
        <v>2798</v>
      </c>
      <c r="AJ26" s="102" t="s">
        <v>2798</v>
      </c>
      <c r="AK26" s="102" t="s">
        <v>2798</v>
      </c>
      <c r="AL26" s="102" t="s">
        <v>2798</v>
      </c>
      <c r="AM26" s="102" t="s">
        <v>2798</v>
      </c>
      <c r="AN26" s="102" t="s">
        <v>2798</v>
      </c>
      <c r="AO26" s="102" t="s">
        <v>2798</v>
      </c>
      <c r="AP26" s="102" t="s">
        <v>2798</v>
      </c>
      <c r="AQ26" s="102" t="s">
        <v>2798</v>
      </c>
      <c r="AR26" s="102" t="s">
        <v>2798</v>
      </c>
      <c r="AS26" s="102" t="s">
        <v>2798</v>
      </c>
      <c r="AT26" s="102" t="s">
        <v>2798</v>
      </c>
      <c r="AU26" s="102" t="s">
        <v>2798</v>
      </c>
      <c r="AV26" s="102" t="s">
        <v>2798</v>
      </c>
      <c r="AW26" s="102" t="s">
        <v>2798</v>
      </c>
      <c r="AX26" s="102" t="s">
        <v>2798</v>
      </c>
      <c r="AY26" s="102" t="s">
        <v>2798</v>
      </c>
      <c r="AZ26" s="102" t="s">
        <v>2798</v>
      </c>
      <c r="BA26" s="102" t="s">
        <v>2798</v>
      </c>
      <c r="BB26" s="102" t="s">
        <v>2798</v>
      </c>
      <c r="BC26" s="102" t="s">
        <v>2798</v>
      </c>
      <c r="BD26" s="102" t="s">
        <v>2798</v>
      </c>
      <c r="BE26" s="102" t="s">
        <v>2798</v>
      </c>
      <c r="BF26" s="102" t="s">
        <v>3013</v>
      </c>
      <c r="BG26" s="102" t="s">
        <v>3014</v>
      </c>
      <c r="BH26" s="102" t="s">
        <v>3015</v>
      </c>
      <c r="BI26" s="102" t="s">
        <v>3016</v>
      </c>
      <c r="BJ26" s="102" t="s">
        <v>3017</v>
      </c>
      <c r="BK26" s="102" t="s">
        <v>3018</v>
      </c>
      <c r="BL26" s="102" t="s">
        <v>3019</v>
      </c>
      <c r="BM26" s="102" t="s">
        <v>3020</v>
      </c>
      <c r="BN26" s="102" t="s">
        <v>3021</v>
      </c>
      <c r="BO26" s="102" t="s">
        <v>3022</v>
      </c>
      <c r="BP26" s="102" t="s">
        <v>3023</v>
      </c>
      <c r="BQ26" s="102" t="s">
        <v>3024</v>
      </c>
      <c r="BR26" s="102" t="s">
        <v>3025</v>
      </c>
      <c r="BS26" s="102" t="s">
        <v>3026</v>
      </c>
      <c r="BT26" s="102" t="s">
        <v>2798</v>
      </c>
      <c r="BU26" s="102" t="s">
        <v>2798</v>
      </c>
      <c r="BV26" s="102" t="s">
        <v>2798</v>
      </c>
      <c r="BW26" s="102" t="s">
        <v>2798</v>
      </c>
      <c r="BX26" s="102" t="s">
        <v>2798</v>
      </c>
      <c r="BY26" s="102" t="s">
        <v>2798</v>
      </c>
      <c r="BZ26" s="102" t="s">
        <v>2798</v>
      </c>
      <c r="CA26" s="102" t="s">
        <v>2798</v>
      </c>
      <c r="CB26" s="102" t="s">
        <v>2798</v>
      </c>
      <c r="CC26" s="102" t="s">
        <v>2798</v>
      </c>
      <c r="CD26" s="102" t="s">
        <v>2798</v>
      </c>
      <c r="CE26" s="102" t="s">
        <v>2798</v>
      </c>
      <c r="CF26" s="102" t="s">
        <v>2798</v>
      </c>
      <c r="CG26" s="102" t="s">
        <v>2798</v>
      </c>
    </row>
    <row r="27" spans="2:85" ht="14.25" customHeight="1">
      <c r="B27" s="106" t="s">
        <v>677</v>
      </c>
      <c r="C27" s="113" t="s">
        <v>2884</v>
      </c>
      <c r="D27" s="106" t="s">
        <v>794</v>
      </c>
      <c r="E27" s="106" t="s">
        <v>2194</v>
      </c>
      <c r="F27" s="109">
        <v>11216.058000000001</v>
      </c>
      <c r="G27" s="109">
        <v>11256.686</v>
      </c>
      <c r="H27" s="117">
        <v>40.627999999998792</v>
      </c>
      <c r="I27" s="102">
        <v>0</v>
      </c>
      <c r="J27" s="115">
        <v>0</v>
      </c>
      <c r="K27" s="102" t="s">
        <v>2798</v>
      </c>
      <c r="L27" s="102" t="s">
        <v>2798</v>
      </c>
      <c r="M27" s="102" t="s">
        <v>2798</v>
      </c>
      <c r="N27" s="102" t="s">
        <v>2798</v>
      </c>
      <c r="O27" s="102" t="s">
        <v>2798</v>
      </c>
      <c r="P27" s="102" t="s">
        <v>2798</v>
      </c>
      <c r="Q27" s="102" t="s">
        <v>2798</v>
      </c>
      <c r="R27" s="102" t="s">
        <v>2798</v>
      </c>
      <c r="S27" s="102" t="s">
        <v>2798</v>
      </c>
      <c r="T27" s="102" t="s">
        <v>2798</v>
      </c>
      <c r="U27" s="102" t="s">
        <v>2798</v>
      </c>
      <c r="V27" s="102" t="s">
        <v>2798</v>
      </c>
      <c r="W27" s="102" t="s">
        <v>2798</v>
      </c>
      <c r="X27" s="102" t="s">
        <v>2798</v>
      </c>
      <c r="Y27" s="102" t="s">
        <v>2798</v>
      </c>
      <c r="Z27" s="102" t="s">
        <v>2798</v>
      </c>
      <c r="AA27" s="102" t="s">
        <v>2798</v>
      </c>
      <c r="AB27" s="102" t="s">
        <v>2798</v>
      </c>
      <c r="AC27" s="102" t="s">
        <v>2798</v>
      </c>
      <c r="AD27" s="102" t="s">
        <v>2798</v>
      </c>
      <c r="AE27" s="102" t="s">
        <v>2798</v>
      </c>
      <c r="AF27" s="102" t="s">
        <v>2798</v>
      </c>
      <c r="AG27" s="102" t="s">
        <v>2798</v>
      </c>
      <c r="AH27" s="102" t="s">
        <v>2798</v>
      </c>
      <c r="AI27" s="102" t="s">
        <v>2798</v>
      </c>
      <c r="AJ27" s="102" t="s">
        <v>2798</v>
      </c>
      <c r="AK27" s="102" t="s">
        <v>2798</v>
      </c>
      <c r="AL27" s="102" t="s">
        <v>2798</v>
      </c>
      <c r="AM27" s="102" t="s">
        <v>2798</v>
      </c>
      <c r="AN27" s="102" t="s">
        <v>2798</v>
      </c>
      <c r="AO27" s="102" t="s">
        <v>2798</v>
      </c>
      <c r="AP27" s="102" t="s">
        <v>2798</v>
      </c>
      <c r="AQ27" s="102" t="s">
        <v>2798</v>
      </c>
      <c r="AR27" s="102" t="s">
        <v>2798</v>
      </c>
      <c r="AS27" s="102" t="s">
        <v>2798</v>
      </c>
      <c r="AT27" s="102" t="s">
        <v>2798</v>
      </c>
      <c r="AU27" s="102" t="s">
        <v>2798</v>
      </c>
      <c r="AV27" s="102" t="s">
        <v>2798</v>
      </c>
      <c r="AW27" s="102" t="s">
        <v>2798</v>
      </c>
      <c r="AX27" s="102" t="s">
        <v>2798</v>
      </c>
      <c r="AY27" s="102" t="s">
        <v>2798</v>
      </c>
      <c r="AZ27" s="102" t="s">
        <v>2798</v>
      </c>
      <c r="BA27" s="102" t="s">
        <v>2798</v>
      </c>
      <c r="BB27" s="102" t="s">
        <v>2798</v>
      </c>
      <c r="BC27" s="102" t="s">
        <v>2798</v>
      </c>
      <c r="BD27" s="102" t="s">
        <v>2798</v>
      </c>
      <c r="BE27" s="102" t="s">
        <v>2798</v>
      </c>
      <c r="BF27" s="102" t="s">
        <v>2798</v>
      </c>
      <c r="BG27" s="102" t="s">
        <v>2798</v>
      </c>
      <c r="BH27" s="102" t="s">
        <v>2798</v>
      </c>
      <c r="BI27" s="102" t="s">
        <v>2798</v>
      </c>
      <c r="BJ27" s="102" t="s">
        <v>2798</v>
      </c>
      <c r="BK27" s="102" t="s">
        <v>2798</v>
      </c>
      <c r="BL27" s="102" t="s">
        <v>2798</v>
      </c>
      <c r="BM27" s="102" t="s">
        <v>2798</v>
      </c>
      <c r="BN27" s="102" t="s">
        <v>2798</v>
      </c>
      <c r="BO27" s="102" t="s">
        <v>2798</v>
      </c>
      <c r="BP27" s="102" t="s">
        <v>2798</v>
      </c>
      <c r="BQ27" s="102" t="s">
        <v>2798</v>
      </c>
      <c r="BR27" s="102" t="s">
        <v>2798</v>
      </c>
      <c r="BS27" s="102" t="s">
        <v>2798</v>
      </c>
      <c r="BT27" s="102" t="s">
        <v>3027</v>
      </c>
      <c r="BU27" s="102" t="s">
        <v>3028</v>
      </c>
      <c r="BV27" s="102" t="s">
        <v>3029</v>
      </c>
      <c r="BW27" s="102" t="s">
        <v>3030</v>
      </c>
      <c r="BX27" s="102" t="s">
        <v>3031</v>
      </c>
      <c r="BY27" s="102" t="s">
        <v>3032</v>
      </c>
      <c r="BZ27" s="102" t="s">
        <v>3033</v>
      </c>
      <c r="CA27" s="102" t="s">
        <v>3034</v>
      </c>
      <c r="CB27" s="102" t="s">
        <v>3035</v>
      </c>
      <c r="CC27" s="102" t="s">
        <v>3036</v>
      </c>
      <c r="CD27" s="102" t="s">
        <v>3037</v>
      </c>
      <c r="CE27" s="102" t="s">
        <v>3038</v>
      </c>
      <c r="CF27" s="102" t="s">
        <v>3039</v>
      </c>
      <c r="CG27" s="102" t="s">
        <v>3040</v>
      </c>
    </row>
    <row r="28" spans="2:85" ht="14.25" customHeight="1">
      <c r="B28" s="106" t="s">
        <v>677</v>
      </c>
      <c r="C28" s="113" t="s">
        <v>2891</v>
      </c>
      <c r="D28" s="106" t="s">
        <v>794</v>
      </c>
      <c r="E28" s="106" t="s">
        <v>2255</v>
      </c>
      <c r="F28" s="109">
        <v>11536.269</v>
      </c>
      <c r="G28" s="109">
        <v>11576.896000000001</v>
      </c>
      <c r="H28" s="117">
        <v>40.627000000000407</v>
      </c>
      <c r="I28" s="102">
        <v>0</v>
      </c>
      <c r="J28" s="115">
        <v>0</v>
      </c>
      <c r="K28" s="102" t="s">
        <v>2966</v>
      </c>
      <c r="L28" s="102" t="s">
        <v>2967</v>
      </c>
      <c r="M28" s="102" t="s">
        <v>2968</v>
      </c>
      <c r="N28" s="102" t="s">
        <v>2969</v>
      </c>
      <c r="O28" s="102" t="s">
        <v>2970</v>
      </c>
      <c r="P28" s="102" t="s">
        <v>2971</v>
      </c>
      <c r="Q28" s="102" t="s">
        <v>2972</v>
      </c>
      <c r="R28" s="102" t="s">
        <v>2973</v>
      </c>
      <c r="S28" s="102" t="s">
        <v>2974</v>
      </c>
      <c r="T28" s="102" t="s">
        <v>2975</v>
      </c>
      <c r="U28" s="102" t="s">
        <v>2976</v>
      </c>
      <c r="V28" s="102" t="s">
        <v>2977</v>
      </c>
      <c r="W28" s="102" t="s">
        <v>2978</v>
      </c>
      <c r="X28" s="102" t="s">
        <v>2979</v>
      </c>
      <c r="Y28" s="102" t="s">
        <v>2798</v>
      </c>
      <c r="Z28" s="102" t="s">
        <v>2798</v>
      </c>
      <c r="AA28" s="102" t="s">
        <v>2798</v>
      </c>
      <c r="AB28" s="102" t="s">
        <v>2798</v>
      </c>
      <c r="AC28" s="102" t="s">
        <v>2798</v>
      </c>
      <c r="AD28" s="102" t="s">
        <v>2798</v>
      </c>
      <c r="AE28" s="102" t="s">
        <v>2798</v>
      </c>
      <c r="AF28" s="102" t="s">
        <v>2798</v>
      </c>
      <c r="AG28" s="102" t="s">
        <v>2798</v>
      </c>
      <c r="AH28" s="102" t="s">
        <v>2798</v>
      </c>
      <c r="AI28" s="102" t="s">
        <v>2798</v>
      </c>
      <c r="AJ28" s="102" t="s">
        <v>2798</v>
      </c>
      <c r="AK28" s="102" t="s">
        <v>2798</v>
      </c>
      <c r="AL28" s="102" t="s">
        <v>2798</v>
      </c>
      <c r="AM28" s="102" t="s">
        <v>2798</v>
      </c>
      <c r="AN28" s="102" t="s">
        <v>2798</v>
      </c>
      <c r="AO28" s="102" t="s">
        <v>2798</v>
      </c>
      <c r="AP28" s="102" t="s">
        <v>2798</v>
      </c>
      <c r="AQ28" s="102" t="s">
        <v>2798</v>
      </c>
      <c r="AR28" s="102" t="s">
        <v>2798</v>
      </c>
      <c r="AS28" s="102" t="s">
        <v>2798</v>
      </c>
      <c r="AT28" s="102" t="s">
        <v>2798</v>
      </c>
      <c r="AU28" s="102" t="s">
        <v>2798</v>
      </c>
      <c r="AV28" s="102" t="s">
        <v>2798</v>
      </c>
      <c r="AW28" s="102" t="s">
        <v>2798</v>
      </c>
      <c r="AX28" s="102" t="s">
        <v>2798</v>
      </c>
      <c r="AY28" s="102" t="s">
        <v>2798</v>
      </c>
      <c r="AZ28" s="102" t="s">
        <v>2798</v>
      </c>
      <c r="BA28" s="102" t="s">
        <v>2798</v>
      </c>
      <c r="BB28" s="102" t="s">
        <v>2798</v>
      </c>
      <c r="BC28" s="102" t="s">
        <v>2798</v>
      </c>
      <c r="BD28" s="102" t="s">
        <v>2798</v>
      </c>
      <c r="BE28" s="102" t="s">
        <v>2798</v>
      </c>
      <c r="BF28" s="102" t="s">
        <v>2798</v>
      </c>
      <c r="BG28" s="102" t="s">
        <v>2798</v>
      </c>
      <c r="BH28" s="102" t="s">
        <v>2798</v>
      </c>
      <c r="BI28" s="102" t="s">
        <v>2798</v>
      </c>
      <c r="BJ28" s="102" t="s">
        <v>2798</v>
      </c>
      <c r="BK28" s="102" t="s">
        <v>2798</v>
      </c>
      <c r="BL28" s="102" t="s">
        <v>2798</v>
      </c>
      <c r="BM28" s="102" t="s">
        <v>2798</v>
      </c>
      <c r="BN28" s="102" t="s">
        <v>2798</v>
      </c>
      <c r="BO28" s="102" t="s">
        <v>2798</v>
      </c>
      <c r="BP28" s="102" t="s">
        <v>2798</v>
      </c>
      <c r="BQ28" s="102" t="s">
        <v>2798</v>
      </c>
      <c r="BR28" s="102" t="s">
        <v>2798</v>
      </c>
      <c r="BS28" s="102" t="s">
        <v>2798</v>
      </c>
      <c r="BT28" s="102" t="s">
        <v>2798</v>
      </c>
      <c r="BU28" s="102" t="s">
        <v>2798</v>
      </c>
      <c r="BV28" s="102" t="s">
        <v>2798</v>
      </c>
      <c r="BW28" s="102" t="s">
        <v>2798</v>
      </c>
      <c r="BX28" s="102" t="s">
        <v>2798</v>
      </c>
      <c r="BY28" s="102" t="s">
        <v>2798</v>
      </c>
      <c r="BZ28" s="102" t="s">
        <v>2798</v>
      </c>
      <c r="CA28" s="102" t="s">
        <v>2798</v>
      </c>
      <c r="CB28" s="102" t="s">
        <v>2798</v>
      </c>
      <c r="CC28" s="102" t="s">
        <v>2798</v>
      </c>
      <c r="CD28" s="102" t="s">
        <v>2798</v>
      </c>
      <c r="CE28" s="102" t="s">
        <v>2798</v>
      </c>
      <c r="CF28" s="102" t="s">
        <v>2798</v>
      </c>
      <c r="CG28" s="102" t="s">
        <v>2798</v>
      </c>
    </row>
    <row r="29" spans="2:85" ht="14.25" customHeight="1">
      <c r="B29" s="106" t="s">
        <v>677</v>
      </c>
      <c r="C29" s="113" t="s">
        <v>2892</v>
      </c>
      <c r="D29" s="106" t="s">
        <v>794</v>
      </c>
      <c r="E29" s="106" t="s">
        <v>2255</v>
      </c>
      <c r="F29" s="109">
        <v>11576.896000000001</v>
      </c>
      <c r="G29" s="109">
        <v>11617.522999999999</v>
      </c>
      <c r="H29" s="117">
        <v>40.626999999998588</v>
      </c>
      <c r="I29" s="102">
        <v>0</v>
      </c>
      <c r="J29" s="115">
        <v>0</v>
      </c>
      <c r="K29" s="102" t="s">
        <v>2798</v>
      </c>
      <c r="L29" s="102" t="s">
        <v>2798</v>
      </c>
      <c r="M29" s="102" t="s">
        <v>2798</v>
      </c>
      <c r="N29" s="102" t="s">
        <v>2798</v>
      </c>
      <c r="O29" s="102" t="s">
        <v>2798</v>
      </c>
      <c r="P29" s="102" t="s">
        <v>2798</v>
      </c>
      <c r="Q29" s="102" t="s">
        <v>2798</v>
      </c>
      <c r="R29" s="102" t="s">
        <v>2798</v>
      </c>
      <c r="S29" s="102" t="s">
        <v>2798</v>
      </c>
      <c r="T29" s="102" t="s">
        <v>2798</v>
      </c>
      <c r="U29" s="102" t="s">
        <v>2798</v>
      </c>
      <c r="V29" s="102" t="s">
        <v>2798</v>
      </c>
      <c r="W29" s="102" t="s">
        <v>2798</v>
      </c>
      <c r="X29" s="102" t="s">
        <v>2798</v>
      </c>
      <c r="Y29" s="102" t="s">
        <v>2980</v>
      </c>
      <c r="Z29" s="102" t="s">
        <v>2981</v>
      </c>
      <c r="AA29" s="102" t="s">
        <v>2982</v>
      </c>
      <c r="AB29" s="102" t="s">
        <v>2983</v>
      </c>
      <c r="AC29" s="102" t="s">
        <v>2984</v>
      </c>
      <c r="AD29" s="102" t="s">
        <v>2985</v>
      </c>
      <c r="AE29" s="102" t="s">
        <v>2986</v>
      </c>
      <c r="AF29" s="102" t="s">
        <v>2798</v>
      </c>
      <c r="AG29" s="102" t="s">
        <v>2798</v>
      </c>
      <c r="AH29" s="102" t="s">
        <v>2798</v>
      </c>
      <c r="AI29" s="102" t="s">
        <v>2798</v>
      </c>
      <c r="AJ29" s="102" t="s">
        <v>2798</v>
      </c>
      <c r="AK29" s="102" t="s">
        <v>2798</v>
      </c>
      <c r="AL29" s="102" t="s">
        <v>2798</v>
      </c>
      <c r="AM29" s="102" t="s">
        <v>2798</v>
      </c>
      <c r="AN29" s="102" t="s">
        <v>2798</v>
      </c>
      <c r="AO29" s="102" t="s">
        <v>2798</v>
      </c>
      <c r="AP29" s="102" t="s">
        <v>2798</v>
      </c>
      <c r="AQ29" s="102" t="s">
        <v>2798</v>
      </c>
      <c r="AR29" s="102" t="s">
        <v>2798</v>
      </c>
      <c r="AS29" s="102" t="s">
        <v>2798</v>
      </c>
      <c r="AT29" s="102" t="s">
        <v>2798</v>
      </c>
      <c r="AU29" s="102" t="s">
        <v>2798</v>
      </c>
      <c r="AV29" s="102" t="s">
        <v>2798</v>
      </c>
      <c r="AW29" s="102" t="s">
        <v>2798</v>
      </c>
      <c r="AX29" s="102" t="s">
        <v>2798</v>
      </c>
      <c r="AY29" s="102" t="s">
        <v>2798</v>
      </c>
      <c r="AZ29" s="102" t="s">
        <v>2798</v>
      </c>
      <c r="BA29" s="102" t="s">
        <v>2798</v>
      </c>
      <c r="BB29" s="102" t="s">
        <v>2798</v>
      </c>
      <c r="BC29" s="102" t="s">
        <v>2798</v>
      </c>
      <c r="BD29" s="102" t="s">
        <v>2798</v>
      </c>
      <c r="BE29" s="102" t="s">
        <v>2798</v>
      </c>
      <c r="BF29" s="102" t="s">
        <v>2798</v>
      </c>
      <c r="BG29" s="102" t="s">
        <v>2798</v>
      </c>
      <c r="BH29" s="102" t="s">
        <v>2798</v>
      </c>
      <c r="BI29" s="102" t="s">
        <v>2798</v>
      </c>
      <c r="BJ29" s="102" t="s">
        <v>2798</v>
      </c>
      <c r="BK29" s="102" t="s">
        <v>2798</v>
      </c>
      <c r="BL29" s="102" t="s">
        <v>2798</v>
      </c>
      <c r="BM29" s="102" t="s">
        <v>3020</v>
      </c>
      <c r="BN29" s="102" t="s">
        <v>3021</v>
      </c>
      <c r="BO29" s="102" t="s">
        <v>3022</v>
      </c>
      <c r="BP29" s="102" t="s">
        <v>3023</v>
      </c>
      <c r="BQ29" s="102" t="s">
        <v>3024</v>
      </c>
      <c r="BR29" s="102" t="s">
        <v>3025</v>
      </c>
      <c r="BS29" s="102" t="s">
        <v>3026</v>
      </c>
      <c r="BT29" s="102" t="s">
        <v>2798</v>
      </c>
      <c r="BU29" s="102" t="s">
        <v>2798</v>
      </c>
      <c r="BV29" s="102" t="s">
        <v>2798</v>
      </c>
      <c r="BW29" s="102" t="s">
        <v>2798</v>
      </c>
      <c r="BX29" s="102" t="s">
        <v>2798</v>
      </c>
      <c r="BY29" s="102" t="s">
        <v>2798</v>
      </c>
      <c r="BZ29" s="102" t="s">
        <v>2798</v>
      </c>
      <c r="CA29" s="102" t="s">
        <v>2798</v>
      </c>
      <c r="CB29" s="102" t="s">
        <v>2798</v>
      </c>
      <c r="CC29" s="102" t="s">
        <v>2798</v>
      </c>
      <c r="CD29" s="102" t="s">
        <v>2798</v>
      </c>
      <c r="CE29" s="102" t="s">
        <v>2798</v>
      </c>
      <c r="CF29" s="102" t="s">
        <v>2798</v>
      </c>
      <c r="CG29" s="102" t="s">
        <v>2798</v>
      </c>
    </row>
    <row r="30" spans="2:85" ht="14.25" customHeight="1">
      <c r="B30" s="106" t="s">
        <v>677</v>
      </c>
      <c r="C30" s="113" t="s">
        <v>2893</v>
      </c>
      <c r="D30" s="106" t="s">
        <v>794</v>
      </c>
      <c r="E30" s="106" t="s">
        <v>2255</v>
      </c>
      <c r="F30" s="109">
        <v>11617.522999999999</v>
      </c>
      <c r="G30" s="109">
        <v>11658.151</v>
      </c>
      <c r="H30" s="117">
        <v>40.628000000000611</v>
      </c>
      <c r="I30" s="102">
        <v>0</v>
      </c>
      <c r="J30" s="115">
        <v>0</v>
      </c>
      <c r="K30" s="102" t="s">
        <v>2798</v>
      </c>
      <c r="L30" s="102" t="s">
        <v>2798</v>
      </c>
      <c r="M30" s="102" t="s">
        <v>2798</v>
      </c>
      <c r="N30" s="102" t="s">
        <v>2798</v>
      </c>
      <c r="O30" s="102" t="s">
        <v>2798</v>
      </c>
      <c r="P30" s="102" t="s">
        <v>2798</v>
      </c>
      <c r="Q30" s="102" t="s">
        <v>2798</v>
      </c>
      <c r="R30" s="102" t="s">
        <v>2798</v>
      </c>
      <c r="S30" s="102" t="s">
        <v>2798</v>
      </c>
      <c r="T30" s="102" t="s">
        <v>2798</v>
      </c>
      <c r="U30" s="102" t="s">
        <v>2798</v>
      </c>
      <c r="V30" s="102" t="s">
        <v>2798</v>
      </c>
      <c r="W30" s="102" t="s">
        <v>2798</v>
      </c>
      <c r="X30" s="102" t="s">
        <v>2798</v>
      </c>
      <c r="Y30" s="102" t="s">
        <v>2798</v>
      </c>
      <c r="Z30" s="102" t="s">
        <v>2798</v>
      </c>
      <c r="AA30" s="102" t="s">
        <v>2798</v>
      </c>
      <c r="AB30" s="102" t="s">
        <v>2798</v>
      </c>
      <c r="AC30" s="102" t="s">
        <v>2798</v>
      </c>
      <c r="AD30" s="102" t="s">
        <v>2798</v>
      </c>
      <c r="AE30" s="102" t="s">
        <v>2798</v>
      </c>
      <c r="AF30" s="102" t="s">
        <v>2798</v>
      </c>
      <c r="AG30" s="102" t="s">
        <v>2798</v>
      </c>
      <c r="AH30" s="102" t="s">
        <v>2798</v>
      </c>
      <c r="AI30" s="102" t="s">
        <v>2798</v>
      </c>
      <c r="AJ30" s="102" t="s">
        <v>2798</v>
      </c>
      <c r="AK30" s="102" t="s">
        <v>2798</v>
      </c>
      <c r="AL30" s="102" t="s">
        <v>2798</v>
      </c>
      <c r="AM30" s="102" t="s">
        <v>2798</v>
      </c>
      <c r="AN30" s="102" t="s">
        <v>2798</v>
      </c>
      <c r="AO30" s="102" t="s">
        <v>2798</v>
      </c>
      <c r="AP30" s="102" t="s">
        <v>2798</v>
      </c>
      <c r="AQ30" s="102" t="s">
        <v>2798</v>
      </c>
      <c r="AR30" s="102" t="s">
        <v>2798</v>
      </c>
      <c r="AS30" s="102" t="s">
        <v>2798</v>
      </c>
      <c r="AT30" s="102" t="s">
        <v>2798</v>
      </c>
      <c r="AU30" s="102" t="s">
        <v>2798</v>
      </c>
      <c r="AV30" s="102" t="s">
        <v>2798</v>
      </c>
      <c r="AW30" s="102" t="s">
        <v>2798</v>
      </c>
      <c r="AX30" s="102" t="s">
        <v>2798</v>
      </c>
      <c r="AY30" s="102" t="s">
        <v>2798</v>
      </c>
      <c r="AZ30" s="102" t="s">
        <v>2798</v>
      </c>
      <c r="BA30" s="102" t="s">
        <v>2798</v>
      </c>
      <c r="BB30" s="102" t="s">
        <v>2798</v>
      </c>
      <c r="BC30" s="102" t="s">
        <v>2798</v>
      </c>
      <c r="BD30" s="102" t="s">
        <v>2798</v>
      </c>
      <c r="BE30" s="102" t="s">
        <v>2798</v>
      </c>
      <c r="BF30" s="102" t="s">
        <v>2798</v>
      </c>
      <c r="BG30" s="102" t="s">
        <v>2798</v>
      </c>
      <c r="BH30" s="102" t="s">
        <v>2798</v>
      </c>
      <c r="BI30" s="102" t="s">
        <v>2798</v>
      </c>
      <c r="BJ30" s="102" t="s">
        <v>2798</v>
      </c>
      <c r="BK30" s="102" t="s">
        <v>2798</v>
      </c>
      <c r="BL30" s="102" t="s">
        <v>2798</v>
      </c>
      <c r="BM30" s="102" t="s">
        <v>2798</v>
      </c>
      <c r="BN30" s="102" t="s">
        <v>2798</v>
      </c>
      <c r="BO30" s="102" t="s">
        <v>2798</v>
      </c>
      <c r="BP30" s="102" t="s">
        <v>2798</v>
      </c>
      <c r="BQ30" s="102" t="s">
        <v>2798</v>
      </c>
      <c r="BR30" s="102" t="s">
        <v>2798</v>
      </c>
      <c r="BS30" s="102" t="s">
        <v>2798</v>
      </c>
      <c r="BT30" s="102" t="s">
        <v>3027</v>
      </c>
      <c r="BU30" s="102" t="s">
        <v>3028</v>
      </c>
      <c r="BV30" s="102" t="s">
        <v>3029</v>
      </c>
      <c r="BW30" s="102" t="s">
        <v>3030</v>
      </c>
      <c r="BX30" s="102" t="s">
        <v>3031</v>
      </c>
      <c r="BY30" s="102" t="s">
        <v>3032</v>
      </c>
      <c r="BZ30" s="102" t="s">
        <v>3033</v>
      </c>
      <c r="CA30" s="102" t="s">
        <v>3034</v>
      </c>
      <c r="CB30" s="102" t="s">
        <v>3035</v>
      </c>
      <c r="CC30" s="102" t="s">
        <v>3036</v>
      </c>
      <c r="CD30" s="102" t="s">
        <v>3037</v>
      </c>
      <c r="CE30" s="102" t="s">
        <v>3038</v>
      </c>
      <c r="CF30" s="102" t="s">
        <v>3039</v>
      </c>
      <c r="CG30" s="102" t="s">
        <v>3040</v>
      </c>
    </row>
    <row r="31" spans="2:85" ht="14.25" customHeight="1">
      <c r="B31" s="106" t="s">
        <v>61</v>
      </c>
      <c r="C31" s="113" t="s">
        <v>2948</v>
      </c>
      <c r="D31" s="106" t="s">
        <v>794</v>
      </c>
      <c r="E31" s="106" t="s">
        <v>2535</v>
      </c>
      <c r="F31" s="109">
        <v>14235.35</v>
      </c>
      <c r="G31" s="109">
        <v>14273.31</v>
      </c>
      <c r="H31" s="117">
        <v>37.959999999999127</v>
      </c>
      <c r="I31" s="102">
        <v>0</v>
      </c>
      <c r="J31" s="115">
        <v>0</v>
      </c>
      <c r="K31" s="102" t="s">
        <v>2966</v>
      </c>
      <c r="L31" s="102" t="s">
        <v>2967</v>
      </c>
      <c r="M31" s="102" t="s">
        <v>2968</v>
      </c>
      <c r="N31" s="102" t="s">
        <v>2969</v>
      </c>
      <c r="O31" s="102" t="s">
        <v>2970</v>
      </c>
      <c r="P31" s="102" t="s">
        <v>2971</v>
      </c>
      <c r="Q31" s="102" t="s">
        <v>2972</v>
      </c>
      <c r="R31" s="102" t="s">
        <v>2973</v>
      </c>
      <c r="S31" s="102" t="s">
        <v>2974</v>
      </c>
      <c r="T31" s="102" t="s">
        <v>2975</v>
      </c>
      <c r="U31" s="102" t="s">
        <v>2976</v>
      </c>
      <c r="V31" s="102" t="s">
        <v>2977</v>
      </c>
      <c r="W31" s="102" t="s">
        <v>2978</v>
      </c>
      <c r="X31" s="102" t="s">
        <v>2798</v>
      </c>
      <c r="Y31" s="102" t="s">
        <v>2798</v>
      </c>
      <c r="Z31" s="102" t="s">
        <v>2798</v>
      </c>
      <c r="AA31" s="102" t="s">
        <v>2798</v>
      </c>
      <c r="AB31" s="102" t="s">
        <v>2798</v>
      </c>
      <c r="AC31" s="102" t="s">
        <v>2798</v>
      </c>
      <c r="AD31" s="102" t="s">
        <v>2798</v>
      </c>
      <c r="AE31" s="102" t="s">
        <v>2798</v>
      </c>
      <c r="AF31" s="102" t="s">
        <v>2798</v>
      </c>
      <c r="AG31" s="102" t="s">
        <v>2798</v>
      </c>
      <c r="AH31" s="102" t="s">
        <v>2798</v>
      </c>
      <c r="AI31" s="102" t="s">
        <v>2798</v>
      </c>
      <c r="AJ31" s="102" t="s">
        <v>2798</v>
      </c>
      <c r="AK31" s="102" t="s">
        <v>2798</v>
      </c>
      <c r="AL31" s="102" t="s">
        <v>2798</v>
      </c>
      <c r="AM31" s="102" t="s">
        <v>2798</v>
      </c>
      <c r="AN31" s="102" t="s">
        <v>2798</v>
      </c>
      <c r="AO31" s="102" t="s">
        <v>2798</v>
      </c>
      <c r="AP31" s="102" t="s">
        <v>2798</v>
      </c>
      <c r="AQ31" s="102" t="s">
        <v>2798</v>
      </c>
      <c r="AR31" s="102" t="s">
        <v>2798</v>
      </c>
      <c r="AS31" s="102" t="s">
        <v>2798</v>
      </c>
      <c r="AT31" s="102" t="s">
        <v>2798</v>
      </c>
      <c r="AU31" s="102" t="s">
        <v>2798</v>
      </c>
      <c r="AV31" s="102" t="s">
        <v>2798</v>
      </c>
      <c r="AW31" s="102" t="s">
        <v>2798</v>
      </c>
      <c r="AX31" s="102" t="s">
        <v>2798</v>
      </c>
      <c r="AY31" s="102" t="s">
        <v>2798</v>
      </c>
      <c r="AZ31" s="102" t="s">
        <v>2798</v>
      </c>
      <c r="BA31" s="102" t="s">
        <v>2798</v>
      </c>
      <c r="BB31" s="102" t="s">
        <v>2798</v>
      </c>
      <c r="BC31" s="102" t="s">
        <v>2798</v>
      </c>
      <c r="BD31" s="102" t="s">
        <v>2798</v>
      </c>
      <c r="BE31" s="102" t="s">
        <v>2798</v>
      </c>
      <c r="BF31" s="102" t="s">
        <v>2798</v>
      </c>
      <c r="BG31" s="102" t="s">
        <v>2798</v>
      </c>
      <c r="BH31" s="102" t="s">
        <v>2798</v>
      </c>
      <c r="BI31" s="102" t="s">
        <v>2798</v>
      </c>
      <c r="BJ31" s="102" t="s">
        <v>2798</v>
      </c>
      <c r="BK31" s="102" t="s">
        <v>2798</v>
      </c>
      <c r="BL31" s="102" t="s">
        <v>2798</v>
      </c>
      <c r="BM31" s="102" t="s">
        <v>2798</v>
      </c>
      <c r="BN31" s="102" t="s">
        <v>2798</v>
      </c>
      <c r="BO31" s="102" t="s">
        <v>2798</v>
      </c>
      <c r="BP31" s="102" t="s">
        <v>2798</v>
      </c>
      <c r="BQ31" s="102" t="s">
        <v>2798</v>
      </c>
      <c r="BR31" s="102" t="s">
        <v>2798</v>
      </c>
      <c r="BS31" s="102" t="s">
        <v>2798</v>
      </c>
      <c r="BT31" s="102" t="s">
        <v>2798</v>
      </c>
      <c r="BU31" s="102" t="s">
        <v>2798</v>
      </c>
      <c r="BV31" s="102" t="s">
        <v>2798</v>
      </c>
      <c r="BW31" s="102" t="s">
        <v>2798</v>
      </c>
      <c r="BX31" s="102" t="s">
        <v>2798</v>
      </c>
      <c r="BY31" s="102" t="s">
        <v>2798</v>
      </c>
      <c r="BZ31" s="102" t="s">
        <v>2798</v>
      </c>
      <c r="CA31" s="102" t="s">
        <v>2798</v>
      </c>
      <c r="CB31" s="102" t="s">
        <v>2798</v>
      </c>
      <c r="CC31" s="102" t="s">
        <v>2798</v>
      </c>
      <c r="CD31" s="102" t="s">
        <v>2798</v>
      </c>
      <c r="CE31" s="102" t="s">
        <v>2798</v>
      </c>
      <c r="CF31" s="102" t="s">
        <v>2798</v>
      </c>
      <c r="CG31" s="102" t="s">
        <v>2798</v>
      </c>
    </row>
    <row r="32" spans="2:85" ht="14.25" customHeight="1">
      <c r="B32" s="106" t="s">
        <v>61</v>
      </c>
      <c r="C32" s="113" t="s">
        <v>2949</v>
      </c>
      <c r="D32" s="106" t="s">
        <v>794</v>
      </c>
      <c r="E32" s="106" t="s">
        <v>2535</v>
      </c>
      <c r="F32" s="109">
        <v>14273.31</v>
      </c>
      <c r="G32" s="109">
        <v>14311.27</v>
      </c>
      <c r="H32" s="117">
        <v>37.960000000000946</v>
      </c>
      <c r="I32" s="102">
        <v>0</v>
      </c>
      <c r="J32" s="115">
        <v>0</v>
      </c>
      <c r="K32" s="102" t="s">
        <v>2798</v>
      </c>
      <c r="L32" s="102" t="s">
        <v>2798</v>
      </c>
      <c r="M32" s="102" t="s">
        <v>2798</v>
      </c>
      <c r="N32" s="102" t="s">
        <v>2798</v>
      </c>
      <c r="O32" s="102" t="s">
        <v>2798</v>
      </c>
      <c r="P32" s="102" t="s">
        <v>2798</v>
      </c>
      <c r="Q32" s="102" t="s">
        <v>2798</v>
      </c>
      <c r="R32" s="102" t="s">
        <v>2798</v>
      </c>
      <c r="S32" s="102" t="s">
        <v>2798</v>
      </c>
      <c r="T32" s="102" t="s">
        <v>2798</v>
      </c>
      <c r="U32" s="102" t="s">
        <v>2798</v>
      </c>
      <c r="V32" s="102" t="s">
        <v>2798</v>
      </c>
      <c r="W32" s="102" t="s">
        <v>2798</v>
      </c>
      <c r="X32" s="102" t="s">
        <v>2979</v>
      </c>
      <c r="Y32" s="102" t="s">
        <v>2980</v>
      </c>
      <c r="Z32" s="102" t="s">
        <v>2981</v>
      </c>
      <c r="AA32" s="102" t="s">
        <v>2982</v>
      </c>
      <c r="AB32" s="102" t="s">
        <v>2983</v>
      </c>
      <c r="AC32" s="102" t="s">
        <v>2984</v>
      </c>
      <c r="AD32" s="102" t="s">
        <v>2985</v>
      </c>
      <c r="AE32" s="102" t="s">
        <v>2986</v>
      </c>
      <c r="AF32" s="102" t="s">
        <v>2987</v>
      </c>
      <c r="AG32" s="102" t="s">
        <v>2988</v>
      </c>
      <c r="AH32" s="102" t="s">
        <v>2989</v>
      </c>
      <c r="AI32" s="102" t="s">
        <v>2990</v>
      </c>
      <c r="AJ32" s="102" t="s">
        <v>2991</v>
      </c>
      <c r="AK32" s="102" t="s">
        <v>2798</v>
      </c>
      <c r="AL32" s="102" t="s">
        <v>2798</v>
      </c>
      <c r="AM32" s="102" t="s">
        <v>2798</v>
      </c>
      <c r="AN32" s="102" t="s">
        <v>2798</v>
      </c>
      <c r="AO32" s="102" t="s">
        <v>2798</v>
      </c>
      <c r="AP32" s="102" t="s">
        <v>2798</v>
      </c>
      <c r="AQ32" s="102" t="s">
        <v>2798</v>
      </c>
      <c r="AR32" s="102" t="s">
        <v>2798</v>
      </c>
      <c r="AS32" s="102" t="s">
        <v>2798</v>
      </c>
      <c r="AT32" s="102" t="s">
        <v>2798</v>
      </c>
      <c r="AU32" s="102" t="s">
        <v>2798</v>
      </c>
      <c r="AV32" s="102" t="s">
        <v>2798</v>
      </c>
      <c r="AW32" s="102" t="s">
        <v>2798</v>
      </c>
      <c r="AX32" s="102" t="s">
        <v>2798</v>
      </c>
      <c r="AY32" s="102" t="s">
        <v>2798</v>
      </c>
      <c r="AZ32" s="102" t="s">
        <v>2798</v>
      </c>
      <c r="BA32" s="102" t="s">
        <v>2798</v>
      </c>
      <c r="BB32" s="102" t="s">
        <v>2798</v>
      </c>
      <c r="BC32" s="102" t="s">
        <v>2798</v>
      </c>
      <c r="BD32" s="102" t="s">
        <v>2798</v>
      </c>
      <c r="BE32" s="102" t="s">
        <v>2798</v>
      </c>
      <c r="BF32" s="102" t="s">
        <v>2798</v>
      </c>
      <c r="BG32" s="102" t="s">
        <v>2798</v>
      </c>
      <c r="BH32" s="102" t="s">
        <v>2798</v>
      </c>
      <c r="BI32" s="102" t="s">
        <v>2798</v>
      </c>
      <c r="BJ32" s="102" t="s">
        <v>2798</v>
      </c>
      <c r="BK32" s="102" t="s">
        <v>2798</v>
      </c>
      <c r="BL32" s="102" t="s">
        <v>2798</v>
      </c>
      <c r="BM32" s="102" t="s">
        <v>2798</v>
      </c>
      <c r="BN32" s="102" t="s">
        <v>2798</v>
      </c>
      <c r="BO32" s="102" t="s">
        <v>2798</v>
      </c>
      <c r="BP32" s="102" t="s">
        <v>2798</v>
      </c>
      <c r="BQ32" s="102" t="s">
        <v>2798</v>
      </c>
      <c r="BR32" s="102" t="s">
        <v>2798</v>
      </c>
      <c r="BS32" s="102" t="s">
        <v>2798</v>
      </c>
      <c r="BT32" s="102" t="s">
        <v>2798</v>
      </c>
      <c r="BU32" s="102" t="s">
        <v>2798</v>
      </c>
      <c r="BV32" s="102" t="s">
        <v>2798</v>
      </c>
      <c r="BW32" s="102" t="s">
        <v>2798</v>
      </c>
      <c r="BX32" s="102" t="s">
        <v>2798</v>
      </c>
      <c r="BY32" s="102" t="s">
        <v>2798</v>
      </c>
      <c r="BZ32" s="102" t="s">
        <v>2798</v>
      </c>
      <c r="CA32" s="102" t="s">
        <v>2798</v>
      </c>
      <c r="CB32" s="102" t="s">
        <v>2798</v>
      </c>
      <c r="CC32" s="102" t="s">
        <v>2798</v>
      </c>
      <c r="CD32" s="102" t="s">
        <v>2798</v>
      </c>
      <c r="CE32" s="102" t="s">
        <v>2798</v>
      </c>
      <c r="CF32" s="102" t="s">
        <v>2798</v>
      </c>
      <c r="CG32" s="102" t="s">
        <v>2798</v>
      </c>
    </row>
    <row r="33" spans="2:85" ht="14.25" customHeight="1">
      <c r="B33" s="106" t="s">
        <v>61</v>
      </c>
      <c r="C33" s="113" t="s">
        <v>2950</v>
      </c>
      <c r="D33" s="106" t="s">
        <v>794</v>
      </c>
      <c r="E33" s="106" t="s">
        <v>2535</v>
      </c>
      <c r="F33" s="109">
        <v>14311.27</v>
      </c>
      <c r="G33" s="109">
        <v>14349.23</v>
      </c>
      <c r="H33" s="117">
        <v>37.959999999999127</v>
      </c>
      <c r="I33" s="102">
        <v>0</v>
      </c>
      <c r="J33" s="115">
        <v>0</v>
      </c>
      <c r="K33" s="102" t="s">
        <v>2798</v>
      </c>
      <c r="L33" s="102" t="s">
        <v>2798</v>
      </c>
      <c r="M33" s="102" t="s">
        <v>2798</v>
      </c>
      <c r="N33" s="102" t="s">
        <v>2798</v>
      </c>
      <c r="O33" s="102" t="s">
        <v>2798</v>
      </c>
      <c r="P33" s="102" t="s">
        <v>2798</v>
      </c>
      <c r="Q33" s="102" t="s">
        <v>2798</v>
      </c>
      <c r="R33" s="102" t="s">
        <v>2798</v>
      </c>
      <c r="S33" s="102" t="s">
        <v>2798</v>
      </c>
      <c r="T33" s="102" t="s">
        <v>2798</v>
      </c>
      <c r="U33" s="102" t="s">
        <v>2798</v>
      </c>
      <c r="V33" s="102" t="s">
        <v>2798</v>
      </c>
      <c r="W33" s="102" t="s">
        <v>2798</v>
      </c>
      <c r="X33" s="102" t="s">
        <v>2798</v>
      </c>
      <c r="Y33" s="102" t="s">
        <v>2798</v>
      </c>
      <c r="Z33" s="102" t="s">
        <v>2798</v>
      </c>
      <c r="AA33" s="102" t="s">
        <v>2798</v>
      </c>
      <c r="AB33" s="102" t="s">
        <v>2798</v>
      </c>
      <c r="AC33" s="102" t="s">
        <v>2798</v>
      </c>
      <c r="AD33" s="102" t="s">
        <v>2798</v>
      </c>
      <c r="AE33" s="102" t="s">
        <v>2798</v>
      </c>
      <c r="AF33" s="102" t="s">
        <v>2798</v>
      </c>
      <c r="AG33" s="102" t="s">
        <v>2798</v>
      </c>
      <c r="AH33" s="102" t="s">
        <v>2798</v>
      </c>
      <c r="AI33" s="102" t="s">
        <v>2798</v>
      </c>
      <c r="AJ33" s="102" t="s">
        <v>2798</v>
      </c>
      <c r="AK33" s="102" t="s">
        <v>2992</v>
      </c>
      <c r="AL33" s="102" t="s">
        <v>2993</v>
      </c>
      <c r="AM33" s="102" t="s">
        <v>2994</v>
      </c>
      <c r="AN33" s="102" t="s">
        <v>2995</v>
      </c>
      <c r="AO33" s="102" t="s">
        <v>2996</v>
      </c>
      <c r="AP33" s="102" t="s">
        <v>2997</v>
      </c>
      <c r="AQ33" s="102" t="s">
        <v>2998</v>
      </c>
      <c r="AR33" s="102" t="s">
        <v>2798</v>
      </c>
      <c r="AS33" s="102" t="s">
        <v>2798</v>
      </c>
      <c r="AT33" s="102" t="s">
        <v>2798</v>
      </c>
      <c r="AU33" s="102" t="s">
        <v>2798</v>
      </c>
      <c r="AV33" s="102" t="s">
        <v>2798</v>
      </c>
      <c r="AW33" s="102" t="s">
        <v>2798</v>
      </c>
      <c r="AX33" s="102" t="s">
        <v>2798</v>
      </c>
      <c r="AY33" s="102" t="s">
        <v>2798</v>
      </c>
      <c r="AZ33" s="102" t="s">
        <v>2798</v>
      </c>
      <c r="BA33" s="102" t="s">
        <v>2798</v>
      </c>
      <c r="BB33" s="102" t="s">
        <v>3009</v>
      </c>
      <c r="BC33" s="102" t="s">
        <v>3010</v>
      </c>
      <c r="BD33" s="102" t="s">
        <v>3011</v>
      </c>
      <c r="BE33" s="102" t="s">
        <v>3012</v>
      </c>
      <c r="BF33" s="102" t="s">
        <v>3013</v>
      </c>
      <c r="BG33" s="102" t="s">
        <v>3014</v>
      </c>
      <c r="BH33" s="102" t="s">
        <v>2798</v>
      </c>
      <c r="BI33" s="102" t="s">
        <v>2798</v>
      </c>
      <c r="BJ33" s="102" t="s">
        <v>2798</v>
      </c>
      <c r="BK33" s="102" t="s">
        <v>2798</v>
      </c>
      <c r="BL33" s="102" t="s">
        <v>2798</v>
      </c>
      <c r="BM33" s="102" t="s">
        <v>2798</v>
      </c>
      <c r="BN33" s="102" t="s">
        <v>2798</v>
      </c>
      <c r="BO33" s="102" t="s">
        <v>2798</v>
      </c>
      <c r="BP33" s="102" t="s">
        <v>2798</v>
      </c>
      <c r="BQ33" s="102" t="s">
        <v>2798</v>
      </c>
      <c r="BR33" s="102" t="s">
        <v>2798</v>
      </c>
      <c r="BS33" s="102" t="s">
        <v>2798</v>
      </c>
      <c r="BT33" s="102" t="s">
        <v>2798</v>
      </c>
      <c r="BU33" s="102" t="s">
        <v>2798</v>
      </c>
      <c r="BV33" s="102" t="s">
        <v>2798</v>
      </c>
      <c r="BW33" s="102" t="s">
        <v>2798</v>
      </c>
      <c r="BX33" s="102" t="s">
        <v>2798</v>
      </c>
      <c r="BY33" s="102" t="s">
        <v>2798</v>
      </c>
      <c r="BZ33" s="102" t="s">
        <v>2798</v>
      </c>
      <c r="CA33" s="102" t="s">
        <v>2798</v>
      </c>
      <c r="CB33" s="102" t="s">
        <v>2798</v>
      </c>
      <c r="CC33" s="102" t="s">
        <v>2798</v>
      </c>
      <c r="CD33" s="102" t="s">
        <v>2798</v>
      </c>
      <c r="CE33" s="102" t="s">
        <v>2798</v>
      </c>
      <c r="CF33" s="102" t="s">
        <v>2798</v>
      </c>
      <c r="CG33" s="102" t="s">
        <v>2798</v>
      </c>
    </row>
    <row r="34" spans="2:85" ht="14.25" customHeight="1">
      <c r="B34" s="106" t="s">
        <v>61</v>
      </c>
      <c r="C34" s="113" t="s">
        <v>2951</v>
      </c>
      <c r="D34" s="106" t="s">
        <v>794</v>
      </c>
      <c r="E34" s="106" t="s">
        <v>2535</v>
      </c>
      <c r="F34" s="109">
        <v>14349.23</v>
      </c>
      <c r="G34" s="109">
        <v>14387.19</v>
      </c>
      <c r="H34" s="117">
        <v>37.960000000000946</v>
      </c>
      <c r="I34" s="102">
        <v>0</v>
      </c>
      <c r="J34" s="115">
        <v>0</v>
      </c>
      <c r="K34" s="102" t="s">
        <v>2798</v>
      </c>
      <c r="L34" s="102" t="s">
        <v>2798</v>
      </c>
      <c r="M34" s="102" t="s">
        <v>2798</v>
      </c>
      <c r="N34" s="102" t="s">
        <v>2798</v>
      </c>
      <c r="O34" s="102" t="s">
        <v>2798</v>
      </c>
      <c r="P34" s="102" t="s">
        <v>2798</v>
      </c>
      <c r="Q34" s="102" t="s">
        <v>2798</v>
      </c>
      <c r="R34" s="102" t="s">
        <v>2798</v>
      </c>
      <c r="S34" s="102" t="s">
        <v>2798</v>
      </c>
      <c r="T34" s="102" t="s">
        <v>2798</v>
      </c>
      <c r="U34" s="102" t="s">
        <v>2798</v>
      </c>
      <c r="V34" s="102" t="s">
        <v>2798</v>
      </c>
      <c r="W34" s="102" t="s">
        <v>2798</v>
      </c>
      <c r="X34" s="102" t="s">
        <v>2798</v>
      </c>
      <c r="Y34" s="102" t="s">
        <v>2798</v>
      </c>
      <c r="Z34" s="102" t="s">
        <v>2798</v>
      </c>
      <c r="AA34" s="102" t="s">
        <v>2798</v>
      </c>
      <c r="AB34" s="102" t="s">
        <v>2798</v>
      </c>
      <c r="AC34" s="102" t="s">
        <v>2798</v>
      </c>
      <c r="AD34" s="102" t="s">
        <v>2798</v>
      </c>
      <c r="AE34" s="102" t="s">
        <v>2798</v>
      </c>
      <c r="AF34" s="102" t="s">
        <v>2798</v>
      </c>
      <c r="AG34" s="102" t="s">
        <v>2798</v>
      </c>
      <c r="AH34" s="102" t="s">
        <v>2798</v>
      </c>
      <c r="AI34" s="102" t="s">
        <v>2798</v>
      </c>
      <c r="AJ34" s="102" t="s">
        <v>2798</v>
      </c>
      <c r="AK34" s="102" t="s">
        <v>2798</v>
      </c>
      <c r="AL34" s="102" t="s">
        <v>2798</v>
      </c>
      <c r="AM34" s="102" t="s">
        <v>2798</v>
      </c>
      <c r="AN34" s="102" t="s">
        <v>2798</v>
      </c>
      <c r="AO34" s="102" t="s">
        <v>2798</v>
      </c>
      <c r="AP34" s="102" t="s">
        <v>2798</v>
      </c>
      <c r="AQ34" s="102" t="s">
        <v>2798</v>
      </c>
      <c r="AR34" s="102" t="s">
        <v>2798</v>
      </c>
      <c r="AS34" s="102" t="s">
        <v>2798</v>
      </c>
      <c r="AT34" s="102" t="s">
        <v>2798</v>
      </c>
      <c r="AU34" s="102" t="s">
        <v>2798</v>
      </c>
      <c r="AV34" s="102" t="s">
        <v>2798</v>
      </c>
      <c r="AW34" s="102" t="s">
        <v>2798</v>
      </c>
      <c r="AX34" s="102" t="s">
        <v>2798</v>
      </c>
      <c r="AY34" s="102" t="s">
        <v>2798</v>
      </c>
      <c r="AZ34" s="102" t="s">
        <v>2798</v>
      </c>
      <c r="BA34" s="102" t="s">
        <v>2798</v>
      </c>
      <c r="BB34" s="102" t="s">
        <v>2798</v>
      </c>
      <c r="BC34" s="102" t="s">
        <v>2798</v>
      </c>
      <c r="BD34" s="102" t="s">
        <v>2798</v>
      </c>
      <c r="BE34" s="102" t="s">
        <v>2798</v>
      </c>
      <c r="BF34" s="102" t="s">
        <v>2798</v>
      </c>
      <c r="BG34" s="102" t="s">
        <v>2798</v>
      </c>
      <c r="BH34" s="102" t="s">
        <v>3015</v>
      </c>
      <c r="BI34" s="102" t="s">
        <v>3016</v>
      </c>
      <c r="BJ34" s="102" t="s">
        <v>3017</v>
      </c>
      <c r="BK34" s="102" t="s">
        <v>3018</v>
      </c>
      <c r="BL34" s="102" t="s">
        <v>3019</v>
      </c>
      <c r="BM34" s="102" t="s">
        <v>3020</v>
      </c>
      <c r="BN34" s="102" t="s">
        <v>3021</v>
      </c>
      <c r="BO34" s="102" t="s">
        <v>3022</v>
      </c>
      <c r="BP34" s="102" t="s">
        <v>3023</v>
      </c>
      <c r="BQ34" s="102" t="s">
        <v>3024</v>
      </c>
      <c r="BR34" s="102" t="s">
        <v>3025</v>
      </c>
      <c r="BS34" s="102" t="s">
        <v>3026</v>
      </c>
      <c r="BT34" s="102" t="s">
        <v>3027</v>
      </c>
      <c r="BU34" s="102" t="s">
        <v>2798</v>
      </c>
      <c r="BV34" s="102" t="s">
        <v>2798</v>
      </c>
      <c r="BW34" s="102" t="s">
        <v>2798</v>
      </c>
      <c r="BX34" s="102" t="s">
        <v>2798</v>
      </c>
      <c r="BY34" s="102" t="s">
        <v>2798</v>
      </c>
      <c r="BZ34" s="102" t="s">
        <v>2798</v>
      </c>
      <c r="CA34" s="102" t="s">
        <v>2798</v>
      </c>
      <c r="CB34" s="102" t="s">
        <v>2798</v>
      </c>
      <c r="CC34" s="102" t="s">
        <v>2798</v>
      </c>
      <c r="CD34" s="102" t="s">
        <v>2798</v>
      </c>
      <c r="CE34" s="102" t="s">
        <v>2798</v>
      </c>
      <c r="CF34" s="102" t="s">
        <v>2798</v>
      </c>
      <c r="CG34" s="102" t="s">
        <v>2798</v>
      </c>
    </row>
    <row r="35" spans="2:85" ht="14.25" customHeight="1">
      <c r="B35" s="106" t="s">
        <v>61</v>
      </c>
      <c r="C35" s="113" t="s">
        <v>2952</v>
      </c>
      <c r="D35" s="106" t="s">
        <v>794</v>
      </c>
      <c r="E35" s="106" t="s">
        <v>2535</v>
      </c>
      <c r="F35" s="109">
        <v>14387.19</v>
      </c>
      <c r="G35" s="109">
        <v>14425.15</v>
      </c>
      <c r="H35" s="117">
        <v>37.959999999999127</v>
      </c>
      <c r="I35" s="102">
        <v>0</v>
      </c>
      <c r="J35" s="115">
        <v>0</v>
      </c>
      <c r="K35" s="102" t="s">
        <v>2798</v>
      </c>
      <c r="L35" s="102" t="s">
        <v>2798</v>
      </c>
      <c r="M35" s="102" t="s">
        <v>2798</v>
      </c>
      <c r="N35" s="102" t="s">
        <v>2798</v>
      </c>
      <c r="O35" s="102" t="s">
        <v>2798</v>
      </c>
      <c r="P35" s="102" t="s">
        <v>2798</v>
      </c>
      <c r="Q35" s="102" t="s">
        <v>2798</v>
      </c>
      <c r="R35" s="102" t="s">
        <v>2798</v>
      </c>
      <c r="S35" s="102" t="s">
        <v>2798</v>
      </c>
      <c r="T35" s="102" t="s">
        <v>2798</v>
      </c>
      <c r="U35" s="102" t="s">
        <v>2798</v>
      </c>
      <c r="V35" s="102" t="s">
        <v>2798</v>
      </c>
      <c r="W35" s="102" t="s">
        <v>2798</v>
      </c>
      <c r="X35" s="102" t="s">
        <v>2798</v>
      </c>
      <c r="Y35" s="102" t="s">
        <v>2798</v>
      </c>
      <c r="Z35" s="102" t="s">
        <v>2798</v>
      </c>
      <c r="AA35" s="102" t="s">
        <v>2798</v>
      </c>
      <c r="AB35" s="102" t="s">
        <v>2798</v>
      </c>
      <c r="AC35" s="102" t="s">
        <v>2798</v>
      </c>
      <c r="AD35" s="102" t="s">
        <v>2798</v>
      </c>
      <c r="AE35" s="102" t="s">
        <v>2798</v>
      </c>
      <c r="AF35" s="102" t="s">
        <v>2798</v>
      </c>
      <c r="AG35" s="102" t="s">
        <v>2798</v>
      </c>
      <c r="AH35" s="102" t="s">
        <v>2798</v>
      </c>
      <c r="AI35" s="102" t="s">
        <v>2798</v>
      </c>
      <c r="AJ35" s="102" t="s">
        <v>2798</v>
      </c>
      <c r="AK35" s="102" t="s">
        <v>2798</v>
      </c>
      <c r="AL35" s="102" t="s">
        <v>2798</v>
      </c>
      <c r="AM35" s="102" t="s">
        <v>2798</v>
      </c>
      <c r="AN35" s="102" t="s">
        <v>2798</v>
      </c>
      <c r="AO35" s="102" t="s">
        <v>2798</v>
      </c>
      <c r="AP35" s="102" t="s">
        <v>2798</v>
      </c>
      <c r="AQ35" s="102" t="s">
        <v>2798</v>
      </c>
      <c r="AR35" s="102" t="s">
        <v>2798</v>
      </c>
      <c r="AS35" s="102" t="s">
        <v>2798</v>
      </c>
      <c r="AT35" s="102" t="s">
        <v>2798</v>
      </c>
      <c r="AU35" s="102" t="s">
        <v>2798</v>
      </c>
      <c r="AV35" s="102" t="s">
        <v>2798</v>
      </c>
      <c r="AW35" s="102" t="s">
        <v>2798</v>
      </c>
      <c r="AX35" s="102" t="s">
        <v>2798</v>
      </c>
      <c r="AY35" s="102" t="s">
        <v>2798</v>
      </c>
      <c r="AZ35" s="102" t="s">
        <v>2798</v>
      </c>
      <c r="BA35" s="102" t="s">
        <v>2798</v>
      </c>
      <c r="BB35" s="102" t="s">
        <v>2798</v>
      </c>
      <c r="BC35" s="102" t="s">
        <v>2798</v>
      </c>
      <c r="BD35" s="102" t="s">
        <v>2798</v>
      </c>
      <c r="BE35" s="102" t="s">
        <v>2798</v>
      </c>
      <c r="BF35" s="102" t="s">
        <v>2798</v>
      </c>
      <c r="BG35" s="102" t="s">
        <v>2798</v>
      </c>
      <c r="BH35" s="102" t="s">
        <v>2798</v>
      </c>
      <c r="BI35" s="102" t="s">
        <v>2798</v>
      </c>
      <c r="BJ35" s="102" t="s">
        <v>2798</v>
      </c>
      <c r="BK35" s="102" t="s">
        <v>2798</v>
      </c>
      <c r="BL35" s="102" t="s">
        <v>2798</v>
      </c>
      <c r="BM35" s="102" t="s">
        <v>2798</v>
      </c>
      <c r="BN35" s="102" t="s">
        <v>2798</v>
      </c>
      <c r="BO35" s="102" t="s">
        <v>2798</v>
      </c>
      <c r="BP35" s="102" t="s">
        <v>2798</v>
      </c>
      <c r="BQ35" s="102" t="s">
        <v>2798</v>
      </c>
      <c r="BR35" s="102" t="s">
        <v>2798</v>
      </c>
      <c r="BS35" s="102" t="s">
        <v>2798</v>
      </c>
      <c r="BT35" s="102" t="s">
        <v>2798</v>
      </c>
      <c r="BU35" s="102" t="s">
        <v>3028</v>
      </c>
      <c r="BV35" s="102" t="s">
        <v>3029</v>
      </c>
      <c r="BW35" s="102" t="s">
        <v>3030</v>
      </c>
      <c r="BX35" s="102" t="s">
        <v>3031</v>
      </c>
      <c r="BY35" s="102" t="s">
        <v>3032</v>
      </c>
      <c r="BZ35" s="102" t="s">
        <v>3033</v>
      </c>
      <c r="CA35" s="102" t="s">
        <v>3034</v>
      </c>
      <c r="CB35" s="102" t="s">
        <v>3035</v>
      </c>
      <c r="CC35" s="102" t="s">
        <v>3036</v>
      </c>
      <c r="CD35" s="102" t="s">
        <v>3037</v>
      </c>
      <c r="CE35" s="102" t="s">
        <v>3038</v>
      </c>
      <c r="CF35" s="102" t="s">
        <v>3039</v>
      </c>
      <c r="CG35" s="102" t="s">
        <v>3040</v>
      </c>
    </row>
    <row r="36" spans="2:85" ht="14.25" customHeight="1">
      <c r="B36" s="106" t="s">
        <v>61</v>
      </c>
      <c r="C36" s="113" t="s">
        <v>2958</v>
      </c>
      <c r="D36" s="106" t="s">
        <v>794</v>
      </c>
      <c r="E36" s="106" t="s">
        <v>2590</v>
      </c>
      <c r="F36" s="109">
        <v>14657.09</v>
      </c>
      <c r="G36" s="109">
        <v>14698.06</v>
      </c>
      <c r="H36" s="117">
        <v>40.969999999999345</v>
      </c>
      <c r="I36" s="102">
        <v>0</v>
      </c>
      <c r="J36" s="115">
        <v>0</v>
      </c>
      <c r="K36" s="102" t="s">
        <v>2966</v>
      </c>
      <c r="L36" s="102" t="s">
        <v>2967</v>
      </c>
      <c r="M36" s="102" t="s">
        <v>2968</v>
      </c>
      <c r="N36" s="102" t="s">
        <v>2969</v>
      </c>
      <c r="O36" s="102" t="s">
        <v>2970</v>
      </c>
      <c r="P36" s="102" t="s">
        <v>2971</v>
      </c>
      <c r="Q36" s="102" t="s">
        <v>2972</v>
      </c>
      <c r="R36" s="102" t="s">
        <v>2973</v>
      </c>
      <c r="S36" s="102" t="s">
        <v>2974</v>
      </c>
      <c r="T36" s="102" t="s">
        <v>2975</v>
      </c>
      <c r="U36" s="102" t="s">
        <v>2976</v>
      </c>
      <c r="V36" s="102" t="s">
        <v>2977</v>
      </c>
      <c r="W36" s="102" t="s">
        <v>2978</v>
      </c>
      <c r="X36" s="102" t="s">
        <v>2979</v>
      </c>
      <c r="Y36" s="102" t="s">
        <v>2798</v>
      </c>
      <c r="Z36" s="102" t="s">
        <v>2798</v>
      </c>
      <c r="AA36" s="102" t="s">
        <v>2798</v>
      </c>
      <c r="AB36" s="102" t="s">
        <v>2798</v>
      </c>
      <c r="AC36" s="102" t="s">
        <v>2798</v>
      </c>
      <c r="AD36" s="102" t="s">
        <v>2798</v>
      </c>
      <c r="AE36" s="102" t="s">
        <v>2798</v>
      </c>
      <c r="AF36" s="102" t="s">
        <v>2798</v>
      </c>
      <c r="AG36" s="102" t="s">
        <v>2798</v>
      </c>
      <c r="AH36" s="102" t="s">
        <v>2798</v>
      </c>
      <c r="AI36" s="102" t="s">
        <v>2798</v>
      </c>
      <c r="AJ36" s="102" t="s">
        <v>2798</v>
      </c>
      <c r="AK36" s="102" t="s">
        <v>2798</v>
      </c>
      <c r="AL36" s="102" t="s">
        <v>2798</v>
      </c>
      <c r="AM36" s="102" t="s">
        <v>2798</v>
      </c>
      <c r="AN36" s="102" t="s">
        <v>2798</v>
      </c>
      <c r="AO36" s="102" t="s">
        <v>2798</v>
      </c>
      <c r="AP36" s="102" t="s">
        <v>2798</v>
      </c>
      <c r="AQ36" s="102" t="s">
        <v>2798</v>
      </c>
      <c r="AR36" s="102" t="s">
        <v>2798</v>
      </c>
      <c r="AS36" s="102" t="s">
        <v>2798</v>
      </c>
      <c r="AT36" s="102" t="s">
        <v>2798</v>
      </c>
      <c r="AU36" s="102" t="s">
        <v>2798</v>
      </c>
      <c r="AV36" s="102" t="s">
        <v>2798</v>
      </c>
      <c r="AW36" s="102" t="s">
        <v>2798</v>
      </c>
      <c r="AX36" s="102" t="s">
        <v>2798</v>
      </c>
      <c r="AY36" s="102" t="s">
        <v>2798</v>
      </c>
      <c r="AZ36" s="102" t="s">
        <v>2798</v>
      </c>
      <c r="BA36" s="102" t="s">
        <v>2798</v>
      </c>
      <c r="BB36" s="102" t="s">
        <v>2798</v>
      </c>
      <c r="BC36" s="102" t="s">
        <v>2798</v>
      </c>
      <c r="BD36" s="102" t="s">
        <v>2798</v>
      </c>
      <c r="BE36" s="102" t="s">
        <v>2798</v>
      </c>
      <c r="BF36" s="102" t="s">
        <v>2798</v>
      </c>
      <c r="BG36" s="102" t="s">
        <v>2798</v>
      </c>
      <c r="BH36" s="102" t="s">
        <v>2798</v>
      </c>
      <c r="BI36" s="102" t="s">
        <v>2798</v>
      </c>
      <c r="BJ36" s="102" t="s">
        <v>2798</v>
      </c>
      <c r="BK36" s="102" t="s">
        <v>2798</v>
      </c>
      <c r="BL36" s="102" t="s">
        <v>2798</v>
      </c>
      <c r="BM36" s="102" t="s">
        <v>2798</v>
      </c>
      <c r="BN36" s="102" t="s">
        <v>2798</v>
      </c>
      <c r="BO36" s="102" t="s">
        <v>2798</v>
      </c>
      <c r="BP36" s="102" t="s">
        <v>2798</v>
      </c>
      <c r="BQ36" s="102" t="s">
        <v>2798</v>
      </c>
      <c r="BR36" s="102" t="s">
        <v>2798</v>
      </c>
      <c r="BS36" s="102" t="s">
        <v>2798</v>
      </c>
      <c r="BT36" s="102" t="s">
        <v>2798</v>
      </c>
      <c r="BU36" s="102" t="s">
        <v>2798</v>
      </c>
      <c r="BV36" s="102" t="s">
        <v>2798</v>
      </c>
      <c r="BW36" s="102" t="s">
        <v>2798</v>
      </c>
      <c r="BX36" s="102" t="s">
        <v>2798</v>
      </c>
      <c r="BY36" s="102" t="s">
        <v>2798</v>
      </c>
      <c r="BZ36" s="102" t="s">
        <v>2798</v>
      </c>
      <c r="CA36" s="102" t="s">
        <v>2798</v>
      </c>
      <c r="CB36" s="102" t="s">
        <v>2798</v>
      </c>
      <c r="CC36" s="102" t="s">
        <v>2798</v>
      </c>
      <c r="CD36" s="102" t="s">
        <v>2798</v>
      </c>
      <c r="CE36" s="102" t="s">
        <v>2798</v>
      </c>
      <c r="CF36" s="102" t="s">
        <v>2798</v>
      </c>
      <c r="CG36" s="102" t="s">
        <v>2798</v>
      </c>
    </row>
    <row r="37" spans="2:85" ht="14.25" customHeight="1">
      <c r="B37" s="106" t="s">
        <v>61</v>
      </c>
      <c r="C37" s="113" t="s">
        <v>2959</v>
      </c>
      <c r="D37" s="106" t="s">
        <v>794</v>
      </c>
      <c r="E37" s="106" t="s">
        <v>2590</v>
      </c>
      <c r="F37" s="109">
        <v>14698.06</v>
      </c>
      <c r="G37" s="109">
        <v>14739.03</v>
      </c>
      <c r="H37" s="117">
        <v>40.970000000001164</v>
      </c>
      <c r="I37" s="102">
        <v>0</v>
      </c>
      <c r="J37" s="115">
        <v>0</v>
      </c>
      <c r="K37" s="102" t="s">
        <v>2798</v>
      </c>
      <c r="L37" s="102" t="s">
        <v>2798</v>
      </c>
      <c r="M37" s="102" t="s">
        <v>2798</v>
      </c>
      <c r="N37" s="102" t="s">
        <v>2798</v>
      </c>
      <c r="O37" s="102" t="s">
        <v>2798</v>
      </c>
      <c r="P37" s="102" t="s">
        <v>2798</v>
      </c>
      <c r="Q37" s="102" t="s">
        <v>2798</v>
      </c>
      <c r="R37" s="102" t="s">
        <v>2798</v>
      </c>
      <c r="S37" s="102" t="s">
        <v>2798</v>
      </c>
      <c r="T37" s="102" t="s">
        <v>2798</v>
      </c>
      <c r="U37" s="102" t="s">
        <v>2798</v>
      </c>
      <c r="V37" s="102" t="s">
        <v>2798</v>
      </c>
      <c r="W37" s="102" t="s">
        <v>2798</v>
      </c>
      <c r="X37" s="102" t="s">
        <v>2798</v>
      </c>
      <c r="Y37" s="102" t="s">
        <v>2980</v>
      </c>
      <c r="Z37" s="102" t="s">
        <v>2981</v>
      </c>
      <c r="AA37" s="102" t="s">
        <v>2982</v>
      </c>
      <c r="AB37" s="102" t="s">
        <v>2983</v>
      </c>
      <c r="AC37" s="102" t="s">
        <v>2984</v>
      </c>
      <c r="AD37" s="102" t="s">
        <v>2985</v>
      </c>
      <c r="AE37" s="102" t="s">
        <v>2986</v>
      </c>
      <c r="AF37" s="102" t="s">
        <v>2798</v>
      </c>
      <c r="AG37" s="102" t="s">
        <v>2798</v>
      </c>
      <c r="AH37" s="102" t="s">
        <v>2798</v>
      </c>
      <c r="AI37" s="102" t="s">
        <v>2798</v>
      </c>
      <c r="AJ37" s="102" t="s">
        <v>2798</v>
      </c>
      <c r="AK37" s="102" t="s">
        <v>2798</v>
      </c>
      <c r="AL37" s="102" t="s">
        <v>2798</v>
      </c>
      <c r="AM37" s="102" t="s">
        <v>2798</v>
      </c>
      <c r="AN37" s="102" t="s">
        <v>2798</v>
      </c>
      <c r="AO37" s="102" t="s">
        <v>2798</v>
      </c>
      <c r="AP37" s="102" t="s">
        <v>2798</v>
      </c>
      <c r="AQ37" s="102" t="s">
        <v>2798</v>
      </c>
      <c r="AR37" s="102" t="s">
        <v>2798</v>
      </c>
      <c r="AS37" s="102" t="s">
        <v>2798</v>
      </c>
      <c r="AT37" s="102" t="s">
        <v>2798</v>
      </c>
      <c r="AU37" s="102" t="s">
        <v>2798</v>
      </c>
      <c r="AV37" s="102" t="s">
        <v>2798</v>
      </c>
      <c r="AW37" s="102" t="s">
        <v>2798</v>
      </c>
      <c r="AX37" s="102" t="s">
        <v>2798</v>
      </c>
      <c r="AY37" s="102" t="s">
        <v>2798</v>
      </c>
      <c r="AZ37" s="102" t="s">
        <v>2798</v>
      </c>
      <c r="BA37" s="102" t="s">
        <v>2798</v>
      </c>
      <c r="BB37" s="102" t="s">
        <v>2798</v>
      </c>
      <c r="BC37" s="102" t="s">
        <v>2798</v>
      </c>
      <c r="BD37" s="102" t="s">
        <v>2798</v>
      </c>
      <c r="BE37" s="102" t="s">
        <v>2798</v>
      </c>
      <c r="BF37" s="102" t="s">
        <v>2798</v>
      </c>
      <c r="BG37" s="102" t="s">
        <v>2798</v>
      </c>
      <c r="BH37" s="102" t="s">
        <v>2798</v>
      </c>
      <c r="BI37" s="102" t="s">
        <v>2798</v>
      </c>
      <c r="BJ37" s="102" t="s">
        <v>2798</v>
      </c>
      <c r="BK37" s="102" t="s">
        <v>2798</v>
      </c>
      <c r="BL37" s="102" t="s">
        <v>2798</v>
      </c>
      <c r="BM37" s="102" t="s">
        <v>3020</v>
      </c>
      <c r="BN37" s="102" t="s">
        <v>3021</v>
      </c>
      <c r="BO37" s="102" t="s">
        <v>3022</v>
      </c>
      <c r="BP37" s="102" t="s">
        <v>3023</v>
      </c>
      <c r="BQ37" s="102" t="s">
        <v>3024</v>
      </c>
      <c r="BR37" s="102" t="s">
        <v>3025</v>
      </c>
      <c r="BS37" s="102" t="s">
        <v>3026</v>
      </c>
      <c r="BT37" s="102" t="s">
        <v>2798</v>
      </c>
      <c r="BU37" s="102" t="s">
        <v>2798</v>
      </c>
      <c r="BV37" s="102" t="s">
        <v>2798</v>
      </c>
      <c r="BW37" s="102" t="s">
        <v>2798</v>
      </c>
      <c r="BX37" s="102" t="s">
        <v>2798</v>
      </c>
      <c r="BY37" s="102" t="s">
        <v>2798</v>
      </c>
      <c r="BZ37" s="102" t="s">
        <v>2798</v>
      </c>
      <c r="CA37" s="102" t="s">
        <v>2798</v>
      </c>
      <c r="CB37" s="102" t="s">
        <v>2798</v>
      </c>
      <c r="CC37" s="102" t="s">
        <v>2798</v>
      </c>
      <c r="CD37" s="102" t="s">
        <v>2798</v>
      </c>
      <c r="CE37" s="102" t="s">
        <v>2798</v>
      </c>
      <c r="CF37" s="102" t="s">
        <v>2798</v>
      </c>
      <c r="CG37" s="102" t="s">
        <v>2798</v>
      </c>
    </row>
    <row r="38" spans="2:85" ht="14.25" customHeight="1">
      <c r="B38" s="106" t="s">
        <v>61</v>
      </c>
      <c r="C38" s="113" t="s">
        <v>2960</v>
      </c>
      <c r="D38" s="106" t="s">
        <v>794</v>
      </c>
      <c r="E38" s="106" t="s">
        <v>2590</v>
      </c>
      <c r="F38" s="109">
        <v>14739.03</v>
      </c>
      <c r="G38" s="109">
        <v>14780</v>
      </c>
      <c r="H38" s="117">
        <v>40.969999999999345</v>
      </c>
      <c r="I38" s="102">
        <v>0</v>
      </c>
      <c r="J38" s="115">
        <v>0</v>
      </c>
      <c r="K38" s="102" t="s">
        <v>2798</v>
      </c>
      <c r="L38" s="102" t="s">
        <v>2798</v>
      </c>
      <c r="M38" s="102" t="s">
        <v>2798</v>
      </c>
      <c r="N38" s="102" t="s">
        <v>2798</v>
      </c>
      <c r="O38" s="102" t="s">
        <v>2798</v>
      </c>
      <c r="P38" s="102" t="s">
        <v>2798</v>
      </c>
      <c r="Q38" s="102" t="s">
        <v>2798</v>
      </c>
      <c r="R38" s="102" t="s">
        <v>2798</v>
      </c>
      <c r="S38" s="102" t="s">
        <v>2798</v>
      </c>
      <c r="T38" s="102" t="s">
        <v>2798</v>
      </c>
      <c r="U38" s="102" t="s">
        <v>2798</v>
      </c>
      <c r="V38" s="102" t="s">
        <v>2798</v>
      </c>
      <c r="W38" s="102" t="s">
        <v>2798</v>
      </c>
      <c r="X38" s="102" t="s">
        <v>2798</v>
      </c>
      <c r="Y38" s="102" t="s">
        <v>2798</v>
      </c>
      <c r="Z38" s="102" t="s">
        <v>2798</v>
      </c>
      <c r="AA38" s="102" t="s">
        <v>2798</v>
      </c>
      <c r="AB38" s="102" t="s">
        <v>2798</v>
      </c>
      <c r="AC38" s="102" t="s">
        <v>2798</v>
      </c>
      <c r="AD38" s="102" t="s">
        <v>2798</v>
      </c>
      <c r="AE38" s="102" t="s">
        <v>2798</v>
      </c>
      <c r="AF38" s="102" t="s">
        <v>2798</v>
      </c>
      <c r="AG38" s="102" t="s">
        <v>2798</v>
      </c>
      <c r="AH38" s="102" t="s">
        <v>2798</v>
      </c>
      <c r="AI38" s="102" t="s">
        <v>2798</v>
      </c>
      <c r="AJ38" s="102" t="s">
        <v>2798</v>
      </c>
      <c r="AK38" s="102" t="s">
        <v>2798</v>
      </c>
      <c r="AL38" s="102" t="s">
        <v>2798</v>
      </c>
      <c r="AM38" s="102" t="s">
        <v>2798</v>
      </c>
      <c r="AN38" s="102" t="s">
        <v>2798</v>
      </c>
      <c r="AO38" s="102" t="s">
        <v>2798</v>
      </c>
      <c r="AP38" s="102" t="s">
        <v>2798</v>
      </c>
      <c r="AQ38" s="102" t="s">
        <v>2798</v>
      </c>
      <c r="AR38" s="102" t="s">
        <v>2798</v>
      </c>
      <c r="AS38" s="102" t="s">
        <v>2798</v>
      </c>
      <c r="AT38" s="102" t="s">
        <v>2798</v>
      </c>
      <c r="AU38" s="102" t="s">
        <v>2798</v>
      </c>
      <c r="AV38" s="102" t="s">
        <v>2798</v>
      </c>
      <c r="AW38" s="102" t="s">
        <v>2798</v>
      </c>
      <c r="AX38" s="102" t="s">
        <v>2798</v>
      </c>
      <c r="AY38" s="102" t="s">
        <v>2798</v>
      </c>
      <c r="AZ38" s="102" t="s">
        <v>2798</v>
      </c>
      <c r="BA38" s="102" t="s">
        <v>2798</v>
      </c>
      <c r="BB38" s="102" t="s">
        <v>2798</v>
      </c>
      <c r="BC38" s="102" t="s">
        <v>2798</v>
      </c>
      <c r="BD38" s="102" t="s">
        <v>2798</v>
      </c>
      <c r="BE38" s="102" t="s">
        <v>2798</v>
      </c>
      <c r="BF38" s="102" t="s">
        <v>2798</v>
      </c>
      <c r="BG38" s="102" t="s">
        <v>2798</v>
      </c>
      <c r="BH38" s="102" t="s">
        <v>2798</v>
      </c>
      <c r="BI38" s="102" t="s">
        <v>2798</v>
      </c>
      <c r="BJ38" s="102" t="s">
        <v>2798</v>
      </c>
      <c r="BK38" s="102" t="s">
        <v>2798</v>
      </c>
      <c r="BL38" s="102" t="s">
        <v>2798</v>
      </c>
      <c r="BM38" s="102" t="s">
        <v>2798</v>
      </c>
      <c r="BN38" s="102" t="s">
        <v>2798</v>
      </c>
      <c r="BO38" s="102" t="s">
        <v>2798</v>
      </c>
      <c r="BP38" s="102" t="s">
        <v>2798</v>
      </c>
      <c r="BQ38" s="102" t="s">
        <v>2798</v>
      </c>
      <c r="BR38" s="102" t="s">
        <v>2798</v>
      </c>
      <c r="BS38" s="102" t="s">
        <v>2798</v>
      </c>
      <c r="BT38" s="102" t="s">
        <v>3027</v>
      </c>
      <c r="BU38" s="102" t="s">
        <v>3028</v>
      </c>
      <c r="BV38" s="102" t="s">
        <v>3029</v>
      </c>
      <c r="BW38" s="102" t="s">
        <v>3030</v>
      </c>
      <c r="BX38" s="102" t="s">
        <v>3031</v>
      </c>
      <c r="BY38" s="102" t="s">
        <v>3032</v>
      </c>
      <c r="BZ38" s="102" t="s">
        <v>3033</v>
      </c>
      <c r="CA38" s="102" t="s">
        <v>3034</v>
      </c>
      <c r="CB38" s="102" t="s">
        <v>3035</v>
      </c>
      <c r="CC38" s="102" t="s">
        <v>3036</v>
      </c>
      <c r="CD38" s="102" t="s">
        <v>3037</v>
      </c>
      <c r="CE38" s="102" t="s">
        <v>3038</v>
      </c>
      <c r="CF38" s="102" t="s">
        <v>3039</v>
      </c>
      <c r="CG38" s="102" t="s">
        <v>3040</v>
      </c>
    </row>
    <row r="39" spans="2:85" ht="14.25" customHeight="1">
      <c r="B39" s="106"/>
      <c r="C39" s="113"/>
      <c r="D39" s="113"/>
      <c r="E39" s="106"/>
      <c r="F39" s="118"/>
      <c r="G39" s="118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</row>
    <row r="40" spans="2:85" ht="14.25" customHeight="1">
      <c r="B40" s="106"/>
      <c r="C40" s="113"/>
      <c r="D40" s="113"/>
      <c r="E40" s="106"/>
      <c r="F40" s="118"/>
      <c r="G40" s="118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</row>
    <row r="41" spans="2:85" ht="14.25" customHeight="1">
      <c r="B41" s="106"/>
      <c r="C41" s="113"/>
      <c r="D41" s="113"/>
      <c r="E41" s="106"/>
      <c r="F41" s="118"/>
      <c r="G41" s="118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</row>
    <row r="42" spans="2:85" ht="14.25" customHeight="1">
      <c r="B42" s="106"/>
      <c r="C42" s="113"/>
      <c r="D42" s="113"/>
      <c r="E42" s="106"/>
      <c r="F42" s="118"/>
      <c r="G42" s="118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</row>
    <row r="43" spans="2:85" ht="14.25" customHeight="1">
      <c r="B43" s="106"/>
      <c r="C43" s="113"/>
      <c r="D43" s="113"/>
      <c r="E43" s="106"/>
      <c r="F43" s="118"/>
      <c r="G43" s="118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</row>
    <row r="44" spans="2:85" ht="14.25" customHeight="1">
      <c r="B44" s="106"/>
      <c r="C44" s="113"/>
      <c r="D44" s="113"/>
      <c r="E44" s="106"/>
      <c r="F44" s="118"/>
      <c r="G44" s="118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</row>
    <row r="45" spans="2:85" ht="14.25" customHeight="1">
      <c r="B45" s="106"/>
      <c r="C45" s="113"/>
      <c r="D45" s="113"/>
      <c r="E45" s="106"/>
      <c r="F45" s="118"/>
      <c r="G45" s="118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</row>
    <row r="46" spans="2:85" ht="14.25" customHeight="1">
      <c r="B46" s="106"/>
      <c r="C46" s="113"/>
      <c r="D46" s="113"/>
      <c r="E46" s="106"/>
      <c r="F46" s="118"/>
      <c r="G46" s="118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</row>
    <row r="47" spans="2:85" ht="14.25" customHeight="1">
      <c r="B47" s="106"/>
      <c r="C47" s="113"/>
      <c r="D47" s="113"/>
      <c r="E47" s="106"/>
      <c r="F47" s="118"/>
      <c r="G47" s="118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</row>
    <row r="48" spans="2:85" ht="14.25" customHeight="1">
      <c r="B48" s="106"/>
      <c r="C48" s="113"/>
      <c r="D48" s="113"/>
      <c r="E48" s="106"/>
      <c r="F48" s="118"/>
      <c r="G48" s="118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</row>
    <row r="49" spans="2:85" ht="14.25" customHeight="1">
      <c r="B49" s="106"/>
      <c r="C49" s="113"/>
      <c r="D49" s="113"/>
      <c r="E49" s="106"/>
      <c r="F49" s="118"/>
      <c r="G49" s="118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</row>
    <row r="50" spans="2:85" ht="14.25" customHeight="1">
      <c r="B50" s="106"/>
      <c r="C50" s="113"/>
      <c r="D50" s="113"/>
      <c r="E50" s="106"/>
      <c r="F50" s="118"/>
      <c r="G50" s="118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</row>
    <row r="51" spans="2:85" ht="14.25" customHeight="1">
      <c r="B51" s="106"/>
      <c r="C51" s="113"/>
      <c r="D51" s="113"/>
      <c r="E51" s="106"/>
      <c r="F51" s="118"/>
      <c r="G51" s="118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</row>
    <row r="52" spans="2:85" ht="14.25" customHeight="1">
      <c r="B52" s="106"/>
      <c r="C52" s="113"/>
      <c r="D52" s="113"/>
      <c r="E52" s="106"/>
      <c r="F52" s="118"/>
      <c r="G52" s="118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106"/>
      <c r="CG52" s="106"/>
    </row>
    <row r="53" spans="2:85" ht="14.25" customHeight="1">
      <c r="B53" s="106"/>
      <c r="C53" s="113"/>
      <c r="D53" s="113"/>
      <c r="E53" s="106"/>
      <c r="F53" s="118"/>
      <c r="G53" s="118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</row>
    <row r="54" spans="2:85" ht="14.25" customHeight="1">
      <c r="B54" s="106"/>
      <c r="C54" s="113"/>
      <c r="D54" s="113"/>
      <c r="E54" s="106"/>
      <c r="F54" s="118"/>
      <c r="G54" s="118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</row>
    <row r="55" spans="2:85" ht="14.25" customHeight="1">
      <c r="B55" s="106"/>
      <c r="C55" s="113"/>
      <c r="D55" s="113"/>
      <c r="E55" s="106"/>
      <c r="F55" s="118"/>
      <c r="G55" s="118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</row>
    <row r="56" spans="2:85" ht="14.25" customHeight="1">
      <c r="B56" s="106"/>
      <c r="C56" s="113"/>
      <c r="D56" s="113"/>
      <c r="E56" s="106"/>
      <c r="F56" s="118"/>
      <c r="G56" s="118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</row>
    <row r="57" spans="2:85" ht="14.25" customHeight="1">
      <c r="B57" s="106"/>
      <c r="C57" s="113"/>
      <c r="D57" s="113"/>
      <c r="E57" s="106"/>
      <c r="F57" s="118"/>
      <c r="G57" s="118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</row>
    <row r="58" spans="2:85" ht="14.25" customHeight="1">
      <c r="B58" s="106"/>
      <c r="C58" s="113"/>
      <c r="D58" s="113"/>
      <c r="E58" s="106"/>
      <c r="F58" s="118"/>
      <c r="G58" s="118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</row>
    <row r="59" spans="2:85" ht="14.25" customHeight="1">
      <c r="B59" s="106"/>
      <c r="C59" s="113"/>
      <c r="D59" s="113"/>
      <c r="E59" s="106"/>
      <c r="F59" s="118"/>
      <c r="G59" s="118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</row>
    <row r="60" spans="2:85" ht="14.25" customHeight="1">
      <c r="B60" s="106"/>
      <c r="C60" s="113"/>
      <c r="D60" s="113"/>
      <c r="E60" s="106"/>
      <c r="F60" s="118"/>
      <c r="G60" s="118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</row>
    <row r="61" spans="2:85" ht="14.25" customHeight="1">
      <c r="B61" s="106"/>
      <c r="C61" s="113"/>
      <c r="D61" s="113"/>
      <c r="E61" s="106"/>
      <c r="F61" s="118"/>
      <c r="G61" s="118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</row>
    <row r="62" spans="2:85" ht="14.25" customHeight="1">
      <c r="B62" s="106"/>
      <c r="C62" s="113"/>
      <c r="D62" s="113"/>
      <c r="E62" s="106"/>
      <c r="F62" s="118"/>
      <c r="G62" s="118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</row>
    <row r="63" spans="2:85" ht="14.25" customHeight="1">
      <c r="B63" s="106"/>
      <c r="C63" s="113"/>
      <c r="D63" s="113"/>
      <c r="E63" s="106"/>
      <c r="F63" s="118"/>
      <c r="G63" s="118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</row>
    <row r="64" spans="2:85" ht="14.25" customHeight="1">
      <c r="B64" s="106"/>
      <c r="C64" s="113"/>
      <c r="D64" s="113"/>
      <c r="E64" s="106"/>
      <c r="F64" s="118"/>
      <c r="G64" s="118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</row>
    <row r="65" spans="2:85" ht="14.25" customHeight="1">
      <c r="B65" s="106"/>
      <c r="C65" s="113"/>
      <c r="D65" s="113"/>
      <c r="E65" s="106"/>
      <c r="F65" s="118"/>
      <c r="G65" s="118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</row>
    <row r="66" spans="2:85" ht="14.25" customHeight="1">
      <c r="B66" s="106"/>
      <c r="C66" s="113"/>
      <c r="D66" s="113"/>
      <c r="E66" s="106"/>
      <c r="F66" s="118"/>
      <c r="G66" s="118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</row>
    <row r="67" spans="2:85" ht="14.25" customHeight="1">
      <c r="B67" s="106"/>
      <c r="C67" s="113"/>
      <c r="D67" s="113"/>
      <c r="E67" s="106"/>
      <c r="F67" s="118"/>
      <c r="G67" s="118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</row>
    <row r="68" spans="2:85" ht="14.25" customHeight="1">
      <c r="B68" s="106"/>
      <c r="C68" s="113"/>
      <c r="D68" s="113"/>
      <c r="E68" s="106"/>
      <c r="F68" s="118"/>
      <c r="G68" s="118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</row>
    <row r="69" spans="2:85" ht="14.25" customHeight="1">
      <c r="B69" s="106"/>
      <c r="C69" s="113"/>
      <c r="D69" s="113"/>
      <c r="E69" s="106"/>
      <c r="F69" s="118"/>
      <c r="G69" s="118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</row>
    <row r="70" spans="2:85" ht="14.25" customHeight="1">
      <c r="B70" s="106"/>
      <c r="C70" s="113"/>
      <c r="D70" s="113"/>
      <c r="E70" s="106"/>
      <c r="F70" s="118"/>
      <c r="G70" s="118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</row>
    <row r="71" spans="2:85" ht="14.25" customHeight="1">
      <c r="B71" s="106"/>
      <c r="C71" s="113"/>
      <c r="D71" s="113"/>
      <c r="E71" s="106"/>
      <c r="F71" s="118"/>
      <c r="G71" s="118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</row>
    <row r="72" spans="2:85" ht="14.25" customHeight="1">
      <c r="B72" s="106"/>
      <c r="C72" s="113"/>
      <c r="D72" s="113"/>
      <c r="E72" s="106"/>
      <c r="F72" s="118"/>
      <c r="G72" s="118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</row>
    <row r="73" spans="2:85" ht="14.25" customHeight="1">
      <c r="B73" s="106"/>
      <c r="C73" s="113"/>
      <c r="D73" s="113"/>
      <c r="E73" s="106"/>
      <c r="F73" s="118"/>
      <c r="G73" s="118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</row>
    <row r="74" spans="2:85" ht="14.25" customHeight="1">
      <c r="B74" s="106"/>
      <c r="C74" s="113"/>
      <c r="D74" s="113"/>
      <c r="E74" s="106"/>
      <c r="F74" s="118"/>
      <c r="G74" s="118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</row>
    <row r="75" spans="2:85" ht="14.25" customHeight="1">
      <c r="B75" s="106"/>
      <c r="C75" s="113"/>
      <c r="D75" s="113"/>
      <c r="E75" s="106"/>
      <c r="F75" s="118"/>
      <c r="G75" s="118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</row>
    <row r="76" spans="2:85" ht="14.25" customHeight="1">
      <c r="B76" s="106"/>
      <c r="C76" s="113"/>
      <c r="D76" s="113"/>
      <c r="E76" s="106"/>
      <c r="F76" s="118"/>
      <c r="G76" s="118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</row>
    <row r="77" spans="2:85" ht="14.25" customHeight="1">
      <c r="B77" s="106"/>
      <c r="C77" s="113"/>
      <c r="D77" s="113"/>
      <c r="E77" s="106"/>
      <c r="F77" s="118"/>
      <c r="G77" s="118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</row>
    <row r="78" spans="2:85" ht="14.25" customHeight="1">
      <c r="B78" s="106"/>
      <c r="C78" s="113"/>
      <c r="D78" s="113"/>
      <c r="E78" s="106"/>
      <c r="F78" s="118"/>
      <c r="G78" s="118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</row>
    <row r="79" spans="2:85" ht="14.25" customHeight="1">
      <c r="B79" s="106"/>
      <c r="C79" s="113"/>
      <c r="D79" s="113"/>
      <c r="E79" s="106"/>
      <c r="F79" s="118"/>
      <c r="G79" s="118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</row>
    <row r="80" spans="2:85" ht="14.25" customHeight="1">
      <c r="B80" s="106"/>
      <c r="C80" s="113"/>
      <c r="D80" s="113"/>
      <c r="E80" s="106"/>
      <c r="F80" s="118"/>
      <c r="G80" s="118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</row>
    <row r="81" spans="2:85" ht="14.25" customHeight="1">
      <c r="B81" s="106"/>
      <c r="C81" s="113"/>
      <c r="D81" s="113"/>
      <c r="E81" s="106"/>
      <c r="F81" s="118"/>
      <c r="G81" s="118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</row>
    <row r="82" spans="2:85" ht="14.25" customHeight="1">
      <c r="B82" s="106"/>
      <c r="C82" s="113"/>
      <c r="D82" s="113"/>
      <c r="E82" s="106"/>
      <c r="F82" s="118"/>
      <c r="G82" s="118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</row>
    <row r="83" spans="2:85" ht="14.25" customHeight="1">
      <c r="B83" s="106"/>
      <c r="C83" s="113"/>
      <c r="D83" s="113"/>
      <c r="E83" s="106"/>
      <c r="F83" s="118"/>
      <c r="G83" s="118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</row>
    <row r="84" spans="2:85" ht="14.25" customHeight="1">
      <c r="B84" s="106"/>
      <c r="C84" s="113"/>
      <c r="D84" s="113"/>
      <c r="E84" s="106"/>
      <c r="F84" s="118"/>
      <c r="G84" s="118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</row>
    <row r="85" spans="2:85" ht="14.25" customHeight="1">
      <c r="B85" s="106"/>
      <c r="C85" s="113"/>
      <c r="D85" s="113"/>
      <c r="E85" s="106"/>
      <c r="F85" s="118"/>
      <c r="G85" s="118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</row>
    <row r="86" spans="2:85" ht="14.25" customHeight="1">
      <c r="B86" s="106"/>
      <c r="C86" s="113"/>
      <c r="D86" s="113"/>
      <c r="E86" s="106"/>
      <c r="F86" s="118"/>
      <c r="G86" s="118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</row>
    <row r="87" spans="2:85" ht="14.25" customHeight="1">
      <c r="B87" s="106"/>
      <c r="C87" s="113"/>
      <c r="D87" s="113"/>
      <c r="E87" s="106"/>
      <c r="F87" s="118"/>
      <c r="G87" s="118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</row>
    <row r="88" spans="2:85" ht="14.25" customHeight="1">
      <c r="B88" s="106"/>
      <c r="C88" s="113"/>
      <c r="D88" s="113"/>
      <c r="E88" s="106"/>
      <c r="F88" s="118"/>
      <c r="G88" s="118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</row>
    <row r="89" spans="2:85" ht="14.25" customHeight="1">
      <c r="B89" s="106"/>
      <c r="C89" s="113"/>
      <c r="D89" s="113"/>
      <c r="E89" s="106"/>
      <c r="F89" s="118"/>
      <c r="G89" s="118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</row>
    <row r="90" spans="2:85" ht="14.25" customHeight="1">
      <c r="B90" s="106"/>
      <c r="C90" s="113"/>
      <c r="D90" s="113"/>
      <c r="E90" s="106"/>
      <c r="F90" s="118"/>
      <c r="G90" s="118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</row>
    <row r="91" spans="2:85" ht="14.25" customHeight="1">
      <c r="B91" s="106"/>
      <c r="C91" s="113"/>
      <c r="D91" s="113"/>
      <c r="E91" s="106"/>
      <c r="F91" s="118"/>
      <c r="G91" s="118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</row>
    <row r="92" spans="2:85" ht="14.25" customHeight="1">
      <c r="B92" s="106"/>
      <c r="C92" s="113"/>
      <c r="D92" s="113"/>
      <c r="E92" s="106"/>
      <c r="F92" s="118"/>
      <c r="G92" s="118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</row>
    <row r="93" spans="2:85" ht="14.25" customHeight="1">
      <c r="B93" s="106"/>
      <c r="C93" s="113"/>
      <c r="D93" s="113"/>
      <c r="E93" s="106"/>
      <c r="F93" s="118"/>
      <c r="G93" s="118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</row>
    <row r="94" spans="2:85" ht="14.25" customHeight="1">
      <c r="B94" s="106"/>
      <c r="C94" s="113"/>
      <c r="D94" s="113"/>
      <c r="E94" s="106"/>
      <c r="F94" s="118"/>
      <c r="G94" s="118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</row>
    <row r="95" spans="2:85" ht="14.25" customHeight="1">
      <c r="B95" s="106"/>
      <c r="C95" s="113"/>
      <c r="D95" s="113"/>
      <c r="E95" s="106"/>
      <c r="F95" s="118"/>
      <c r="G95" s="118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</row>
    <row r="96" spans="2:85" ht="14.25" customHeight="1">
      <c r="B96" s="106"/>
      <c r="C96" s="113"/>
      <c r="D96" s="113"/>
      <c r="E96" s="106"/>
      <c r="F96" s="118"/>
      <c r="G96" s="118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</row>
    <row r="97" spans="2:85" ht="14.25" customHeight="1">
      <c r="B97" s="106"/>
      <c r="C97" s="113"/>
      <c r="D97" s="113"/>
      <c r="E97" s="106"/>
      <c r="F97" s="118"/>
      <c r="G97" s="118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</row>
    <row r="98" spans="2:85" ht="14.25" customHeight="1">
      <c r="B98" s="106"/>
      <c r="C98" s="113"/>
      <c r="D98" s="113"/>
      <c r="E98" s="106"/>
      <c r="F98" s="118"/>
      <c r="G98" s="118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</row>
    <row r="99" spans="2:85" ht="14.25" customHeight="1">
      <c r="B99" s="106"/>
      <c r="C99" s="113"/>
      <c r="D99" s="113"/>
      <c r="E99" s="106"/>
      <c r="F99" s="118"/>
      <c r="G99" s="118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</row>
    <row r="100" spans="2:85" ht="14.25" customHeight="1">
      <c r="B100" s="106"/>
      <c r="C100" s="113"/>
      <c r="D100" s="113"/>
      <c r="E100" s="106"/>
      <c r="F100" s="118"/>
      <c r="G100" s="118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</row>
    <row r="101" spans="2:85" ht="14.25" customHeight="1">
      <c r="B101" s="106"/>
      <c r="C101" s="113"/>
      <c r="D101" s="113"/>
      <c r="E101" s="106"/>
      <c r="F101" s="118"/>
      <c r="G101" s="118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</row>
    <row r="102" spans="2:85" ht="14.25" customHeight="1">
      <c r="B102" s="106"/>
      <c r="C102" s="113"/>
      <c r="D102" s="113"/>
      <c r="E102" s="106"/>
      <c r="F102" s="118"/>
      <c r="G102" s="118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</row>
    <row r="103" spans="2:85" ht="14.25" customHeight="1">
      <c r="B103" s="106"/>
      <c r="C103" s="113"/>
      <c r="D103" s="113"/>
      <c r="E103" s="106"/>
      <c r="F103" s="118"/>
      <c r="G103" s="118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</row>
    <row r="104" spans="2:85" ht="14.25" customHeight="1">
      <c r="B104" s="106"/>
      <c r="C104" s="113"/>
      <c r="D104" s="113"/>
      <c r="E104" s="106"/>
      <c r="F104" s="118"/>
      <c r="G104" s="118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</row>
    <row r="105" spans="2:85" ht="14.25" customHeight="1">
      <c r="B105" s="106"/>
      <c r="C105" s="113"/>
      <c r="D105" s="113"/>
      <c r="E105" s="106"/>
      <c r="F105" s="118"/>
      <c r="G105" s="118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</row>
    <row r="106" spans="2:85" ht="14.25" customHeight="1">
      <c r="B106" s="106"/>
      <c r="C106" s="113"/>
      <c r="D106" s="113"/>
      <c r="E106" s="106"/>
      <c r="F106" s="118"/>
      <c r="G106" s="118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</row>
    <row r="107" spans="2:85" ht="14.25" customHeight="1">
      <c r="B107" s="106"/>
      <c r="C107" s="113"/>
      <c r="D107" s="113"/>
      <c r="E107" s="106"/>
      <c r="F107" s="118"/>
      <c r="G107" s="118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</row>
    <row r="108" spans="2:85" ht="14.25" customHeight="1">
      <c r="B108" s="106"/>
      <c r="C108" s="113"/>
      <c r="D108" s="113"/>
      <c r="E108" s="106"/>
      <c r="F108" s="118"/>
      <c r="G108" s="118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</row>
    <row r="109" spans="2:85" ht="14.25" customHeight="1">
      <c r="B109" s="106"/>
      <c r="C109" s="113"/>
      <c r="D109" s="113"/>
      <c r="E109" s="106"/>
      <c r="F109" s="118"/>
      <c r="G109" s="118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</row>
    <row r="110" spans="2:85" ht="14.25" customHeight="1">
      <c r="B110" s="106"/>
      <c r="C110" s="113"/>
      <c r="D110" s="113"/>
      <c r="E110" s="106"/>
      <c r="F110" s="118"/>
      <c r="G110" s="118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</row>
    <row r="111" spans="2:85" ht="14.25" customHeight="1">
      <c r="B111" s="106"/>
      <c r="C111" s="113"/>
      <c r="D111" s="113"/>
      <c r="E111" s="106"/>
      <c r="F111" s="118"/>
      <c r="G111" s="118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</row>
    <row r="112" spans="2:85" ht="14.25" customHeight="1">
      <c r="B112" s="106"/>
      <c r="C112" s="113"/>
      <c r="D112" s="113"/>
      <c r="E112" s="106"/>
      <c r="F112" s="118"/>
      <c r="G112" s="118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</row>
    <row r="113" spans="2:85" ht="14.25" customHeight="1">
      <c r="B113" s="106"/>
      <c r="C113" s="113"/>
      <c r="D113" s="113"/>
      <c r="E113" s="106"/>
      <c r="F113" s="118"/>
      <c r="G113" s="118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</row>
    <row r="114" spans="2:85" ht="14.25" customHeight="1">
      <c r="B114" s="106"/>
      <c r="C114" s="113"/>
      <c r="D114" s="113"/>
      <c r="E114" s="106"/>
      <c r="F114" s="118"/>
      <c r="G114" s="118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</row>
    <row r="115" spans="2:85" ht="14.25" customHeight="1">
      <c r="B115" s="106"/>
      <c r="C115" s="113"/>
      <c r="D115" s="113"/>
      <c r="E115" s="106"/>
      <c r="F115" s="118"/>
      <c r="G115" s="118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</row>
    <row r="116" spans="2:85" ht="14.25" customHeight="1">
      <c r="B116" s="106"/>
      <c r="C116" s="113"/>
      <c r="D116" s="113"/>
      <c r="E116" s="106"/>
      <c r="F116" s="118"/>
      <c r="G116" s="118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</row>
    <row r="117" spans="2:85" ht="14.25" customHeight="1">
      <c r="B117" s="106"/>
      <c r="C117" s="113"/>
      <c r="D117" s="113"/>
      <c r="E117" s="106"/>
      <c r="F117" s="118"/>
      <c r="G117" s="118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</row>
    <row r="118" spans="2:85" ht="14.25" customHeight="1">
      <c r="B118" s="106"/>
      <c r="C118" s="113"/>
      <c r="D118" s="113"/>
      <c r="E118" s="106"/>
      <c r="F118" s="118"/>
      <c r="G118" s="118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</row>
    <row r="119" spans="2:85" ht="14.25" customHeight="1">
      <c r="B119" s="106"/>
      <c r="C119" s="113"/>
      <c r="D119" s="113"/>
      <c r="E119" s="106"/>
      <c r="F119" s="118"/>
      <c r="G119" s="118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</row>
    <row r="120" spans="2:85" ht="14.25" customHeight="1">
      <c r="B120" s="106"/>
      <c r="C120" s="113"/>
      <c r="D120" s="113"/>
      <c r="E120" s="106"/>
      <c r="F120" s="118"/>
      <c r="G120" s="118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</row>
    <row r="121" spans="2:85" ht="14.25" customHeight="1">
      <c r="B121" s="106"/>
      <c r="C121" s="113"/>
      <c r="D121" s="113"/>
      <c r="E121" s="106"/>
      <c r="F121" s="118"/>
      <c r="G121" s="118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</row>
    <row r="122" spans="2:85" ht="14.25" customHeight="1">
      <c r="B122" s="106"/>
      <c r="C122" s="113"/>
      <c r="D122" s="113"/>
      <c r="E122" s="106"/>
      <c r="F122" s="118"/>
      <c r="G122" s="118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</row>
    <row r="123" spans="2:85" ht="14.25" customHeight="1">
      <c r="B123" s="106"/>
      <c r="C123" s="113"/>
      <c r="D123" s="113"/>
      <c r="E123" s="106"/>
      <c r="F123" s="118"/>
      <c r="G123" s="118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</row>
    <row r="124" spans="2:85" ht="14.25" customHeight="1">
      <c r="B124" s="106"/>
      <c r="C124" s="113"/>
      <c r="D124" s="113"/>
      <c r="E124" s="106"/>
      <c r="F124" s="118"/>
      <c r="G124" s="118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</row>
    <row r="125" spans="2:85" ht="14.25" customHeight="1">
      <c r="B125" s="106"/>
      <c r="C125" s="113"/>
      <c r="D125" s="113"/>
      <c r="E125" s="106"/>
      <c r="F125" s="118"/>
      <c r="G125" s="118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</row>
    <row r="126" spans="2:85" ht="14.25" customHeight="1">
      <c r="B126" s="106"/>
      <c r="C126" s="113"/>
      <c r="D126" s="113"/>
      <c r="E126" s="106"/>
      <c r="F126" s="118"/>
      <c r="G126" s="118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</row>
    <row r="127" spans="2:85" ht="14.25" customHeight="1">
      <c r="B127" s="106"/>
      <c r="C127" s="113"/>
      <c r="D127" s="113"/>
      <c r="E127" s="106"/>
      <c r="F127" s="118"/>
      <c r="G127" s="118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</row>
    <row r="128" spans="2:85" ht="14.25" customHeight="1">
      <c r="B128" s="106"/>
      <c r="C128" s="113"/>
      <c r="D128" s="113"/>
      <c r="E128" s="106"/>
      <c r="F128" s="118"/>
      <c r="G128" s="118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</row>
    <row r="129" spans="2:85" ht="14.25" customHeight="1">
      <c r="B129" s="106"/>
      <c r="C129" s="113"/>
      <c r="D129" s="113"/>
      <c r="E129" s="106"/>
      <c r="F129" s="118"/>
      <c r="G129" s="118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</row>
    <row r="130" spans="2:85" ht="14.25" customHeight="1">
      <c r="B130" s="106"/>
      <c r="C130" s="113"/>
      <c r="D130" s="113"/>
      <c r="E130" s="106"/>
      <c r="F130" s="118"/>
      <c r="G130" s="118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</row>
    <row r="131" spans="2:85" ht="14.25" customHeight="1">
      <c r="B131" s="106"/>
      <c r="C131" s="113"/>
      <c r="D131" s="113"/>
      <c r="E131" s="106"/>
      <c r="F131" s="118"/>
      <c r="G131" s="118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</row>
    <row r="132" spans="2:85" ht="14.25" customHeight="1">
      <c r="B132" s="106"/>
      <c r="C132" s="113"/>
      <c r="D132" s="113"/>
      <c r="E132" s="106"/>
      <c r="F132" s="118"/>
      <c r="G132" s="118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</row>
    <row r="133" spans="2:85" ht="14.25" customHeight="1">
      <c r="B133" s="106"/>
      <c r="C133" s="113"/>
      <c r="D133" s="113"/>
      <c r="E133" s="106"/>
      <c r="F133" s="118"/>
      <c r="G133" s="118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</row>
    <row r="134" spans="2:85" ht="14.25" customHeight="1">
      <c r="B134" s="106"/>
      <c r="C134" s="113"/>
      <c r="D134" s="113"/>
      <c r="E134" s="106"/>
      <c r="F134" s="118"/>
      <c r="G134" s="118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</row>
    <row r="135" spans="2:85" ht="14.25" customHeight="1">
      <c r="B135" s="106"/>
      <c r="C135" s="113"/>
      <c r="D135" s="113"/>
      <c r="E135" s="106"/>
      <c r="F135" s="118"/>
      <c r="G135" s="118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</row>
    <row r="136" spans="2:85" ht="14.25" customHeight="1">
      <c r="B136" s="106"/>
      <c r="C136" s="113"/>
      <c r="D136" s="113"/>
      <c r="E136" s="106"/>
      <c r="F136" s="118"/>
      <c r="G136" s="118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</row>
    <row r="137" spans="2:85" ht="14.25" customHeight="1">
      <c r="B137" s="106"/>
      <c r="C137" s="113"/>
      <c r="D137" s="113"/>
      <c r="E137" s="106"/>
      <c r="F137" s="118"/>
      <c r="G137" s="118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</row>
    <row r="138" spans="2:85" ht="14.25" customHeight="1">
      <c r="B138" s="106"/>
      <c r="C138" s="113"/>
      <c r="D138" s="113"/>
      <c r="E138" s="106"/>
      <c r="F138" s="118"/>
      <c r="G138" s="118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</row>
    <row r="139" spans="2:85" ht="14.25" customHeight="1">
      <c r="B139" s="106"/>
      <c r="C139" s="113"/>
      <c r="D139" s="113"/>
      <c r="E139" s="106"/>
      <c r="F139" s="118"/>
      <c r="G139" s="118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</row>
    <row r="140" spans="2:85" ht="14.25" customHeight="1">
      <c r="B140" s="106"/>
      <c r="C140" s="113"/>
      <c r="D140" s="113"/>
      <c r="E140" s="106"/>
      <c r="F140" s="118"/>
      <c r="G140" s="118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</row>
    <row r="141" spans="2:85" ht="14.25" customHeight="1">
      <c r="B141" s="106"/>
      <c r="C141" s="113"/>
      <c r="D141" s="113"/>
      <c r="E141" s="106"/>
      <c r="F141" s="118"/>
      <c r="G141" s="118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</row>
    <row r="142" spans="2:85" ht="14.25" customHeight="1">
      <c r="B142" s="106"/>
      <c r="C142" s="113"/>
      <c r="D142" s="113"/>
      <c r="E142" s="106"/>
      <c r="F142" s="118"/>
      <c r="G142" s="118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</row>
    <row r="143" spans="2:85" ht="14.25" customHeight="1">
      <c r="B143" s="106"/>
      <c r="C143" s="113"/>
      <c r="D143" s="113"/>
      <c r="E143" s="106"/>
      <c r="F143" s="118"/>
      <c r="G143" s="118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</row>
    <row r="144" spans="2:85" ht="14.25" customHeight="1">
      <c r="B144" s="106"/>
      <c r="C144" s="113"/>
      <c r="D144" s="113"/>
      <c r="E144" s="106"/>
      <c r="F144" s="118"/>
      <c r="G144" s="118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</row>
    <row r="145" spans="2:85" ht="14.25" customHeight="1">
      <c r="B145" s="106"/>
      <c r="C145" s="113"/>
      <c r="D145" s="113"/>
      <c r="E145" s="106"/>
      <c r="F145" s="118"/>
      <c r="G145" s="118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</row>
    <row r="146" spans="2:85" ht="14.25" customHeight="1">
      <c r="B146" s="106"/>
      <c r="C146" s="113"/>
      <c r="D146" s="113"/>
      <c r="E146" s="106"/>
      <c r="F146" s="118"/>
      <c r="G146" s="118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</row>
    <row r="147" spans="2:85" ht="14.25" customHeight="1">
      <c r="B147" s="106"/>
      <c r="C147" s="113"/>
      <c r="D147" s="113"/>
      <c r="E147" s="106"/>
      <c r="F147" s="118"/>
      <c r="G147" s="118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</row>
    <row r="148" spans="2:85" ht="14.25" customHeight="1">
      <c r="B148" s="106"/>
      <c r="C148" s="113"/>
      <c r="D148" s="113"/>
      <c r="E148" s="106"/>
      <c r="F148" s="118"/>
      <c r="G148" s="118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</row>
    <row r="149" spans="2:85" ht="14.25" customHeight="1">
      <c r="B149" s="106"/>
      <c r="C149" s="113"/>
      <c r="D149" s="113"/>
      <c r="E149" s="106"/>
      <c r="F149" s="118"/>
      <c r="G149" s="118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</row>
    <row r="150" spans="2:85" ht="14.25" customHeight="1">
      <c r="B150" s="106"/>
      <c r="C150" s="113"/>
      <c r="D150" s="113"/>
      <c r="E150" s="106"/>
      <c r="F150" s="118"/>
      <c r="G150" s="118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</row>
    <row r="151" spans="2:85" ht="14.25" customHeight="1">
      <c r="B151" s="106"/>
      <c r="C151" s="113"/>
      <c r="D151" s="113"/>
      <c r="E151" s="106"/>
      <c r="F151" s="118"/>
      <c r="G151" s="118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</row>
    <row r="152" spans="2:85" ht="14.25" customHeight="1">
      <c r="B152" s="106"/>
      <c r="C152" s="113"/>
      <c r="D152" s="113"/>
      <c r="E152" s="106"/>
      <c r="F152" s="118"/>
      <c r="G152" s="118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</row>
    <row r="153" spans="2:85" ht="14.25" customHeight="1">
      <c r="B153" s="106"/>
      <c r="C153" s="113"/>
      <c r="D153" s="113"/>
      <c r="E153" s="106"/>
      <c r="F153" s="118"/>
      <c r="G153" s="118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</row>
    <row r="154" spans="2:85" ht="14.25" customHeight="1">
      <c r="B154" s="106"/>
      <c r="C154" s="113"/>
      <c r="D154" s="113"/>
      <c r="E154" s="106"/>
      <c r="F154" s="118"/>
      <c r="G154" s="118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</row>
    <row r="155" spans="2:85" ht="14.25" customHeight="1">
      <c r="B155" s="106"/>
      <c r="C155" s="113"/>
      <c r="D155" s="113"/>
      <c r="E155" s="106"/>
      <c r="F155" s="118"/>
      <c r="G155" s="118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</row>
    <row r="156" spans="2:85" ht="14.25" customHeight="1">
      <c r="B156" s="106"/>
      <c r="C156" s="113"/>
      <c r="D156" s="113"/>
      <c r="E156" s="106"/>
      <c r="F156" s="118"/>
      <c r="G156" s="118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</row>
    <row r="157" spans="2:85" ht="14.25" customHeight="1">
      <c r="B157" s="106"/>
      <c r="C157" s="113"/>
      <c r="D157" s="113"/>
      <c r="E157" s="106"/>
      <c r="F157" s="118"/>
      <c r="G157" s="118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</row>
    <row r="158" spans="2:85" ht="14.25" customHeight="1">
      <c r="B158" s="106"/>
      <c r="C158" s="113"/>
      <c r="D158" s="113"/>
      <c r="E158" s="106"/>
      <c r="F158" s="118"/>
      <c r="G158" s="118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</row>
    <row r="159" spans="2:85" ht="14.25" customHeight="1">
      <c r="B159" s="106"/>
      <c r="C159" s="113"/>
      <c r="D159" s="113"/>
      <c r="E159" s="106"/>
      <c r="F159" s="118"/>
      <c r="G159" s="118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</row>
    <row r="160" spans="2:85" ht="14.25" customHeight="1">
      <c r="B160" s="106"/>
      <c r="C160" s="113"/>
      <c r="D160" s="113"/>
      <c r="E160" s="106"/>
      <c r="F160" s="118"/>
      <c r="G160" s="118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</row>
    <row r="161" spans="2:85" ht="14.25" customHeight="1">
      <c r="B161" s="106"/>
      <c r="C161" s="113"/>
      <c r="D161" s="113"/>
      <c r="E161" s="106"/>
      <c r="F161" s="118"/>
      <c r="G161" s="118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</row>
    <row r="162" spans="2:85" ht="14.25" customHeight="1">
      <c r="B162" s="106"/>
      <c r="C162" s="113"/>
      <c r="D162" s="113"/>
      <c r="E162" s="106"/>
      <c r="F162" s="118"/>
      <c r="G162" s="118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</row>
    <row r="163" spans="2:85" ht="14.25" customHeight="1">
      <c r="B163" s="106"/>
      <c r="C163" s="113"/>
      <c r="D163" s="113"/>
      <c r="E163" s="106"/>
      <c r="F163" s="118"/>
      <c r="G163" s="118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</row>
    <row r="164" spans="2:85" ht="14.25" customHeight="1">
      <c r="B164" s="106"/>
      <c r="C164" s="113"/>
      <c r="D164" s="113"/>
      <c r="E164" s="106"/>
      <c r="F164" s="118"/>
      <c r="G164" s="118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</row>
    <row r="165" spans="2:85" ht="14.25" customHeight="1">
      <c r="B165" s="106"/>
      <c r="C165" s="113"/>
      <c r="D165" s="113"/>
      <c r="E165" s="106"/>
      <c r="F165" s="118"/>
      <c r="G165" s="118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</row>
    <row r="166" spans="2:85" ht="14.25" customHeight="1">
      <c r="B166" s="106"/>
      <c r="C166" s="113"/>
      <c r="D166" s="113"/>
      <c r="E166" s="106"/>
      <c r="F166" s="118"/>
      <c r="G166" s="118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</row>
    <row r="167" spans="2:85" ht="14.25" customHeight="1">
      <c r="B167" s="106"/>
      <c r="C167" s="113"/>
      <c r="D167" s="113"/>
      <c r="E167" s="106"/>
      <c r="F167" s="118"/>
      <c r="G167" s="118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</row>
    <row r="168" spans="2:85" ht="14.25" customHeight="1">
      <c r="B168" s="106"/>
      <c r="C168" s="113"/>
      <c r="D168" s="113"/>
      <c r="E168" s="106"/>
      <c r="F168" s="118"/>
      <c r="G168" s="118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</row>
    <row r="169" spans="2:85" ht="14.25" customHeight="1">
      <c r="B169" s="106"/>
      <c r="C169" s="113"/>
      <c r="D169" s="113"/>
      <c r="E169" s="106"/>
      <c r="F169" s="118"/>
      <c r="G169" s="118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</row>
    <row r="170" spans="2:85" ht="14.25" customHeight="1">
      <c r="B170" s="106"/>
      <c r="C170" s="113"/>
      <c r="D170" s="113"/>
      <c r="E170" s="106"/>
      <c r="F170" s="118"/>
      <c r="G170" s="118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</row>
    <row r="171" spans="2:85" ht="14.25" customHeight="1">
      <c r="B171" s="106"/>
      <c r="C171" s="113"/>
      <c r="D171" s="113"/>
      <c r="E171" s="106"/>
      <c r="F171" s="118"/>
      <c r="G171" s="118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</row>
    <row r="172" spans="2:85" ht="14.25" customHeight="1">
      <c r="B172" s="106"/>
      <c r="C172" s="113"/>
      <c r="D172" s="113"/>
      <c r="E172" s="106"/>
      <c r="F172" s="118"/>
      <c r="G172" s="118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</row>
    <row r="173" spans="2:85" ht="14.25" customHeight="1">
      <c r="B173" s="106"/>
      <c r="C173" s="113"/>
      <c r="D173" s="113"/>
      <c r="E173" s="106"/>
      <c r="F173" s="118"/>
      <c r="G173" s="118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</row>
    <row r="174" spans="2:85" ht="14.25" customHeight="1">
      <c r="B174" s="106"/>
      <c r="C174" s="113"/>
      <c r="D174" s="113"/>
      <c r="E174" s="106"/>
      <c r="F174" s="118"/>
      <c r="G174" s="118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</row>
    <row r="175" spans="2:85" ht="14.25" customHeight="1">
      <c r="B175" s="106"/>
      <c r="C175" s="113"/>
      <c r="D175" s="113"/>
      <c r="E175" s="106"/>
      <c r="F175" s="118"/>
      <c r="G175" s="118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</row>
    <row r="176" spans="2:85" ht="14.25" customHeight="1">
      <c r="B176" s="106"/>
      <c r="C176" s="113"/>
      <c r="D176" s="113"/>
      <c r="E176" s="106"/>
      <c r="F176" s="118"/>
      <c r="G176" s="118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</row>
    <row r="177" spans="2:85" ht="14.25" customHeight="1">
      <c r="B177" s="106"/>
      <c r="C177" s="113"/>
      <c r="D177" s="113"/>
      <c r="E177" s="106"/>
      <c r="F177" s="118"/>
      <c r="G177" s="118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</row>
    <row r="178" spans="2:85" ht="14.25" customHeight="1">
      <c r="B178" s="106"/>
      <c r="C178" s="113"/>
      <c r="D178" s="113"/>
      <c r="E178" s="106"/>
      <c r="F178" s="118"/>
      <c r="G178" s="118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</row>
    <row r="179" spans="2:85" ht="14.25" customHeight="1">
      <c r="B179" s="106"/>
      <c r="C179" s="113"/>
      <c r="D179" s="113"/>
      <c r="E179" s="106"/>
      <c r="F179" s="118"/>
      <c r="G179" s="118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</row>
    <row r="180" spans="2:85" ht="14.25" customHeight="1">
      <c r="B180" s="106"/>
      <c r="C180" s="113"/>
      <c r="D180" s="113"/>
      <c r="E180" s="106"/>
      <c r="F180" s="118"/>
      <c r="G180" s="118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</row>
    <row r="181" spans="2:85" ht="14.25" customHeight="1">
      <c r="B181" s="106"/>
      <c r="C181" s="113"/>
      <c r="D181" s="113"/>
      <c r="E181" s="106"/>
      <c r="F181" s="118"/>
      <c r="G181" s="118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</row>
    <row r="182" spans="2:85" ht="14.25" customHeight="1">
      <c r="B182" s="106"/>
      <c r="C182" s="113"/>
      <c r="D182" s="113"/>
      <c r="E182" s="106"/>
      <c r="F182" s="118"/>
      <c r="G182" s="118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</row>
    <row r="183" spans="2:85" ht="14.25" customHeight="1">
      <c r="B183" s="106"/>
      <c r="C183" s="113"/>
      <c r="D183" s="113"/>
      <c r="E183" s="106"/>
      <c r="F183" s="118"/>
      <c r="G183" s="118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</row>
    <row r="184" spans="2:85" ht="14.25" customHeight="1">
      <c r="B184" s="106"/>
      <c r="C184" s="113"/>
      <c r="D184" s="113"/>
      <c r="E184" s="106"/>
      <c r="F184" s="118"/>
      <c r="G184" s="118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</row>
    <row r="185" spans="2:85" ht="14.25" customHeight="1">
      <c r="B185" s="106"/>
      <c r="C185" s="113"/>
      <c r="D185" s="113"/>
      <c r="E185" s="106"/>
      <c r="F185" s="118"/>
      <c r="G185" s="118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</row>
    <row r="186" spans="2:85" ht="14.25" customHeight="1">
      <c r="B186" s="106"/>
      <c r="C186" s="113"/>
      <c r="D186" s="113"/>
      <c r="E186" s="106"/>
      <c r="F186" s="118"/>
      <c r="G186" s="118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</row>
    <row r="187" spans="2:85" ht="14.25" customHeight="1">
      <c r="B187" s="106"/>
      <c r="C187" s="113"/>
      <c r="D187" s="113"/>
      <c r="E187" s="106"/>
      <c r="F187" s="118"/>
      <c r="G187" s="118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</row>
    <row r="188" spans="2:85" ht="14.25" customHeight="1">
      <c r="B188" s="106"/>
      <c r="C188" s="113"/>
      <c r="D188" s="113"/>
      <c r="E188" s="106"/>
      <c r="F188" s="118"/>
      <c r="G188" s="118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</row>
    <row r="189" spans="2:85" ht="14.25" customHeight="1">
      <c r="B189" s="106"/>
      <c r="C189" s="113"/>
      <c r="D189" s="113"/>
      <c r="E189" s="106"/>
      <c r="F189" s="118"/>
      <c r="G189" s="118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</row>
    <row r="190" spans="2:85" ht="14.25" customHeight="1">
      <c r="B190" s="106"/>
      <c r="C190" s="113"/>
      <c r="D190" s="113"/>
      <c r="E190" s="106"/>
      <c r="F190" s="118"/>
      <c r="G190" s="118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</row>
    <row r="191" spans="2:85" ht="14.25" customHeight="1">
      <c r="B191" s="106"/>
      <c r="C191" s="113"/>
      <c r="D191" s="113"/>
      <c r="E191" s="106"/>
      <c r="F191" s="118"/>
      <c r="G191" s="118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</row>
    <row r="192" spans="2:85" ht="14.25" customHeight="1">
      <c r="B192" s="106"/>
      <c r="C192" s="113"/>
      <c r="D192" s="113"/>
      <c r="E192" s="106"/>
      <c r="F192" s="118"/>
      <c r="G192" s="118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</row>
    <row r="193" spans="2:85" ht="14.25" customHeight="1">
      <c r="B193" s="106"/>
      <c r="C193" s="113"/>
      <c r="D193" s="113"/>
      <c r="E193" s="106"/>
      <c r="F193" s="118"/>
      <c r="G193" s="118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</row>
    <row r="194" spans="2:85" ht="14.25" customHeight="1">
      <c r="B194" s="106"/>
      <c r="C194" s="113"/>
      <c r="D194" s="113"/>
      <c r="E194" s="106"/>
      <c r="F194" s="118"/>
      <c r="G194" s="118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</row>
    <row r="195" spans="2:85" ht="14.25" customHeight="1">
      <c r="B195" s="106"/>
      <c r="C195" s="113"/>
      <c r="D195" s="113"/>
      <c r="E195" s="106"/>
      <c r="F195" s="118"/>
      <c r="G195" s="118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</row>
    <row r="196" spans="2:85" ht="14.25" customHeight="1">
      <c r="B196" s="106"/>
      <c r="C196" s="113"/>
      <c r="D196" s="113"/>
      <c r="E196" s="106"/>
      <c r="F196" s="118"/>
      <c r="G196" s="118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</row>
    <row r="197" spans="2:85" ht="14.25" customHeight="1">
      <c r="B197" s="106"/>
      <c r="C197" s="113"/>
      <c r="D197" s="113"/>
      <c r="E197" s="106"/>
      <c r="F197" s="118"/>
      <c r="G197" s="118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</row>
    <row r="198" spans="2:85" ht="14.25" customHeight="1">
      <c r="B198" s="106"/>
      <c r="C198" s="113"/>
      <c r="D198" s="113"/>
      <c r="E198" s="106"/>
      <c r="F198" s="118"/>
      <c r="G198" s="118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</row>
    <row r="199" spans="2:85" ht="14.25" customHeight="1">
      <c r="B199" s="106"/>
      <c r="C199" s="113"/>
      <c r="D199" s="113"/>
      <c r="E199" s="106"/>
      <c r="F199" s="118"/>
      <c r="G199" s="118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</row>
    <row r="200" spans="2:85" ht="14.25" customHeight="1">
      <c r="B200" s="106"/>
      <c r="C200" s="113"/>
      <c r="D200" s="113"/>
      <c r="E200" s="106"/>
      <c r="F200" s="118"/>
      <c r="G200" s="118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</row>
    <row r="201" spans="2:85" ht="14.25" customHeight="1">
      <c r="B201" s="106"/>
      <c r="C201" s="113"/>
      <c r="D201" s="113"/>
      <c r="E201" s="106"/>
      <c r="F201" s="118"/>
      <c r="G201" s="118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</row>
    <row r="202" spans="2:85" ht="14.25" customHeight="1">
      <c r="B202" s="106"/>
      <c r="C202" s="113"/>
      <c r="D202" s="113"/>
      <c r="E202" s="106"/>
      <c r="F202" s="118"/>
      <c r="G202" s="118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</row>
    <row r="203" spans="2:85" ht="14.25" customHeight="1">
      <c r="B203" s="106"/>
      <c r="C203" s="113"/>
      <c r="D203" s="113"/>
      <c r="E203" s="106"/>
      <c r="F203" s="118"/>
      <c r="G203" s="118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</row>
    <row r="204" spans="2:85" ht="14.25" customHeight="1">
      <c r="B204" s="106"/>
      <c r="C204" s="113"/>
      <c r="D204" s="113"/>
      <c r="E204" s="106"/>
      <c r="F204" s="118"/>
      <c r="G204" s="118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</row>
    <row r="205" spans="2:85" ht="14.25" customHeight="1">
      <c r="B205" s="106"/>
      <c r="C205" s="113"/>
      <c r="D205" s="113"/>
      <c r="E205" s="106"/>
      <c r="F205" s="118"/>
      <c r="G205" s="118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</row>
    <row r="206" spans="2:85" ht="14.25" customHeight="1">
      <c r="B206" s="106"/>
      <c r="C206" s="113"/>
      <c r="D206" s="113"/>
      <c r="E206" s="106"/>
      <c r="F206" s="118"/>
      <c r="G206" s="118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</row>
    <row r="207" spans="2:85" ht="14.25" customHeight="1">
      <c r="B207" s="106"/>
      <c r="C207" s="113"/>
      <c r="D207" s="113"/>
      <c r="E207" s="106"/>
      <c r="F207" s="118"/>
      <c r="G207" s="118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</row>
    <row r="208" spans="2:85" ht="14.25" customHeight="1">
      <c r="B208" s="106"/>
      <c r="C208" s="113"/>
      <c r="D208" s="113"/>
      <c r="E208" s="106"/>
      <c r="F208" s="118"/>
      <c r="G208" s="118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</row>
    <row r="209" spans="2:85" ht="14.25" customHeight="1">
      <c r="B209" s="106"/>
      <c r="C209" s="113"/>
      <c r="D209" s="113"/>
      <c r="E209" s="106"/>
      <c r="F209" s="118"/>
      <c r="G209" s="118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</row>
    <row r="210" spans="2:85" ht="14.25" customHeight="1">
      <c r="B210" s="106"/>
      <c r="C210" s="113"/>
      <c r="D210" s="113"/>
      <c r="E210" s="106"/>
      <c r="F210" s="118"/>
      <c r="G210" s="118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</row>
    <row r="211" spans="2:85" ht="14.25" customHeight="1">
      <c r="B211" s="106"/>
      <c r="C211" s="113"/>
      <c r="D211" s="113"/>
      <c r="E211" s="106"/>
      <c r="F211" s="118"/>
      <c r="G211" s="118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</row>
    <row r="212" spans="2:85" ht="14.25" customHeight="1">
      <c r="B212" s="106"/>
      <c r="C212" s="113"/>
      <c r="D212" s="113"/>
      <c r="E212" s="106"/>
      <c r="F212" s="118"/>
      <c r="G212" s="118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</row>
    <row r="213" spans="2:85" ht="14.25" customHeight="1">
      <c r="B213" s="106"/>
      <c r="C213" s="113"/>
      <c r="D213" s="113"/>
      <c r="E213" s="106"/>
      <c r="F213" s="118"/>
      <c r="G213" s="118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</row>
    <row r="214" spans="2:85" ht="14.25" customHeight="1">
      <c r="B214" s="106"/>
      <c r="C214" s="113"/>
      <c r="D214" s="113"/>
      <c r="E214" s="106"/>
      <c r="F214" s="118"/>
      <c r="G214" s="118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</row>
    <row r="215" spans="2:85" ht="14.25" customHeight="1">
      <c r="B215" s="106"/>
      <c r="C215" s="113"/>
      <c r="D215" s="113"/>
      <c r="E215" s="106"/>
      <c r="F215" s="118"/>
      <c r="G215" s="118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</row>
    <row r="216" spans="2:85" ht="14.25" customHeight="1">
      <c r="B216" s="106"/>
      <c r="C216" s="113"/>
      <c r="D216" s="113"/>
      <c r="E216" s="106"/>
      <c r="F216" s="118"/>
      <c r="G216" s="118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</row>
    <row r="217" spans="2:85" ht="14.25" customHeight="1">
      <c r="B217" s="106"/>
      <c r="C217" s="113"/>
      <c r="D217" s="113"/>
      <c r="E217" s="106"/>
      <c r="F217" s="118"/>
      <c r="G217" s="118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</row>
    <row r="218" spans="2:85" ht="14.25" customHeight="1">
      <c r="B218" s="106"/>
      <c r="C218" s="113"/>
      <c r="D218" s="113"/>
      <c r="E218" s="106"/>
      <c r="F218" s="118"/>
      <c r="G218" s="118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</row>
    <row r="219" spans="2:85" ht="14.25" customHeight="1">
      <c r="B219" s="106"/>
      <c r="C219" s="113"/>
      <c r="D219" s="113"/>
      <c r="E219" s="106"/>
      <c r="F219" s="118"/>
      <c r="G219" s="118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</row>
    <row r="220" spans="2:85" ht="14.25" customHeight="1">
      <c r="B220" s="106"/>
      <c r="C220" s="113"/>
      <c r="D220" s="113"/>
      <c r="E220" s="106"/>
      <c r="F220" s="118"/>
      <c r="G220" s="118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</row>
    <row r="221" spans="2:85" ht="14.25" customHeight="1">
      <c r="B221" s="106"/>
      <c r="C221" s="113"/>
      <c r="D221" s="113"/>
      <c r="E221" s="106"/>
      <c r="F221" s="118"/>
      <c r="G221" s="118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</row>
    <row r="222" spans="2:85" ht="14.25" customHeight="1">
      <c r="B222" s="106"/>
      <c r="C222" s="113"/>
      <c r="D222" s="113"/>
      <c r="E222" s="106"/>
      <c r="F222" s="118"/>
      <c r="G222" s="118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</row>
    <row r="223" spans="2:85" ht="14.25" customHeight="1">
      <c r="B223" s="106"/>
      <c r="C223" s="113"/>
      <c r="D223" s="113"/>
      <c r="E223" s="106"/>
      <c r="F223" s="118"/>
      <c r="G223" s="118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</row>
    <row r="224" spans="2:85" ht="14.25" customHeight="1">
      <c r="B224" s="106"/>
      <c r="C224" s="113"/>
      <c r="D224" s="113"/>
      <c r="E224" s="106"/>
      <c r="F224" s="118"/>
      <c r="G224" s="118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</row>
    <row r="225" spans="2:85" ht="14.25" customHeight="1">
      <c r="B225" s="106"/>
      <c r="C225" s="113"/>
      <c r="D225" s="113"/>
      <c r="E225" s="106"/>
      <c r="F225" s="118"/>
      <c r="G225" s="118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</row>
    <row r="226" spans="2:85" ht="14.25" customHeight="1">
      <c r="B226" s="106"/>
      <c r="C226" s="113"/>
      <c r="D226" s="113"/>
      <c r="E226" s="106"/>
      <c r="F226" s="118"/>
      <c r="G226" s="118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</row>
    <row r="227" spans="2:85" ht="14.25" customHeight="1">
      <c r="B227" s="106"/>
      <c r="C227" s="113"/>
      <c r="D227" s="113"/>
      <c r="E227" s="106"/>
      <c r="F227" s="118"/>
      <c r="G227" s="118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</row>
    <row r="228" spans="2:85" ht="14.25" customHeight="1">
      <c r="B228" s="106"/>
      <c r="C228" s="113"/>
      <c r="D228" s="113"/>
      <c r="E228" s="106"/>
      <c r="F228" s="118"/>
      <c r="G228" s="118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</row>
    <row r="229" spans="2:85" ht="14.25" customHeight="1">
      <c r="B229" s="106"/>
      <c r="C229" s="113"/>
      <c r="D229" s="113"/>
      <c r="E229" s="106"/>
      <c r="F229" s="118"/>
      <c r="G229" s="118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</row>
    <row r="230" spans="2:85" ht="14.25" customHeight="1">
      <c r="B230" s="106"/>
      <c r="C230" s="113"/>
      <c r="D230" s="113"/>
      <c r="E230" s="106"/>
      <c r="F230" s="118"/>
      <c r="G230" s="118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</row>
    <row r="231" spans="2:85" ht="14.25" customHeight="1">
      <c r="B231" s="106"/>
      <c r="C231" s="113"/>
      <c r="D231" s="113"/>
      <c r="E231" s="106"/>
      <c r="F231" s="118"/>
      <c r="G231" s="118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</row>
    <row r="232" spans="2:85" ht="14.25" customHeight="1">
      <c r="B232" s="106"/>
      <c r="C232" s="113"/>
      <c r="D232" s="113"/>
      <c r="E232" s="106"/>
      <c r="F232" s="118"/>
      <c r="G232" s="118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</row>
    <row r="233" spans="2:85" ht="14.25" customHeight="1">
      <c r="B233" s="106"/>
      <c r="C233" s="113"/>
      <c r="D233" s="113"/>
      <c r="E233" s="106"/>
      <c r="F233" s="118"/>
      <c r="G233" s="118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</row>
    <row r="234" spans="2:85" ht="14.25" customHeight="1">
      <c r="B234" s="106"/>
      <c r="C234" s="113"/>
      <c r="D234" s="113"/>
      <c r="E234" s="106"/>
      <c r="F234" s="118"/>
      <c r="G234" s="118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</row>
    <row r="235" spans="2:85" ht="14.25" customHeight="1">
      <c r="B235" s="106"/>
      <c r="C235" s="113"/>
      <c r="D235" s="113"/>
      <c r="E235" s="106"/>
      <c r="F235" s="118"/>
      <c r="G235" s="118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</row>
    <row r="236" spans="2:85" ht="14.25" customHeight="1">
      <c r="B236" s="106"/>
      <c r="C236" s="113"/>
      <c r="D236" s="113"/>
      <c r="E236" s="106"/>
      <c r="F236" s="118"/>
      <c r="G236" s="118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</row>
    <row r="237" spans="2:85" ht="14.25" customHeight="1">
      <c r="B237" s="106"/>
      <c r="C237" s="113"/>
      <c r="D237" s="113"/>
      <c r="E237" s="106"/>
      <c r="F237" s="118"/>
      <c r="G237" s="118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</row>
    <row r="238" spans="2:85" ht="14.25" customHeight="1">
      <c r="B238" s="106"/>
      <c r="C238" s="113"/>
      <c r="D238" s="113"/>
      <c r="E238" s="106"/>
      <c r="F238" s="118"/>
      <c r="G238" s="118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</row>
    <row r="239" spans="2:85" ht="14.25" customHeight="1">
      <c r="B239" s="106"/>
      <c r="C239" s="113"/>
      <c r="D239" s="113"/>
      <c r="E239" s="106"/>
      <c r="F239" s="118"/>
      <c r="G239" s="118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</row>
    <row r="240" spans="2:85" ht="14.25" customHeight="1">
      <c r="B240" s="106"/>
      <c r="C240" s="113"/>
      <c r="D240" s="113"/>
      <c r="E240" s="106"/>
      <c r="F240" s="118"/>
      <c r="G240" s="118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</row>
    <row r="241" spans="2:85" ht="14.25" customHeight="1">
      <c r="B241" s="106"/>
      <c r="C241" s="113"/>
      <c r="D241" s="113"/>
      <c r="E241" s="106"/>
      <c r="F241" s="118"/>
      <c r="G241" s="118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</row>
    <row r="242" spans="2:85" ht="14.25" customHeight="1">
      <c r="B242" s="106"/>
      <c r="C242" s="113"/>
      <c r="D242" s="113"/>
      <c r="E242" s="106"/>
      <c r="F242" s="118"/>
      <c r="G242" s="118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</row>
    <row r="243" spans="2:85" ht="14.25" customHeight="1">
      <c r="B243" s="106"/>
      <c r="C243" s="113"/>
      <c r="D243" s="113"/>
      <c r="E243" s="106"/>
      <c r="F243" s="118"/>
      <c r="G243" s="118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</row>
    <row r="244" spans="2:85" ht="14.25" customHeight="1">
      <c r="B244" s="106"/>
      <c r="C244" s="113"/>
      <c r="D244" s="113"/>
      <c r="E244" s="106"/>
      <c r="F244" s="118"/>
      <c r="G244" s="118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</row>
    <row r="245" spans="2:85" ht="14.25" customHeight="1">
      <c r="B245" s="106"/>
      <c r="C245" s="113"/>
      <c r="D245" s="113"/>
      <c r="E245" s="106"/>
      <c r="F245" s="118"/>
      <c r="G245" s="118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</row>
    <row r="246" spans="2:85" ht="14.25" customHeight="1">
      <c r="B246" s="106"/>
      <c r="C246" s="113"/>
      <c r="D246" s="113"/>
      <c r="E246" s="106"/>
      <c r="F246" s="118"/>
      <c r="G246" s="118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</row>
    <row r="247" spans="2:85" ht="14.25" customHeight="1">
      <c r="B247" s="106"/>
      <c r="C247" s="113"/>
      <c r="D247" s="113"/>
      <c r="E247" s="106"/>
      <c r="F247" s="118"/>
      <c r="G247" s="118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</row>
    <row r="248" spans="2:85" ht="14.25" customHeight="1">
      <c r="B248" s="106"/>
      <c r="C248" s="113"/>
      <c r="D248" s="113"/>
      <c r="E248" s="106"/>
      <c r="F248" s="118"/>
      <c r="G248" s="118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</row>
    <row r="249" spans="2:85" ht="14.25" customHeight="1">
      <c r="B249" s="106"/>
      <c r="C249" s="113"/>
      <c r="D249" s="113"/>
      <c r="E249" s="106"/>
      <c r="F249" s="118"/>
      <c r="G249" s="118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</row>
    <row r="250" spans="2:85" ht="14.25" customHeight="1">
      <c r="B250" s="106"/>
      <c r="C250" s="113"/>
      <c r="D250" s="113"/>
      <c r="E250" s="106"/>
      <c r="F250" s="118"/>
      <c r="G250" s="118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</row>
    <row r="251" spans="2:85" ht="14.25" customHeight="1">
      <c r="B251" s="106"/>
      <c r="C251" s="113"/>
      <c r="D251" s="113"/>
      <c r="E251" s="106"/>
      <c r="F251" s="118"/>
      <c r="G251" s="118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</row>
    <row r="252" spans="2:85" ht="14.25" customHeight="1">
      <c r="B252" s="106"/>
      <c r="C252" s="113"/>
      <c r="D252" s="113"/>
      <c r="E252" s="106"/>
      <c r="F252" s="118"/>
      <c r="G252" s="118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</row>
    <row r="253" spans="2:85" ht="14.25" customHeight="1">
      <c r="B253" s="106"/>
      <c r="C253" s="113"/>
      <c r="D253" s="113"/>
      <c r="E253" s="106"/>
      <c r="F253" s="118"/>
      <c r="G253" s="118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</row>
    <row r="254" spans="2:85" ht="14.25" customHeight="1">
      <c r="B254" s="106"/>
      <c r="C254" s="113"/>
      <c r="D254" s="113"/>
      <c r="E254" s="106"/>
      <c r="F254" s="118"/>
      <c r="G254" s="118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</row>
    <row r="255" spans="2:85" ht="14.25" customHeight="1">
      <c r="B255" s="106"/>
      <c r="C255" s="113"/>
      <c r="D255" s="113"/>
      <c r="E255" s="106"/>
      <c r="F255" s="118"/>
      <c r="G255" s="118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</row>
    <row r="256" spans="2:85" ht="14.25" customHeight="1">
      <c r="B256" s="106"/>
      <c r="C256" s="113"/>
      <c r="D256" s="113"/>
      <c r="E256" s="106"/>
      <c r="F256" s="118"/>
      <c r="G256" s="118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</row>
    <row r="257" spans="2:85" ht="14.25" customHeight="1">
      <c r="B257" s="106"/>
      <c r="C257" s="113"/>
      <c r="D257" s="113"/>
      <c r="E257" s="106"/>
      <c r="F257" s="118"/>
      <c r="G257" s="118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</row>
    <row r="258" spans="2:85" ht="14.25" customHeight="1">
      <c r="B258" s="106"/>
      <c r="C258" s="113"/>
      <c r="D258" s="113"/>
      <c r="E258" s="106"/>
      <c r="F258" s="118"/>
      <c r="G258" s="118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</row>
    <row r="259" spans="2:85" ht="14.25" customHeight="1">
      <c r="B259" s="106"/>
      <c r="C259" s="113"/>
      <c r="D259" s="113"/>
      <c r="E259" s="106"/>
      <c r="F259" s="118"/>
      <c r="G259" s="118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</row>
    <row r="260" spans="2:85" ht="14.25" customHeight="1">
      <c r="B260" s="106"/>
      <c r="C260" s="113"/>
      <c r="D260" s="113"/>
      <c r="E260" s="106"/>
      <c r="F260" s="118"/>
      <c r="G260" s="118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</row>
    <row r="261" spans="2:85" ht="14.25" customHeight="1">
      <c r="B261" s="106"/>
      <c r="C261" s="113"/>
      <c r="D261" s="113"/>
      <c r="E261" s="106"/>
      <c r="F261" s="118"/>
      <c r="G261" s="118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</row>
    <row r="262" spans="2:85" ht="14.25" customHeight="1">
      <c r="B262" s="106"/>
      <c r="C262" s="113"/>
      <c r="D262" s="113"/>
      <c r="E262" s="106"/>
      <c r="F262" s="118"/>
      <c r="G262" s="118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</row>
    <row r="263" spans="2:85" ht="14.25" customHeight="1">
      <c r="B263" s="106"/>
      <c r="C263" s="113"/>
      <c r="D263" s="113"/>
      <c r="E263" s="106"/>
      <c r="F263" s="118"/>
      <c r="G263" s="118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</row>
    <row r="264" spans="2:85" ht="14.25" customHeight="1">
      <c r="B264" s="106"/>
      <c r="C264" s="113"/>
      <c r="D264" s="113"/>
      <c r="E264" s="106"/>
      <c r="F264" s="118"/>
      <c r="G264" s="118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</row>
    <row r="265" spans="2:85" ht="14.25" customHeight="1">
      <c r="B265" s="106"/>
      <c r="C265" s="113"/>
      <c r="D265" s="113"/>
      <c r="E265" s="106"/>
      <c r="F265" s="118"/>
      <c r="G265" s="118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</row>
    <row r="266" spans="2:85" ht="14.25" customHeight="1">
      <c r="B266" s="106"/>
      <c r="C266" s="113"/>
      <c r="D266" s="113"/>
      <c r="E266" s="106"/>
      <c r="F266" s="118"/>
      <c r="G266" s="118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</row>
    <row r="267" spans="2:85" ht="14.25" customHeight="1">
      <c r="B267" s="106"/>
      <c r="C267" s="113"/>
      <c r="D267" s="113"/>
      <c r="E267" s="106"/>
      <c r="F267" s="118"/>
      <c r="G267" s="118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</row>
    <row r="268" spans="2:85" ht="14.25" customHeight="1">
      <c r="B268" s="106"/>
      <c r="C268" s="113"/>
      <c r="D268" s="113"/>
      <c r="E268" s="106"/>
      <c r="F268" s="118"/>
      <c r="G268" s="118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</row>
    <row r="269" spans="2:85" ht="14.25" customHeight="1">
      <c r="B269" s="106"/>
      <c r="C269" s="113"/>
      <c r="D269" s="113"/>
      <c r="E269" s="106"/>
      <c r="F269" s="118"/>
      <c r="G269" s="118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</row>
    <row r="270" spans="2:85" ht="14.25" customHeight="1">
      <c r="B270" s="106"/>
      <c r="C270" s="113"/>
      <c r="D270" s="113"/>
      <c r="E270" s="106"/>
      <c r="F270" s="118"/>
      <c r="G270" s="118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</row>
    <row r="271" spans="2:85" ht="14.25" customHeight="1">
      <c r="B271" s="106"/>
      <c r="C271" s="113"/>
      <c r="D271" s="113"/>
      <c r="E271" s="106"/>
      <c r="F271" s="118"/>
      <c r="G271" s="118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</row>
    <row r="272" spans="2:85" ht="14.25" customHeight="1">
      <c r="B272" s="106"/>
      <c r="C272" s="113"/>
      <c r="D272" s="113"/>
      <c r="E272" s="106"/>
      <c r="F272" s="118"/>
      <c r="G272" s="118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</row>
    <row r="273" spans="2:85" ht="14.25" customHeight="1">
      <c r="B273" s="106"/>
      <c r="C273" s="113"/>
      <c r="D273" s="113"/>
      <c r="E273" s="106"/>
      <c r="F273" s="118"/>
      <c r="G273" s="118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</row>
    <row r="274" spans="2:85" ht="14.25" customHeight="1">
      <c r="B274" s="106"/>
      <c r="C274" s="113"/>
      <c r="D274" s="113"/>
      <c r="E274" s="106"/>
      <c r="F274" s="118"/>
      <c r="G274" s="118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</row>
    <row r="275" spans="2:85" ht="14.25" customHeight="1">
      <c r="B275" s="106"/>
      <c r="C275" s="113"/>
      <c r="D275" s="113"/>
      <c r="E275" s="106"/>
      <c r="F275" s="118"/>
      <c r="G275" s="118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</row>
    <row r="276" spans="2:85" ht="14.25" customHeight="1">
      <c r="B276" s="106"/>
      <c r="C276" s="113"/>
      <c r="D276" s="113"/>
      <c r="E276" s="106"/>
      <c r="F276" s="118"/>
      <c r="G276" s="118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</row>
    <row r="277" spans="2:85" ht="14.25" customHeight="1">
      <c r="B277" s="106"/>
      <c r="C277" s="113"/>
      <c r="D277" s="113"/>
      <c r="E277" s="106"/>
      <c r="F277" s="118"/>
      <c r="G277" s="118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</row>
    <row r="278" spans="2:85" ht="14.25" customHeight="1">
      <c r="B278" s="106"/>
      <c r="C278" s="113"/>
      <c r="D278" s="113"/>
      <c r="E278" s="106"/>
      <c r="F278" s="118"/>
      <c r="G278" s="118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</row>
    <row r="279" spans="2:85" ht="14.25" customHeight="1">
      <c r="B279" s="106"/>
      <c r="C279" s="113"/>
      <c r="D279" s="113"/>
      <c r="E279" s="106"/>
      <c r="F279" s="118"/>
      <c r="G279" s="118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</row>
    <row r="280" spans="2:85" ht="14.25" customHeight="1">
      <c r="B280" s="106"/>
      <c r="C280" s="113"/>
      <c r="D280" s="113"/>
      <c r="E280" s="106"/>
      <c r="F280" s="118"/>
      <c r="G280" s="118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</row>
    <row r="281" spans="2:85" ht="14.25" customHeight="1">
      <c r="B281" s="106"/>
      <c r="C281" s="113"/>
      <c r="D281" s="113"/>
      <c r="E281" s="106"/>
      <c r="F281" s="118"/>
      <c r="G281" s="118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</row>
    <row r="282" spans="2:85" ht="14.25" customHeight="1">
      <c r="B282" s="106"/>
      <c r="C282" s="113"/>
      <c r="D282" s="113"/>
      <c r="E282" s="106"/>
      <c r="F282" s="118"/>
      <c r="G282" s="118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</row>
    <row r="283" spans="2:85" ht="14.25" customHeight="1">
      <c r="B283" s="106"/>
      <c r="C283" s="113"/>
      <c r="D283" s="113"/>
      <c r="E283" s="106"/>
      <c r="F283" s="118"/>
      <c r="G283" s="118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</row>
    <row r="284" spans="2:85" ht="14.25" customHeight="1">
      <c r="B284" s="106"/>
      <c r="C284" s="113"/>
      <c r="D284" s="113"/>
      <c r="E284" s="106"/>
      <c r="F284" s="118"/>
      <c r="G284" s="118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</row>
    <row r="285" spans="2:85" ht="14.25" customHeight="1">
      <c r="B285" s="106"/>
      <c r="C285" s="113"/>
      <c r="D285" s="113"/>
      <c r="E285" s="106"/>
      <c r="F285" s="118"/>
      <c r="G285" s="118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</row>
    <row r="286" spans="2:85" ht="14.25" customHeight="1">
      <c r="B286" s="106"/>
      <c r="C286" s="113"/>
      <c r="D286" s="113"/>
      <c r="E286" s="106"/>
      <c r="F286" s="118"/>
      <c r="G286" s="118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</row>
    <row r="287" spans="2:85" ht="14.25" customHeight="1">
      <c r="B287" s="106"/>
      <c r="C287" s="113"/>
      <c r="D287" s="113"/>
      <c r="E287" s="106"/>
      <c r="F287" s="118"/>
      <c r="G287" s="118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</row>
    <row r="288" spans="2:85" ht="14.25" customHeight="1">
      <c r="B288" s="106"/>
      <c r="C288" s="113"/>
      <c r="D288" s="113"/>
      <c r="E288" s="106"/>
      <c r="F288" s="118"/>
      <c r="G288" s="118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</row>
    <row r="289" spans="2:85" ht="14.25" customHeight="1">
      <c r="B289" s="106"/>
      <c r="C289" s="113"/>
      <c r="D289" s="113"/>
      <c r="E289" s="106"/>
      <c r="F289" s="118"/>
      <c r="G289" s="118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</row>
    <row r="290" spans="2:85" ht="14.25" customHeight="1">
      <c r="B290" s="106"/>
      <c r="C290" s="113"/>
      <c r="D290" s="113"/>
      <c r="E290" s="106"/>
      <c r="F290" s="118"/>
      <c r="G290" s="118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</row>
    <row r="291" spans="2:85" ht="14.25" customHeight="1">
      <c r="B291" s="106"/>
      <c r="C291" s="113"/>
      <c r="D291" s="113"/>
      <c r="E291" s="106"/>
      <c r="F291" s="118"/>
      <c r="G291" s="118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</row>
    <row r="292" spans="2:85" ht="14.25" customHeight="1">
      <c r="B292" s="106"/>
      <c r="C292" s="113"/>
      <c r="D292" s="113"/>
      <c r="E292" s="106"/>
      <c r="F292" s="118"/>
      <c r="G292" s="118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</row>
    <row r="293" spans="2:85" ht="14.25" customHeight="1">
      <c r="B293" s="106"/>
      <c r="C293" s="113"/>
      <c r="D293" s="113"/>
      <c r="E293" s="106"/>
      <c r="F293" s="118"/>
      <c r="G293" s="118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</row>
    <row r="294" spans="2:85" ht="14.25" customHeight="1">
      <c r="B294" s="106"/>
      <c r="C294" s="113"/>
      <c r="D294" s="113"/>
      <c r="E294" s="106"/>
      <c r="F294" s="118"/>
      <c r="G294" s="118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</row>
    <row r="295" spans="2:85" ht="14.25" customHeight="1">
      <c r="B295" s="106"/>
      <c r="C295" s="113"/>
      <c r="D295" s="113"/>
      <c r="E295" s="106"/>
      <c r="F295" s="118"/>
      <c r="G295" s="118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</row>
    <row r="296" spans="2:85" ht="14.25" customHeight="1">
      <c r="B296" s="106"/>
      <c r="C296" s="113"/>
      <c r="D296" s="113"/>
      <c r="E296" s="106"/>
      <c r="F296" s="118"/>
      <c r="G296" s="118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</row>
    <row r="297" spans="2:85" ht="14.25" customHeight="1">
      <c r="B297" s="106"/>
      <c r="C297" s="113"/>
      <c r="D297" s="113"/>
      <c r="E297" s="106"/>
      <c r="F297" s="118"/>
      <c r="G297" s="118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</row>
    <row r="298" spans="2:85" ht="14.25" customHeight="1">
      <c r="B298" s="106"/>
      <c r="C298" s="113"/>
      <c r="D298" s="113"/>
      <c r="E298" s="106"/>
      <c r="F298" s="118"/>
      <c r="G298" s="118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</row>
    <row r="299" spans="2:85" ht="14.25" customHeight="1">
      <c r="B299" s="106"/>
      <c r="C299" s="113"/>
      <c r="D299" s="113"/>
      <c r="E299" s="106"/>
      <c r="F299" s="118"/>
      <c r="G299" s="118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</row>
    <row r="300" spans="2:85" ht="14.25" customHeight="1">
      <c r="B300" s="106"/>
      <c r="C300" s="113"/>
      <c r="D300" s="113"/>
      <c r="E300" s="106"/>
      <c r="F300" s="118"/>
      <c r="G300" s="118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</row>
    <row r="301" spans="2:85" ht="14.25" customHeight="1">
      <c r="B301" s="106"/>
      <c r="C301" s="113"/>
      <c r="D301" s="113"/>
      <c r="E301" s="106"/>
      <c r="F301" s="118"/>
      <c r="G301" s="118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</row>
    <row r="302" spans="2:85" ht="14.25" customHeight="1">
      <c r="B302" s="106"/>
      <c r="C302" s="113"/>
      <c r="D302" s="113"/>
      <c r="E302" s="106"/>
      <c r="F302" s="118"/>
      <c r="G302" s="118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</row>
    <row r="303" spans="2:85" ht="14.25" customHeight="1">
      <c r="B303" s="106"/>
      <c r="C303" s="113"/>
      <c r="D303" s="113"/>
      <c r="E303" s="106"/>
      <c r="F303" s="118"/>
      <c r="G303" s="118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</row>
    <row r="304" spans="2:85" ht="14.25" customHeight="1">
      <c r="B304" s="106"/>
      <c r="C304" s="113"/>
      <c r="D304" s="113"/>
      <c r="E304" s="106"/>
      <c r="F304" s="118"/>
      <c r="G304" s="118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</row>
    <row r="305" spans="2:85" ht="14.25" customHeight="1">
      <c r="B305" s="106"/>
      <c r="C305" s="113"/>
      <c r="D305" s="113"/>
      <c r="E305" s="106"/>
      <c r="F305" s="118"/>
      <c r="G305" s="118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</row>
    <row r="306" spans="2:85" ht="14.25" customHeight="1">
      <c r="B306" s="106"/>
      <c r="C306" s="113"/>
      <c r="D306" s="113"/>
      <c r="E306" s="106"/>
      <c r="F306" s="118"/>
      <c r="G306" s="118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</row>
    <row r="307" spans="2:85" ht="14.25" customHeight="1">
      <c r="B307" s="106"/>
      <c r="C307" s="113"/>
      <c r="D307" s="113"/>
      <c r="E307" s="106"/>
      <c r="F307" s="118"/>
      <c r="G307" s="118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</row>
    <row r="308" spans="2:85" ht="14.25" customHeight="1">
      <c r="B308" s="106"/>
      <c r="C308" s="113"/>
      <c r="D308" s="113"/>
      <c r="E308" s="106"/>
      <c r="F308" s="118"/>
      <c r="G308" s="118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</row>
    <row r="309" spans="2:85" ht="14.25" customHeight="1">
      <c r="B309" s="106"/>
      <c r="C309" s="113"/>
      <c r="D309" s="113"/>
      <c r="E309" s="106"/>
      <c r="F309" s="118"/>
      <c r="G309" s="118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</row>
    <row r="310" spans="2:85" ht="14.25" customHeight="1">
      <c r="B310" s="106"/>
      <c r="C310" s="113"/>
      <c r="D310" s="113"/>
      <c r="E310" s="106"/>
      <c r="F310" s="118"/>
      <c r="G310" s="118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</row>
    <row r="311" spans="2:85" ht="14.25" customHeight="1">
      <c r="B311" s="106"/>
      <c r="C311" s="113"/>
      <c r="D311" s="113"/>
      <c r="E311" s="106"/>
      <c r="F311" s="118"/>
      <c r="G311" s="118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</row>
    <row r="312" spans="2:85" ht="14.25" customHeight="1">
      <c r="B312" s="106"/>
      <c r="C312" s="113"/>
      <c r="D312" s="113"/>
      <c r="E312" s="106"/>
      <c r="F312" s="118"/>
      <c r="G312" s="118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</row>
    <row r="313" spans="2:85" ht="14.25" customHeight="1">
      <c r="B313" s="106"/>
      <c r="C313" s="113"/>
      <c r="D313" s="113"/>
      <c r="E313" s="106"/>
      <c r="F313" s="118"/>
      <c r="G313" s="118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</row>
    <row r="314" spans="2:85" ht="14.25" customHeight="1">
      <c r="B314" s="106"/>
      <c r="C314" s="113"/>
      <c r="D314" s="113"/>
      <c r="E314" s="106"/>
      <c r="F314" s="118"/>
      <c r="G314" s="118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</row>
    <row r="315" spans="2:85" ht="14.25" customHeight="1">
      <c r="B315" s="106"/>
      <c r="C315" s="113"/>
      <c r="D315" s="113"/>
      <c r="E315" s="106"/>
      <c r="F315" s="118"/>
      <c r="G315" s="118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</row>
    <row r="316" spans="2:85" ht="14.25" customHeight="1">
      <c r="B316" s="106"/>
      <c r="C316" s="113"/>
      <c r="D316" s="113"/>
      <c r="E316" s="106"/>
      <c r="F316" s="118"/>
      <c r="G316" s="118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</row>
    <row r="317" spans="2:85" ht="14.25" customHeight="1">
      <c r="B317" s="106"/>
      <c r="C317" s="113"/>
      <c r="D317" s="113"/>
      <c r="E317" s="106"/>
      <c r="F317" s="118"/>
      <c r="G317" s="118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</row>
    <row r="318" spans="2:85" ht="14.25" customHeight="1">
      <c r="B318" s="106"/>
      <c r="C318" s="113"/>
      <c r="D318" s="113"/>
      <c r="E318" s="106"/>
      <c r="F318" s="118"/>
      <c r="G318" s="118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</row>
    <row r="319" spans="2:85" ht="14.25" customHeight="1">
      <c r="B319" s="106"/>
      <c r="C319" s="113"/>
      <c r="D319" s="113"/>
      <c r="E319" s="106"/>
      <c r="F319" s="118"/>
      <c r="G319" s="118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</row>
    <row r="320" spans="2:85" ht="14.25" customHeight="1">
      <c r="B320" s="106"/>
      <c r="C320" s="113"/>
      <c r="D320" s="113"/>
      <c r="E320" s="106"/>
      <c r="F320" s="118"/>
      <c r="G320" s="118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</row>
    <row r="321" spans="2:85" ht="14.25" customHeight="1">
      <c r="B321" s="106"/>
      <c r="C321" s="113"/>
      <c r="D321" s="113"/>
      <c r="E321" s="106"/>
      <c r="F321" s="118"/>
      <c r="G321" s="118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</row>
    <row r="322" spans="2:85" ht="14.25" customHeight="1">
      <c r="B322" s="106"/>
      <c r="C322" s="113"/>
      <c r="D322" s="113"/>
      <c r="E322" s="106"/>
      <c r="F322" s="118"/>
      <c r="G322" s="118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</row>
    <row r="323" spans="2:85" ht="14.25" customHeight="1">
      <c r="B323" s="106"/>
      <c r="C323" s="113"/>
      <c r="D323" s="113"/>
      <c r="E323" s="106"/>
      <c r="F323" s="118"/>
      <c r="G323" s="118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</row>
    <row r="324" spans="2:85" ht="14.25" customHeight="1">
      <c r="B324" s="106"/>
      <c r="C324" s="113"/>
      <c r="D324" s="113"/>
      <c r="E324" s="106"/>
      <c r="F324" s="118"/>
      <c r="G324" s="118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</row>
    <row r="325" spans="2:85" ht="14.25" customHeight="1">
      <c r="B325" s="106"/>
      <c r="C325" s="113"/>
      <c r="D325" s="113"/>
      <c r="E325" s="106"/>
      <c r="F325" s="118"/>
      <c r="G325" s="118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</row>
    <row r="326" spans="2:85" ht="14.25" customHeight="1">
      <c r="B326" s="106"/>
      <c r="C326" s="113"/>
      <c r="D326" s="113"/>
      <c r="E326" s="106"/>
      <c r="F326" s="118"/>
      <c r="G326" s="118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</row>
    <row r="327" spans="2:85" ht="14.25" customHeight="1">
      <c r="B327" s="106"/>
      <c r="C327" s="113"/>
      <c r="D327" s="113"/>
      <c r="E327" s="106"/>
      <c r="F327" s="118"/>
      <c r="G327" s="118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</row>
    <row r="328" spans="2:85" ht="14.25" customHeight="1">
      <c r="B328" s="106"/>
      <c r="C328" s="113"/>
      <c r="D328" s="113"/>
      <c r="E328" s="106"/>
      <c r="F328" s="118"/>
      <c r="G328" s="118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</row>
    <row r="329" spans="2:85" ht="14.25" customHeight="1">
      <c r="B329" s="106"/>
      <c r="C329" s="113"/>
      <c r="D329" s="113"/>
      <c r="E329" s="106"/>
      <c r="F329" s="118"/>
      <c r="G329" s="118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</row>
    <row r="330" spans="2:85" ht="14.25" customHeight="1">
      <c r="B330" s="106"/>
      <c r="C330" s="113"/>
      <c r="D330" s="113"/>
      <c r="E330" s="106"/>
      <c r="F330" s="118"/>
      <c r="G330" s="118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</row>
    <row r="331" spans="2:85" ht="14.25" customHeight="1">
      <c r="B331" s="106"/>
      <c r="C331" s="113"/>
      <c r="D331" s="113"/>
      <c r="E331" s="106"/>
      <c r="F331" s="118"/>
      <c r="G331" s="118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</row>
    <row r="332" spans="2:85" ht="14.25" customHeight="1">
      <c r="B332" s="106"/>
      <c r="C332" s="113"/>
      <c r="D332" s="113"/>
      <c r="E332" s="106"/>
      <c r="F332" s="118"/>
      <c r="G332" s="118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</row>
    <row r="333" spans="2:85" ht="14.25" customHeight="1">
      <c r="B333" s="106"/>
      <c r="C333" s="113"/>
      <c r="D333" s="113"/>
      <c r="E333" s="106"/>
      <c r="F333" s="118"/>
      <c r="G333" s="118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</row>
    <row r="334" spans="2:85" ht="14.25" customHeight="1">
      <c r="B334" s="106"/>
      <c r="C334" s="113"/>
      <c r="D334" s="113"/>
      <c r="E334" s="106"/>
      <c r="F334" s="118"/>
      <c r="G334" s="118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</row>
    <row r="335" spans="2:85" ht="14.25" customHeight="1">
      <c r="B335" s="106"/>
      <c r="C335" s="113"/>
      <c r="D335" s="113"/>
      <c r="E335" s="106"/>
      <c r="F335" s="118"/>
      <c r="G335" s="118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</row>
    <row r="336" spans="2:85" ht="14.25" customHeight="1">
      <c r="B336" s="106"/>
      <c r="C336" s="113"/>
      <c r="D336" s="113"/>
      <c r="E336" s="106"/>
      <c r="F336" s="118"/>
      <c r="G336" s="118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</row>
    <row r="337" spans="2:85" ht="14.25" customHeight="1">
      <c r="B337" s="106"/>
      <c r="C337" s="113"/>
      <c r="D337" s="113"/>
      <c r="E337" s="106"/>
      <c r="F337" s="118"/>
      <c r="G337" s="118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</row>
    <row r="338" spans="2:85" ht="14.25" customHeight="1">
      <c r="B338" s="106"/>
      <c r="C338" s="113"/>
      <c r="D338" s="113"/>
      <c r="E338" s="106"/>
      <c r="F338" s="118"/>
      <c r="G338" s="118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</row>
    <row r="339" spans="2:85" ht="14.25" customHeight="1">
      <c r="B339" s="106"/>
      <c r="C339" s="113"/>
      <c r="D339" s="113"/>
      <c r="E339" s="106"/>
      <c r="F339" s="118"/>
      <c r="G339" s="118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</row>
    <row r="340" spans="2:85" ht="14.25" customHeight="1">
      <c r="B340" s="106"/>
      <c r="C340" s="113"/>
      <c r="D340" s="113"/>
      <c r="E340" s="106"/>
      <c r="F340" s="118"/>
      <c r="G340" s="118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</row>
    <row r="341" spans="2:85" ht="14.25" customHeight="1">
      <c r="B341" s="106"/>
      <c r="C341" s="113"/>
      <c r="D341" s="113"/>
      <c r="E341" s="106"/>
      <c r="F341" s="118"/>
      <c r="G341" s="118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</row>
    <row r="342" spans="2:85" ht="14.25" customHeight="1">
      <c r="B342" s="106"/>
      <c r="C342" s="113"/>
      <c r="D342" s="113"/>
      <c r="E342" s="106"/>
      <c r="F342" s="118"/>
      <c r="G342" s="118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</row>
    <row r="343" spans="2:85" ht="14.25" customHeight="1">
      <c r="B343" s="106"/>
      <c r="C343" s="113"/>
      <c r="D343" s="113"/>
      <c r="E343" s="106"/>
      <c r="F343" s="118"/>
      <c r="G343" s="118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</row>
    <row r="344" spans="2:85" ht="14.25" customHeight="1">
      <c r="B344" s="106"/>
      <c r="C344" s="113"/>
      <c r="D344" s="113"/>
      <c r="E344" s="106"/>
      <c r="F344" s="118"/>
      <c r="G344" s="118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</row>
    <row r="345" spans="2:85" ht="14.25" customHeight="1">
      <c r="B345" s="106"/>
      <c r="C345" s="113"/>
      <c r="D345" s="113"/>
      <c r="E345" s="106"/>
      <c r="F345" s="118"/>
      <c r="G345" s="118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</row>
    <row r="346" spans="2:85" ht="14.25" customHeight="1">
      <c r="B346" s="106"/>
      <c r="C346" s="113"/>
      <c r="D346" s="113"/>
      <c r="E346" s="106"/>
      <c r="F346" s="118"/>
      <c r="G346" s="118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</row>
    <row r="347" spans="2:85" ht="14.25" customHeight="1">
      <c r="B347" s="106"/>
      <c r="C347" s="113"/>
      <c r="D347" s="113"/>
      <c r="E347" s="106"/>
      <c r="F347" s="118"/>
      <c r="G347" s="118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</row>
    <row r="348" spans="2:85" ht="14.25" customHeight="1">
      <c r="B348" s="106"/>
      <c r="C348" s="113"/>
      <c r="D348" s="113"/>
      <c r="E348" s="106"/>
      <c r="F348" s="118"/>
      <c r="G348" s="118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</row>
    <row r="349" spans="2:85" ht="14.25" customHeight="1">
      <c r="B349" s="106"/>
      <c r="C349" s="113"/>
      <c r="D349" s="113"/>
      <c r="E349" s="106"/>
      <c r="F349" s="118"/>
      <c r="G349" s="118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</row>
    <row r="350" spans="2:85" ht="14.25" customHeight="1">
      <c r="B350" s="106"/>
      <c r="C350" s="113"/>
      <c r="D350" s="113"/>
      <c r="E350" s="106"/>
      <c r="F350" s="118"/>
      <c r="G350" s="118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</row>
    <row r="351" spans="2:85" ht="14.25" customHeight="1">
      <c r="B351" s="106"/>
      <c r="C351" s="113"/>
      <c r="D351" s="113"/>
      <c r="E351" s="106"/>
      <c r="F351" s="118"/>
      <c r="G351" s="118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</row>
    <row r="352" spans="2:85" ht="14.25" customHeight="1">
      <c r="B352" s="106"/>
      <c r="C352" s="113"/>
      <c r="D352" s="113"/>
      <c r="E352" s="106"/>
      <c r="F352" s="118"/>
      <c r="G352" s="118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</row>
    <row r="353" spans="2:85" ht="14.25" customHeight="1">
      <c r="B353" s="106"/>
      <c r="C353" s="113"/>
      <c r="D353" s="113"/>
      <c r="E353" s="106"/>
      <c r="F353" s="118"/>
      <c r="G353" s="118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</row>
    <row r="354" spans="2:85" ht="14.25" customHeight="1">
      <c r="B354" s="106"/>
      <c r="C354" s="113"/>
      <c r="D354" s="113"/>
      <c r="E354" s="106"/>
      <c r="F354" s="118"/>
      <c r="G354" s="118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</row>
    <row r="355" spans="2:85" ht="14.25" customHeight="1">
      <c r="B355" s="106"/>
      <c r="C355" s="113"/>
      <c r="D355" s="113"/>
      <c r="E355" s="106"/>
      <c r="F355" s="118"/>
      <c r="G355" s="118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</row>
    <row r="356" spans="2:85" ht="14.25" customHeight="1">
      <c r="B356" s="106"/>
      <c r="C356" s="113"/>
      <c r="D356" s="113"/>
      <c r="E356" s="106"/>
      <c r="F356" s="118"/>
      <c r="G356" s="118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</row>
    <row r="357" spans="2:85" ht="14.25" customHeight="1">
      <c r="B357" s="106"/>
      <c r="C357" s="113"/>
      <c r="D357" s="113"/>
      <c r="E357" s="106"/>
      <c r="F357" s="118"/>
      <c r="G357" s="118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</row>
    <row r="358" spans="2:85" ht="14.25" customHeight="1">
      <c r="B358" s="106"/>
      <c r="C358" s="113"/>
      <c r="D358" s="113"/>
      <c r="E358" s="106"/>
      <c r="F358" s="118"/>
      <c r="G358" s="118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</row>
    <row r="359" spans="2:85" ht="14.25" customHeight="1">
      <c r="B359" s="106"/>
      <c r="C359" s="113"/>
      <c r="D359" s="113"/>
      <c r="E359" s="106"/>
      <c r="F359" s="118"/>
      <c r="G359" s="118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</row>
    <row r="360" spans="2:85" ht="14.25" customHeight="1">
      <c r="B360" s="106"/>
      <c r="C360" s="113"/>
      <c r="D360" s="113"/>
      <c r="E360" s="106"/>
      <c r="F360" s="118"/>
      <c r="G360" s="118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</row>
    <row r="361" spans="2:85" ht="14.25" customHeight="1">
      <c r="B361" s="106"/>
      <c r="C361" s="113"/>
      <c r="D361" s="113"/>
      <c r="E361" s="106"/>
      <c r="F361" s="118"/>
      <c r="G361" s="118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</row>
    <row r="362" spans="2:85" ht="14.25" customHeight="1">
      <c r="B362" s="106"/>
      <c r="C362" s="113"/>
      <c r="D362" s="113"/>
      <c r="E362" s="106"/>
      <c r="F362" s="118"/>
      <c r="G362" s="118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</row>
    <row r="363" spans="2:85" ht="14.25" customHeight="1">
      <c r="B363" s="106"/>
      <c r="C363" s="113"/>
      <c r="D363" s="113"/>
      <c r="E363" s="106"/>
      <c r="F363" s="118"/>
      <c r="G363" s="118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</row>
    <row r="364" spans="2:85" ht="14.25" customHeight="1">
      <c r="B364" s="106"/>
      <c r="C364" s="113"/>
      <c r="D364" s="113"/>
      <c r="E364" s="106"/>
      <c r="F364" s="118"/>
      <c r="G364" s="118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</row>
    <row r="365" spans="2:85" ht="14.25" customHeight="1">
      <c r="B365" s="106"/>
      <c r="C365" s="113"/>
      <c r="D365" s="113"/>
      <c r="E365" s="106"/>
      <c r="F365" s="118"/>
      <c r="G365" s="118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</row>
    <row r="366" spans="2:85" ht="14.25" customHeight="1">
      <c r="B366" s="106"/>
      <c r="C366" s="113"/>
      <c r="D366" s="113"/>
      <c r="E366" s="106"/>
      <c r="F366" s="118"/>
      <c r="G366" s="118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</row>
    <row r="367" spans="2:85" ht="14.25" customHeight="1">
      <c r="B367" s="106"/>
      <c r="C367" s="113"/>
      <c r="D367" s="113"/>
      <c r="E367" s="106"/>
      <c r="F367" s="118"/>
      <c r="G367" s="118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</row>
    <row r="368" spans="2:85" ht="14.25" customHeight="1">
      <c r="B368" s="106"/>
      <c r="C368" s="113"/>
      <c r="D368" s="113"/>
      <c r="E368" s="106"/>
      <c r="F368" s="118"/>
      <c r="G368" s="118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</row>
    <row r="369" spans="2:85" ht="14.25" customHeight="1">
      <c r="B369" s="106"/>
      <c r="C369" s="113"/>
      <c r="D369" s="113"/>
      <c r="E369" s="106"/>
      <c r="F369" s="118"/>
      <c r="G369" s="118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</row>
    <row r="370" spans="2:85" ht="14.25" customHeight="1">
      <c r="B370" s="106"/>
      <c r="C370" s="113"/>
      <c r="D370" s="113"/>
      <c r="E370" s="106"/>
      <c r="F370" s="118"/>
      <c r="G370" s="118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</row>
    <row r="371" spans="2:85" ht="14.25" customHeight="1">
      <c r="B371" s="106"/>
      <c r="C371" s="113"/>
      <c r="D371" s="113"/>
      <c r="E371" s="106"/>
      <c r="F371" s="118"/>
      <c r="G371" s="118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</row>
    <row r="372" spans="2:85" ht="14.25" customHeight="1">
      <c r="B372" s="106"/>
      <c r="C372" s="113"/>
      <c r="D372" s="113"/>
      <c r="E372" s="106"/>
      <c r="F372" s="118"/>
      <c r="G372" s="118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</row>
    <row r="373" spans="2:85" ht="14.25" customHeight="1">
      <c r="B373" s="106"/>
      <c r="C373" s="113"/>
      <c r="D373" s="113"/>
      <c r="E373" s="106"/>
      <c r="F373" s="118"/>
      <c r="G373" s="118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</row>
    <row r="374" spans="2:85" ht="14.25" customHeight="1">
      <c r="B374" s="106"/>
      <c r="C374" s="113"/>
      <c r="D374" s="113"/>
      <c r="E374" s="106"/>
      <c r="F374" s="118"/>
      <c r="G374" s="118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</row>
    <row r="375" spans="2:85" ht="14.25" customHeight="1">
      <c r="B375" s="106"/>
      <c r="C375" s="113"/>
      <c r="D375" s="113"/>
      <c r="E375" s="106"/>
      <c r="F375" s="118"/>
      <c r="G375" s="118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</row>
    <row r="376" spans="2:85" ht="14.25" customHeight="1">
      <c r="B376" s="106"/>
      <c r="C376" s="113"/>
      <c r="D376" s="113"/>
      <c r="E376" s="106"/>
      <c r="F376" s="118"/>
      <c r="G376" s="118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</row>
    <row r="377" spans="2:85" ht="14.25" customHeight="1">
      <c r="B377" s="106"/>
      <c r="C377" s="113"/>
      <c r="D377" s="113"/>
      <c r="E377" s="106"/>
      <c r="F377" s="118"/>
      <c r="G377" s="118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</row>
    <row r="378" spans="2:85" ht="14.25" customHeight="1">
      <c r="B378" s="106"/>
      <c r="C378" s="113"/>
      <c r="D378" s="113"/>
      <c r="E378" s="106"/>
      <c r="F378" s="118"/>
      <c r="G378" s="118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</row>
    <row r="379" spans="2:85" ht="14.25" customHeight="1">
      <c r="B379" s="106"/>
      <c r="C379" s="113"/>
      <c r="D379" s="113"/>
      <c r="E379" s="106"/>
      <c r="F379" s="118"/>
      <c r="G379" s="118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</row>
    <row r="380" spans="2:85" ht="14.25" customHeight="1">
      <c r="B380" s="106"/>
      <c r="C380" s="113"/>
      <c r="D380" s="113"/>
      <c r="E380" s="106"/>
      <c r="F380" s="118"/>
      <c r="G380" s="118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</row>
    <row r="381" spans="2:85" ht="14.25" customHeight="1">
      <c r="B381" s="106"/>
      <c r="C381" s="113"/>
      <c r="D381" s="113"/>
      <c r="E381" s="106"/>
      <c r="F381" s="118"/>
      <c r="G381" s="118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</row>
    <row r="382" spans="2:85" ht="14.25" customHeight="1">
      <c r="B382" s="106"/>
      <c r="C382" s="113"/>
      <c r="D382" s="113"/>
      <c r="E382" s="106"/>
      <c r="F382" s="118"/>
      <c r="G382" s="118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</row>
    <row r="383" spans="2:85" ht="14.25" customHeight="1">
      <c r="B383" s="106"/>
      <c r="C383" s="113"/>
      <c r="D383" s="113"/>
      <c r="E383" s="106"/>
      <c r="F383" s="118"/>
      <c r="G383" s="118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</row>
    <row r="384" spans="2:85" ht="14.25" customHeight="1">
      <c r="B384" s="106"/>
      <c r="C384" s="113"/>
      <c r="D384" s="113"/>
      <c r="E384" s="106"/>
      <c r="F384" s="118"/>
      <c r="G384" s="118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</row>
    <row r="385" spans="2:85" ht="14.25" customHeight="1">
      <c r="B385" s="106"/>
      <c r="C385" s="113"/>
      <c r="D385" s="113"/>
      <c r="E385" s="106"/>
      <c r="F385" s="118"/>
      <c r="G385" s="118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</row>
    <row r="386" spans="2:85" ht="14.25" customHeight="1">
      <c r="B386" s="106"/>
      <c r="C386" s="113"/>
      <c r="D386" s="113"/>
      <c r="E386" s="106"/>
      <c r="F386" s="118"/>
      <c r="G386" s="118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</row>
    <row r="387" spans="2:85" ht="14.25" customHeight="1">
      <c r="B387" s="106"/>
      <c r="C387" s="113"/>
      <c r="D387" s="113"/>
      <c r="E387" s="106"/>
      <c r="F387" s="118"/>
      <c r="G387" s="118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</row>
    <row r="388" spans="2:85" ht="14.25" customHeight="1">
      <c r="B388" s="106"/>
      <c r="C388" s="113"/>
      <c r="D388" s="113"/>
      <c r="E388" s="106"/>
      <c r="F388" s="118"/>
      <c r="G388" s="118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</row>
    <row r="389" spans="2:85" ht="14.25" customHeight="1">
      <c r="B389" s="106"/>
      <c r="C389" s="113"/>
      <c r="D389" s="113"/>
      <c r="E389" s="106"/>
      <c r="F389" s="118"/>
      <c r="G389" s="118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</row>
    <row r="390" spans="2:85" ht="14.25" customHeight="1">
      <c r="B390" s="106"/>
      <c r="C390" s="113"/>
      <c r="D390" s="113"/>
      <c r="E390" s="106"/>
      <c r="F390" s="118"/>
      <c r="G390" s="118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</row>
    <row r="391" spans="2:85" ht="14.25" customHeight="1">
      <c r="B391" s="106"/>
      <c r="C391" s="113"/>
      <c r="D391" s="113"/>
      <c r="E391" s="106"/>
      <c r="F391" s="118"/>
      <c r="G391" s="118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</row>
    <row r="392" spans="2:85" ht="14.25" customHeight="1">
      <c r="B392" s="106"/>
      <c r="C392" s="113"/>
      <c r="D392" s="113"/>
      <c r="E392" s="106"/>
      <c r="F392" s="118"/>
      <c r="G392" s="118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</row>
    <row r="393" spans="2:85" ht="14.25" customHeight="1">
      <c r="B393" s="106"/>
      <c r="C393" s="113"/>
      <c r="D393" s="113"/>
      <c r="E393" s="106"/>
      <c r="F393" s="118"/>
      <c r="G393" s="118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</row>
    <row r="394" spans="2:85" ht="14.25" customHeight="1">
      <c r="B394" s="106"/>
      <c r="C394" s="113"/>
      <c r="D394" s="113"/>
      <c r="E394" s="106"/>
      <c r="F394" s="118"/>
      <c r="G394" s="118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</row>
    <row r="395" spans="2:85" ht="14.25" customHeight="1">
      <c r="B395" s="106"/>
      <c r="C395" s="113"/>
      <c r="D395" s="113"/>
      <c r="E395" s="106"/>
      <c r="F395" s="118"/>
      <c r="G395" s="118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</row>
    <row r="396" spans="2:85" ht="14.25" customHeight="1">
      <c r="B396" s="106"/>
      <c r="C396" s="113"/>
      <c r="D396" s="113"/>
      <c r="E396" s="106"/>
      <c r="F396" s="118"/>
      <c r="G396" s="118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</row>
    <row r="397" spans="2:85" ht="14.25" customHeight="1">
      <c r="B397" s="106"/>
      <c r="C397" s="113"/>
      <c r="D397" s="113"/>
      <c r="E397" s="106"/>
      <c r="F397" s="118"/>
      <c r="G397" s="118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</row>
    <row r="398" spans="2:85" ht="14.25" customHeight="1">
      <c r="B398" s="106"/>
      <c r="C398" s="113"/>
      <c r="D398" s="113"/>
      <c r="E398" s="106"/>
      <c r="F398" s="118"/>
      <c r="G398" s="118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</row>
    <row r="399" spans="2:85" ht="14.25" customHeight="1">
      <c r="B399" s="106"/>
      <c r="C399" s="113"/>
      <c r="D399" s="113"/>
      <c r="E399" s="106"/>
      <c r="F399" s="118"/>
      <c r="G399" s="118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</row>
    <row r="400" spans="2:85" ht="14.25" customHeight="1">
      <c r="B400" s="106"/>
      <c r="C400" s="113"/>
      <c r="D400" s="113"/>
      <c r="E400" s="106"/>
      <c r="F400" s="118"/>
      <c r="G400" s="118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</row>
    <row r="401" spans="2:85" ht="14.25" customHeight="1">
      <c r="B401" s="106"/>
      <c r="C401" s="113"/>
      <c r="D401" s="113"/>
      <c r="E401" s="106"/>
      <c r="F401" s="118"/>
      <c r="G401" s="118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</row>
    <row r="402" spans="2:85" ht="14.25" customHeight="1">
      <c r="B402" s="106"/>
      <c r="C402" s="113"/>
      <c r="D402" s="113"/>
      <c r="E402" s="106"/>
      <c r="F402" s="118"/>
      <c r="G402" s="118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</row>
    <row r="403" spans="2:85" ht="14.25" customHeight="1">
      <c r="B403" s="106"/>
      <c r="C403" s="113"/>
      <c r="D403" s="113"/>
      <c r="E403" s="106"/>
      <c r="F403" s="118"/>
      <c r="G403" s="118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</row>
    <row r="404" spans="2:85" ht="14.25" customHeight="1">
      <c r="B404" s="106"/>
      <c r="C404" s="113"/>
      <c r="D404" s="113"/>
      <c r="E404" s="106"/>
      <c r="F404" s="118"/>
      <c r="G404" s="118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</row>
    <row r="405" spans="2:85" ht="14.25" customHeight="1">
      <c r="B405" s="106"/>
      <c r="C405" s="113"/>
      <c r="D405" s="113"/>
      <c r="E405" s="106"/>
      <c r="F405" s="118"/>
      <c r="G405" s="118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</row>
    <row r="406" spans="2:85" ht="14.25" customHeight="1">
      <c r="B406" s="106"/>
      <c r="C406" s="113"/>
      <c r="D406" s="113"/>
      <c r="E406" s="106"/>
      <c r="F406" s="118"/>
      <c r="G406" s="118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</row>
    <row r="407" spans="2:85" ht="14.25" customHeight="1">
      <c r="B407" s="106"/>
      <c r="C407" s="113"/>
      <c r="D407" s="113"/>
      <c r="E407" s="106"/>
      <c r="F407" s="118"/>
      <c r="G407" s="118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</row>
    <row r="408" spans="2:85" ht="14.25" customHeight="1">
      <c r="B408" s="106"/>
      <c r="C408" s="113"/>
      <c r="D408" s="113"/>
      <c r="E408" s="106"/>
      <c r="F408" s="118"/>
      <c r="G408" s="118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</row>
    <row r="409" spans="2:85" ht="14.25" customHeight="1">
      <c r="B409" s="106"/>
      <c r="C409" s="113"/>
      <c r="D409" s="113"/>
      <c r="E409" s="106"/>
      <c r="F409" s="118"/>
      <c r="G409" s="118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</row>
    <row r="410" spans="2:85" ht="14.25" customHeight="1">
      <c r="B410" s="106"/>
      <c r="C410" s="113"/>
      <c r="D410" s="113"/>
      <c r="E410" s="106"/>
      <c r="F410" s="118"/>
      <c r="G410" s="118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</row>
    <row r="411" spans="2:85" ht="14.25" customHeight="1">
      <c r="B411" s="106"/>
      <c r="C411" s="113"/>
      <c r="D411" s="113"/>
      <c r="E411" s="106"/>
      <c r="F411" s="118"/>
      <c r="G411" s="118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</row>
    <row r="412" spans="2:85" ht="14.25" customHeight="1">
      <c r="B412" s="106"/>
      <c r="C412" s="113"/>
      <c r="D412" s="113"/>
      <c r="E412" s="106"/>
      <c r="F412" s="118"/>
      <c r="G412" s="118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</row>
    <row r="413" spans="2:85" ht="14.25" customHeight="1">
      <c r="B413" s="106"/>
      <c r="C413" s="113"/>
      <c r="D413" s="113"/>
      <c r="E413" s="106"/>
      <c r="F413" s="118"/>
      <c r="G413" s="118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</row>
    <row r="414" spans="2:85" ht="14.25" customHeight="1">
      <c r="B414" s="106"/>
      <c r="C414" s="113"/>
      <c r="D414" s="113"/>
      <c r="E414" s="106"/>
      <c r="F414" s="118"/>
      <c r="G414" s="118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</row>
    <row r="415" spans="2:85" ht="14.25" customHeight="1">
      <c r="B415" s="106"/>
      <c r="C415" s="113"/>
      <c r="D415" s="113"/>
      <c r="E415" s="106"/>
      <c r="F415" s="118"/>
      <c r="G415" s="118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</row>
    <row r="416" spans="2:85" ht="14.25" customHeight="1">
      <c r="B416" s="106"/>
      <c r="C416" s="113"/>
      <c r="D416" s="113"/>
      <c r="E416" s="106"/>
      <c r="F416" s="118"/>
      <c r="G416" s="118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</row>
    <row r="417" spans="2:85" ht="14.25" customHeight="1">
      <c r="B417" s="106"/>
      <c r="C417" s="113"/>
      <c r="D417" s="113"/>
      <c r="E417" s="106"/>
      <c r="F417" s="118"/>
      <c r="G417" s="118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</row>
    <row r="418" spans="2:85" ht="14.25" customHeight="1">
      <c r="B418" s="106"/>
      <c r="C418" s="113"/>
      <c r="D418" s="113"/>
      <c r="E418" s="106"/>
      <c r="F418" s="118"/>
      <c r="G418" s="118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</row>
    <row r="419" spans="2:85" ht="14.25" customHeight="1">
      <c r="B419" s="106"/>
      <c r="C419" s="113"/>
      <c r="D419" s="113"/>
      <c r="E419" s="106"/>
      <c r="F419" s="118"/>
      <c r="G419" s="118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</row>
    <row r="420" spans="2:85" ht="14.25" customHeight="1">
      <c r="B420" s="106"/>
      <c r="C420" s="113"/>
      <c r="D420" s="113"/>
      <c r="E420" s="106"/>
      <c r="F420" s="118"/>
      <c r="G420" s="118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</row>
    <row r="421" spans="2:85" ht="14.25" customHeight="1">
      <c r="B421" s="106"/>
      <c r="C421" s="113"/>
      <c r="D421" s="113"/>
      <c r="E421" s="106"/>
      <c r="F421" s="118"/>
      <c r="G421" s="118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</row>
    <row r="422" spans="2:85" ht="14.25" customHeight="1">
      <c r="B422" s="106"/>
      <c r="C422" s="113"/>
      <c r="D422" s="113"/>
      <c r="E422" s="106"/>
      <c r="F422" s="118"/>
      <c r="G422" s="118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</row>
    <row r="423" spans="2:85" ht="14.25" customHeight="1">
      <c r="B423" s="106"/>
      <c r="C423" s="113"/>
      <c r="D423" s="113"/>
      <c r="E423" s="106"/>
      <c r="F423" s="118"/>
      <c r="G423" s="118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</row>
    <row r="424" spans="2:85" ht="14.25" customHeight="1">
      <c r="B424" s="106"/>
      <c r="C424" s="113"/>
      <c r="D424" s="113"/>
      <c r="E424" s="106"/>
      <c r="F424" s="118"/>
      <c r="G424" s="118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</row>
    <row r="425" spans="2:85" ht="14.25" customHeight="1">
      <c r="B425" s="106"/>
      <c r="C425" s="113"/>
      <c r="D425" s="113"/>
      <c r="E425" s="106"/>
      <c r="F425" s="118"/>
      <c r="G425" s="118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</row>
    <row r="426" spans="2:85" ht="14.25" customHeight="1">
      <c r="B426" s="106"/>
      <c r="C426" s="113"/>
      <c r="D426" s="113"/>
      <c r="E426" s="106"/>
      <c r="F426" s="118"/>
      <c r="G426" s="118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</row>
    <row r="427" spans="2:85" ht="14.25" customHeight="1">
      <c r="B427" s="106"/>
      <c r="C427" s="113"/>
      <c r="D427" s="113"/>
      <c r="E427" s="106"/>
      <c r="F427" s="118"/>
      <c r="G427" s="118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</row>
    <row r="428" spans="2:85" ht="14.25" customHeight="1">
      <c r="B428" s="106"/>
      <c r="C428" s="113"/>
      <c r="D428" s="113"/>
      <c r="E428" s="106"/>
      <c r="F428" s="118"/>
      <c r="G428" s="118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</row>
    <row r="429" spans="2:85" ht="14.25" customHeight="1">
      <c r="B429" s="106"/>
      <c r="C429" s="113"/>
      <c r="D429" s="113"/>
      <c r="E429" s="106"/>
      <c r="F429" s="118"/>
      <c r="G429" s="118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</row>
    <row r="430" spans="2:85" ht="14.25" customHeight="1">
      <c r="B430" s="106"/>
      <c r="C430" s="113"/>
      <c r="D430" s="113"/>
      <c r="E430" s="106"/>
      <c r="F430" s="118"/>
      <c r="G430" s="118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</row>
    <row r="431" spans="2:85" ht="14.25" customHeight="1">
      <c r="B431" s="106"/>
      <c r="C431" s="113"/>
      <c r="D431" s="113"/>
      <c r="E431" s="106"/>
      <c r="F431" s="118"/>
      <c r="G431" s="118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</row>
    <row r="432" spans="2:85" ht="14.25" customHeight="1">
      <c r="B432" s="106"/>
      <c r="C432" s="113"/>
      <c r="D432" s="113"/>
      <c r="E432" s="106"/>
      <c r="F432" s="118"/>
      <c r="G432" s="118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</row>
    <row r="433" spans="2:85" ht="14.25" customHeight="1">
      <c r="B433" s="106"/>
      <c r="C433" s="113"/>
      <c r="D433" s="113"/>
      <c r="E433" s="106"/>
      <c r="F433" s="118"/>
      <c r="G433" s="118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</row>
    <row r="434" spans="2:85" ht="14.25" customHeight="1">
      <c r="B434" s="106"/>
      <c r="C434" s="113"/>
      <c r="D434" s="113"/>
      <c r="E434" s="106"/>
      <c r="F434" s="118"/>
      <c r="G434" s="118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</row>
    <row r="435" spans="2:85" ht="14.25" customHeight="1">
      <c r="B435" s="106"/>
      <c r="C435" s="113"/>
      <c r="D435" s="113"/>
      <c r="E435" s="106"/>
      <c r="F435" s="118"/>
      <c r="G435" s="118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</row>
    <row r="436" spans="2:85" ht="14.25" customHeight="1">
      <c r="B436" s="106"/>
      <c r="C436" s="113"/>
      <c r="D436" s="113"/>
      <c r="E436" s="106"/>
      <c r="F436" s="118"/>
      <c r="G436" s="118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</row>
    <row r="437" spans="2:85" ht="14.25" customHeight="1">
      <c r="B437" s="106"/>
      <c r="C437" s="113"/>
      <c r="D437" s="113"/>
      <c r="E437" s="106"/>
      <c r="F437" s="118"/>
      <c r="G437" s="118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</row>
    <row r="438" spans="2:85" ht="14.25" customHeight="1">
      <c r="B438" s="106"/>
      <c r="C438" s="113"/>
      <c r="D438" s="113"/>
      <c r="E438" s="106"/>
      <c r="F438" s="118"/>
      <c r="G438" s="118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</row>
    <row r="439" spans="2:85" ht="14.25" customHeight="1">
      <c r="B439" s="106"/>
      <c r="C439" s="113"/>
      <c r="D439" s="113"/>
      <c r="E439" s="106"/>
      <c r="F439" s="118"/>
      <c r="G439" s="118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</row>
    <row r="440" spans="2:85" ht="14.25" customHeight="1">
      <c r="B440" s="106"/>
      <c r="C440" s="113"/>
      <c r="D440" s="113"/>
      <c r="E440" s="106"/>
      <c r="F440" s="118"/>
      <c r="G440" s="118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</row>
    <row r="441" spans="2:85" ht="14.25" customHeight="1">
      <c r="B441" s="106"/>
      <c r="C441" s="113"/>
      <c r="D441" s="113"/>
      <c r="E441" s="106"/>
      <c r="F441" s="118"/>
      <c r="G441" s="118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</row>
    <row r="442" spans="2:85" ht="14.25" customHeight="1">
      <c r="B442" s="106"/>
      <c r="C442" s="113"/>
      <c r="D442" s="113"/>
      <c r="E442" s="106"/>
      <c r="F442" s="118"/>
      <c r="G442" s="118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</row>
    <row r="443" spans="2:85" ht="14.25" customHeight="1">
      <c r="B443" s="106"/>
      <c r="C443" s="113"/>
      <c r="D443" s="113"/>
      <c r="E443" s="106"/>
      <c r="F443" s="118"/>
      <c r="G443" s="118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</row>
    <row r="444" spans="2:85" ht="14.25" customHeight="1">
      <c r="B444" s="106"/>
      <c r="C444" s="113"/>
      <c r="D444" s="113"/>
      <c r="E444" s="106"/>
      <c r="F444" s="118"/>
      <c r="G444" s="118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</row>
    <row r="445" spans="2:85" ht="14.25" customHeight="1">
      <c r="B445" s="106"/>
      <c r="C445" s="113"/>
      <c r="D445" s="113"/>
      <c r="E445" s="106"/>
      <c r="F445" s="118"/>
      <c r="G445" s="118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</row>
    <row r="446" spans="2:85" ht="14.25" customHeight="1">
      <c r="B446" s="106"/>
      <c r="C446" s="113"/>
      <c r="D446" s="113"/>
      <c r="E446" s="106"/>
      <c r="F446" s="118"/>
      <c r="G446" s="118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</row>
    <row r="447" spans="2:85" ht="14.25" customHeight="1">
      <c r="B447" s="106"/>
      <c r="C447" s="113"/>
      <c r="D447" s="113"/>
      <c r="E447" s="106"/>
      <c r="F447" s="118"/>
      <c r="G447" s="118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</row>
    <row r="448" spans="2:85" ht="14.25" customHeight="1">
      <c r="B448" s="106"/>
      <c r="C448" s="113"/>
      <c r="D448" s="113"/>
      <c r="E448" s="106"/>
      <c r="F448" s="118"/>
      <c r="G448" s="118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</row>
    <row r="449" spans="2:85" ht="14.25" customHeight="1">
      <c r="B449" s="106"/>
      <c r="C449" s="113"/>
      <c r="D449" s="113"/>
      <c r="E449" s="106"/>
      <c r="F449" s="118"/>
      <c r="G449" s="118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</row>
    <row r="450" spans="2:85" ht="14.25" customHeight="1">
      <c r="B450" s="106"/>
      <c r="C450" s="113"/>
      <c r="D450" s="113"/>
      <c r="E450" s="106"/>
      <c r="F450" s="118"/>
      <c r="G450" s="118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</row>
    <row r="451" spans="2:85" ht="14.25" customHeight="1">
      <c r="B451" s="106"/>
      <c r="C451" s="113"/>
      <c r="D451" s="113"/>
      <c r="E451" s="106"/>
      <c r="F451" s="118"/>
      <c r="G451" s="118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</row>
    <row r="452" spans="2:85" ht="14.25" customHeight="1">
      <c r="B452" s="106"/>
      <c r="C452" s="113"/>
      <c r="D452" s="113"/>
      <c r="E452" s="106"/>
      <c r="F452" s="118"/>
      <c r="G452" s="118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</row>
    <row r="453" spans="2:85" ht="14.25" customHeight="1">
      <c r="B453" s="106"/>
      <c r="C453" s="113"/>
      <c r="D453" s="113"/>
      <c r="E453" s="106"/>
      <c r="F453" s="118"/>
      <c r="G453" s="118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</row>
    <row r="454" spans="2:85" ht="14.25" customHeight="1">
      <c r="B454" s="106"/>
      <c r="C454" s="113"/>
      <c r="D454" s="113"/>
      <c r="E454" s="106"/>
      <c r="F454" s="118"/>
      <c r="G454" s="118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</row>
    <row r="455" spans="2:85" ht="14.25" customHeight="1">
      <c r="B455" s="106"/>
      <c r="C455" s="113"/>
      <c r="D455" s="113"/>
      <c r="E455" s="106"/>
      <c r="F455" s="118"/>
      <c r="G455" s="118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</row>
    <row r="456" spans="2:85" ht="14.25" customHeight="1">
      <c r="B456" s="106"/>
      <c r="C456" s="113"/>
      <c r="D456" s="113"/>
      <c r="E456" s="106"/>
      <c r="F456" s="118"/>
      <c r="G456" s="118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</row>
    <row r="457" spans="2:85" ht="14.25" customHeight="1">
      <c r="B457" s="106"/>
      <c r="C457" s="113"/>
      <c r="D457" s="113"/>
      <c r="E457" s="106"/>
      <c r="F457" s="118"/>
      <c r="G457" s="118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</row>
    <row r="458" spans="2:85" ht="14.25" customHeight="1">
      <c r="B458" s="106"/>
      <c r="C458" s="113"/>
      <c r="D458" s="113"/>
      <c r="E458" s="106"/>
      <c r="F458" s="118"/>
      <c r="G458" s="118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</row>
    <row r="459" spans="2:85" ht="14.25" customHeight="1">
      <c r="B459" s="106"/>
      <c r="C459" s="113"/>
      <c r="D459" s="113"/>
      <c r="E459" s="106"/>
      <c r="F459" s="118"/>
      <c r="G459" s="118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</row>
    <row r="460" spans="2:85" ht="14.25" customHeight="1">
      <c r="B460" s="106"/>
      <c r="C460" s="113"/>
      <c r="D460" s="113"/>
      <c r="E460" s="106"/>
      <c r="F460" s="118"/>
      <c r="G460" s="118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</row>
    <row r="461" spans="2:85" ht="14.25" customHeight="1">
      <c r="B461" s="106"/>
      <c r="C461" s="113"/>
      <c r="D461" s="113"/>
      <c r="E461" s="106"/>
      <c r="F461" s="118"/>
      <c r="G461" s="118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</row>
    <row r="462" spans="2:85" ht="14.25" customHeight="1">
      <c r="B462" s="106"/>
      <c r="C462" s="113"/>
      <c r="D462" s="113"/>
      <c r="E462" s="106"/>
      <c r="F462" s="118"/>
      <c r="G462" s="118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</row>
    <row r="463" spans="2:85" ht="14.25" customHeight="1">
      <c r="B463" s="106"/>
      <c r="C463" s="113"/>
      <c r="D463" s="113"/>
      <c r="E463" s="106"/>
      <c r="F463" s="118"/>
      <c r="G463" s="118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</row>
    <row r="464" spans="2:85" ht="14.25" customHeight="1">
      <c r="B464" s="106"/>
      <c r="C464" s="113"/>
      <c r="D464" s="113"/>
      <c r="E464" s="106"/>
      <c r="F464" s="118"/>
      <c r="G464" s="118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</row>
    <row r="465" spans="2:85" ht="14.25" customHeight="1">
      <c r="B465" s="106"/>
      <c r="C465" s="113"/>
      <c r="D465" s="113"/>
      <c r="E465" s="106"/>
      <c r="F465" s="118"/>
      <c r="G465" s="118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</row>
    <row r="466" spans="2:85" ht="14.25" customHeight="1">
      <c r="B466" s="106"/>
      <c r="C466" s="113"/>
      <c r="D466" s="113"/>
      <c r="E466" s="106"/>
      <c r="F466" s="118"/>
      <c r="G466" s="118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</row>
    <row r="467" spans="2:85" ht="14.25" customHeight="1">
      <c r="B467" s="106"/>
      <c r="C467" s="113"/>
      <c r="D467" s="113"/>
      <c r="E467" s="106"/>
      <c r="F467" s="118"/>
      <c r="G467" s="118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</row>
    <row r="468" spans="2:85" ht="14.25" customHeight="1">
      <c r="B468" s="106"/>
      <c r="C468" s="113"/>
      <c r="D468" s="113"/>
      <c r="E468" s="106"/>
      <c r="F468" s="118"/>
      <c r="G468" s="118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</row>
    <row r="469" spans="2:85" ht="14.25" customHeight="1">
      <c r="B469" s="106"/>
      <c r="C469" s="113"/>
      <c r="D469" s="113"/>
      <c r="E469" s="106"/>
      <c r="F469" s="118"/>
      <c r="G469" s="118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</row>
    <row r="470" spans="2:85" ht="14.25" customHeight="1">
      <c r="B470" s="106"/>
      <c r="C470" s="113"/>
      <c r="D470" s="113"/>
      <c r="E470" s="106"/>
      <c r="F470" s="118"/>
      <c r="G470" s="118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</row>
    <row r="471" spans="2:85" ht="14.25" customHeight="1">
      <c r="B471" s="106"/>
      <c r="C471" s="113"/>
      <c r="D471" s="113"/>
      <c r="E471" s="106"/>
      <c r="F471" s="118"/>
      <c r="G471" s="118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</row>
    <row r="472" spans="2:85" ht="14.25" customHeight="1">
      <c r="B472" s="106"/>
      <c r="C472" s="113"/>
      <c r="D472" s="113"/>
      <c r="E472" s="106"/>
      <c r="F472" s="118"/>
      <c r="G472" s="118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</row>
    <row r="473" spans="2:85" ht="14.25" customHeight="1">
      <c r="B473" s="106"/>
      <c r="C473" s="113"/>
      <c r="D473" s="113"/>
      <c r="E473" s="106"/>
      <c r="F473" s="118"/>
      <c r="G473" s="118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</row>
    <row r="474" spans="2:85" ht="14.25" customHeight="1">
      <c r="B474" s="106"/>
      <c r="C474" s="113"/>
      <c r="D474" s="113"/>
      <c r="E474" s="106"/>
      <c r="F474" s="118"/>
      <c r="G474" s="118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</row>
    <row r="475" spans="2:85" ht="14.25" customHeight="1">
      <c r="B475" s="106"/>
      <c r="C475" s="113"/>
      <c r="D475" s="113"/>
      <c r="E475" s="106"/>
      <c r="F475" s="118"/>
      <c r="G475" s="118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</row>
    <row r="476" spans="2:85" ht="14.25" customHeight="1">
      <c r="B476" s="106"/>
      <c r="C476" s="113"/>
      <c r="D476" s="113"/>
      <c r="E476" s="106"/>
      <c r="F476" s="118"/>
      <c r="G476" s="118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</row>
    <row r="477" spans="2:85" ht="14.25" customHeight="1">
      <c r="B477" s="106"/>
      <c r="C477" s="113"/>
      <c r="D477" s="113"/>
      <c r="E477" s="106"/>
      <c r="F477" s="118"/>
      <c r="G477" s="118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</row>
    <row r="478" spans="2:85" ht="14.25" customHeight="1">
      <c r="B478" s="106"/>
      <c r="C478" s="113"/>
      <c r="D478" s="113"/>
      <c r="E478" s="106"/>
      <c r="F478" s="118"/>
      <c r="G478" s="118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</row>
    <row r="479" spans="2:85" ht="14.25" customHeight="1">
      <c r="B479" s="106"/>
      <c r="C479" s="113"/>
      <c r="D479" s="113"/>
      <c r="E479" s="106"/>
      <c r="F479" s="118"/>
      <c r="G479" s="118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</row>
    <row r="480" spans="2:85" ht="14.25" customHeight="1">
      <c r="B480" s="106"/>
      <c r="C480" s="113"/>
      <c r="D480" s="113"/>
      <c r="E480" s="106"/>
      <c r="F480" s="118"/>
      <c r="G480" s="118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</row>
    <row r="481" spans="2:85" ht="14.25" customHeight="1">
      <c r="B481" s="106"/>
      <c r="C481" s="113"/>
      <c r="D481" s="113"/>
      <c r="E481" s="106"/>
      <c r="F481" s="118"/>
      <c r="G481" s="118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</row>
    <row r="482" spans="2:85" ht="14.25" customHeight="1">
      <c r="B482" s="106"/>
      <c r="C482" s="113"/>
      <c r="D482" s="113"/>
      <c r="E482" s="106"/>
      <c r="F482" s="118"/>
      <c r="G482" s="118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</row>
    <row r="483" spans="2:85" ht="14.25" customHeight="1">
      <c r="B483" s="106"/>
      <c r="C483" s="113"/>
      <c r="D483" s="113"/>
      <c r="E483" s="106"/>
      <c r="F483" s="118"/>
      <c r="G483" s="118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</row>
    <row r="484" spans="2:85" ht="14.25" customHeight="1">
      <c r="B484" s="106"/>
      <c r="C484" s="113"/>
      <c r="D484" s="113"/>
      <c r="E484" s="106"/>
      <c r="F484" s="118"/>
      <c r="G484" s="118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</row>
    <row r="485" spans="2:85" ht="14.25" customHeight="1">
      <c r="B485" s="106"/>
      <c r="C485" s="113"/>
      <c r="D485" s="113"/>
      <c r="E485" s="106"/>
      <c r="F485" s="118"/>
      <c r="G485" s="118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</row>
    <row r="486" spans="2:85" ht="14.25" customHeight="1">
      <c r="B486" s="106"/>
      <c r="C486" s="113"/>
      <c r="D486" s="113"/>
      <c r="E486" s="106"/>
      <c r="F486" s="118"/>
      <c r="G486" s="118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</row>
    <row r="487" spans="2:85" ht="14.25" customHeight="1">
      <c r="B487" s="106"/>
      <c r="C487" s="113"/>
      <c r="D487" s="113"/>
      <c r="E487" s="106"/>
      <c r="F487" s="118"/>
      <c r="G487" s="118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</row>
    <row r="488" spans="2:85" ht="14.25" customHeight="1">
      <c r="B488" s="106"/>
      <c r="C488" s="113"/>
      <c r="D488" s="113"/>
      <c r="E488" s="106"/>
      <c r="F488" s="118"/>
      <c r="G488" s="118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</row>
    <row r="489" spans="2:85" ht="14.25" customHeight="1">
      <c r="B489" s="106"/>
      <c r="C489" s="113"/>
      <c r="D489" s="113"/>
      <c r="E489" s="106"/>
      <c r="F489" s="118"/>
      <c r="G489" s="118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</row>
    <row r="490" spans="2:85" ht="14.25" customHeight="1">
      <c r="B490" s="106"/>
      <c r="C490" s="113"/>
      <c r="D490" s="113"/>
      <c r="E490" s="106"/>
      <c r="F490" s="118"/>
      <c r="G490" s="118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</row>
    <row r="491" spans="2:85" ht="14.25" customHeight="1">
      <c r="B491" s="106"/>
      <c r="C491" s="113"/>
      <c r="D491" s="113"/>
      <c r="E491" s="106"/>
      <c r="F491" s="118"/>
      <c r="G491" s="118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</row>
    <row r="492" spans="2:85" ht="14.25" customHeight="1">
      <c r="B492" s="106"/>
      <c r="C492" s="113"/>
      <c r="D492" s="113"/>
      <c r="E492" s="106"/>
      <c r="F492" s="118"/>
      <c r="G492" s="118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</row>
    <row r="493" spans="2:85" ht="14.25" customHeight="1">
      <c r="B493" s="106"/>
      <c r="C493" s="113"/>
      <c r="D493" s="113"/>
      <c r="E493" s="106"/>
      <c r="F493" s="118"/>
      <c r="G493" s="118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</row>
    <row r="494" spans="2:85" ht="14.25" customHeight="1">
      <c r="B494" s="106"/>
      <c r="C494" s="113"/>
      <c r="D494" s="113"/>
      <c r="E494" s="106"/>
      <c r="F494" s="118"/>
      <c r="G494" s="118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</row>
    <row r="495" spans="2:85" ht="14.25" customHeight="1">
      <c r="B495" s="106"/>
      <c r="C495" s="113"/>
      <c r="D495" s="113"/>
      <c r="E495" s="106"/>
      <c r="F495" s="118"/>
      <c r="G495" s="118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</row>
    <row r="496" spans="2:85" ht="14.25" customHeight="1">
      <c r="B496" s="106"/>
      <c r="C496" s="113"/>
      <c r="D496" s="113"/>
      <c r="E496" s="106"/>
      <c r="F496" s="118"/>
      <c r="G496" s="118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</row>
    <row r="497" spans="2:85" ht="14.25" customHeight="1">
      <c r="B497" s="106"/>
      <c r="C497" s="113"/>
      <c r="D497" s="113"/>
      <c r="E497" s="106"/>
      <c r="F497" s="118"/>
      <c r="G497" s="118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</row>
    <row r="498" spans="2:85" ht="14.25" customHeight="1">
      <c r="B498" s="106"/>
      <c r="C498" s="113"/>
      <c r="D498" s="113"/>
      <c r="E498" s="106"/>
      <c r="F498" s="118"/>
      <c r="G498" s="118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</row>
    <row r="499" spans="2:85" ht="14.25" customHeight="1">
      <c r="B499" s="106"/>
      <c r="C499" s="113"/>
      <c r="D499" s="113"/>
      <c r="E499" s="106"/>
      <c r="F499" s="118"/>
      <c r="G499" s="118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</row>
    <row r="500" spans="2:85" ht="14.25" customHeight="1">
      <c r="B500" s="106"/>
      <c r="C500" s="113"/>
      <c r="D500" s="113"/>
      <c r="E500" s="106"/>
      <c r="F500" s="118"/>
      <c r="G500" s="118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</row>
    <row r="501" spans="2:85" ht="14.25" customHeight="1">
      <c r="B501" s="106"/>
      <c r="C501" s="113"/>
      <c r="D501" s="113"/>
      <c r="E501" s="106"/>
      <c r="F501" s="118"/>
      <c r="G501" s="118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</row>
    <row r="502" spans="2:85" ht="14.25" customHeight="1">
      <c r="B502" s="106"/>
      <c r="C502" s="113"/>
      <c r="D502" s="113"/>
      <c r="E502" s="106"/>
      <c r="F502" s="118"/>
      <c r="G502" s="118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</row>
    <row r="503" spans="2:85" ht="14.25" customHeight="1">
      <c r="B503" s="106"/>
      <c r="C503" s="113"/>
      <c r="D503" s="113"/>
      <c r="E503" s="106"/>
      <c r="F503" s="118"/>
      <c r="G503" s="118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</row>
    <row r="504" spans="2:85" ht="14.25" customHeight="1">
      <c r="B504" s="106"/>
      <c r="C504" s="113"/>
      <c r="D504" s="113"/>
      <c r="E504" s="106"/>
      <c r="F504" s="118"/>
      <c r="G504" s="118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</row>
    <row r="505" spans="2:85" ht="14.25" customHeight="1">
      <c r="B505" s="106"/>
      <c r="C505" s="113"/>
      <c r="D505" s="113"/>
      <c r="E505" s="106"/>
      <c r="F505" s="118"/>
      <c r="G505" s="118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</row>
    <row r="506" spans="2:85" ht="14.25" customHeight="1">
      <c r="B506" s="106"/>
      <c r="C506" s="113"/>
      <c r="D506" s="113"/>
      <c r="E506" s="106"/>
      <c r="F506" s="118"/>
      <c r="G506" s="118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</row>
    <row r="507" spans="2:85" ht="14.25" customHeight="1">
      <c r="B507" s="106"/>
      <c r="C507" s="113"/>
      <c r="D507" s="113"/>
      <c r="E507" s="106"/>
      <c r="F507" s="118"/>
      <c r="G507" s="118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</row>
    <row r="508" spans="2:85" ht="14.25" customHeight="1">
      <c r="B508" s="106"/>
      <c r="C508" s="113"/>
      <c r="D508" s="113"/>
      <c r="E508" s="106"/>
      <c r="F508" s="118"/>
      <c r="G508" s="118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</row>
    <row r="509" spans="2:85" ht="14.25" customHeight="1">
      <c r="B509" s="106"/>
      <c r="C509" s="113"/>
      <c r="D509" s="113"/>
      <c r="E509" s="106"/>
      <c r="F509" s="118"/>
      <c r="G509" s="118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</row>
    <row r="510" spans="2:85" ht="14.25" customHeight="1">
      <c r="B510" s="106"/>
      <c r="C510" s="113"/>
      <c r="D510" s="113"/>
      <c r="E510" s="106"/>
      <c r="F510" s="118"/>
      <c r="G510" s="118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</row>
    <row r="511" spans="2:85" ht="14.25" customHeight="1">
      <c r="B511" s="106"/>
      <c r="C511" s="113"/>
      <c r="D511" s="113"/>
      <c r="E511" s="106"/>
      <c r="F511" s="118"/>
      <c r="G511" s="118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</row>
    <row r="512" spans="2:85" ht="14.25" customHeight="1">
      <c r="B512" s="106"/>
      <c r="C512" s="113"/>
      <c r="D512" s="113"/>
      <c r="E512" s="106"/>
      <c r="F512" s="118"/>
      <c r="G512" s="118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</row>
    <row r="513" spans="2:85" ht="14.25" customHeight="1">
      <c r="B513" s="106"/>
      <c r="C513" s="113"/>
      <c r="D513" s="113"/>
      <c r="E513" s="106"/>
      <c r="F513" s="118"/>
      <c r="G513" s="118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</row>
    <row r="514" spans="2:85" ht="14.25" customHeight="1">
      <c r="B514" s="106"/>
      <c r="C514" s="113"/>
      <c r="D514" s="113"/>
      <c r="E514" s="106"/>
      <c r="F514" s="118"/>
      <c r="G514" s="118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</row>
    <row r="515" spans="2:85" ht="14.25" customHeight="1">
      <c r="B515" s="106"/>
      <c r="C515" s="113"/>
      <c r="D515" s="113"/>
      <c r="E515" s="106"/>
      <c r="F515" s="118"/>
      <c r="G515" s="118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</row>
    <row r="516" spans="2:85" ht="14.25" customHeight="1">
      <c r="B516" s="106"/>
      <c r="C516" s="113"/>
      <c r="D516" s="113"/>
      <c r="E516" s="106"/>
      <c r="F516" s="118"/>
      <c r="G516" s="118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</row>
    <row r="517" spans="2:85" ht="14.25" customHeight="1">
      <c r="B517" s="106"/>
      <c r="C517" s="113"/>
      <c r="D517" s="113"/>
      <c r="E517" s="106"/>
      <c r="F517" s="118"/>
      <c r="G517" s="118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</row>
    <row r="518" spans="2:85" ht="14.25" customHeight="1">
      <c r="B518" s="106"/>
      <c r="C518" s="113"/>
      <c r="D518" s="113"/>
      <c r="E518" s="106"/>
      <c r="F518" s="118"/>
      <c r="G518" s="118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</row>
    <row r="519" spans="2:85" ht="14.25" customHeight="1">
      <c r="B519" s="106"/>
      <c r="C519" s="113"/>
      <c r="D519" s="113"/>
      <c r="E519" s="106"/>
      <c r="F519" s="118"/>
      <c r="G519" s="118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</row>
    <row r="520" spans="2:85" ht="14.25" customHeight="1">
      <c r="B520" s="106"/>
      <c r="C520" s="113"/>
      <c r="D520" s="113"/>
      <c r="E520" s="106"/>
      <c r="F520" s="118"/>
      <c r="G520" s="118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</row>
    <row r="521" spans="2:85" ht="14.25" customHeight="1">
      <c r="B521" s="106"/>
      <c r="C521" s="113"/>
      <c r="D521" s="113"/>
      <c r="E521" s="106"/>
      <c r="F521" s="118"/>
      <c r="G521" s="118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</row>
    <row r="522" spans="2:85" ht="14.25" customHeight="1">
      <c r="B522" s="106"/>
      <c r="C522" s="113"/>
      <c r="D522" s="113"/>
      <c r="E522" s="106"/>
      <c r="F522" s="118"/>
      <c r="G522" s="118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</row>
    <row r="523" spans="2:85" ht="14.25" customHeight="1">
      <c r="B523" s="106"/>
      <c r="C523" s="113"/>
      <c r="D523" s="113"/>
      <c r="E523" s="106"/>
      <c r="F523" s="118"/>
      <c r="G523" s="118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</row>
    <row r="524" spans="2:85" ht="14.25" customHeight="1">
      <c r="B524" s="106"/>
      <c r="C524" s="113"/>
      <c r="D524" s="113"/>
      <c r="E524" s="106"/>
      <c r="F524" s="118"/>
      <c r="G524" s="118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</row>
    <row r="525" spans="2:85" ht="14.25" customHeight="1">
      <c r="B525" s="106"/>
      <c r="C525" s="113"/>
      <c r="D525" s="113"/>
      <c r="E525" s="106"/>
      <c r="F525" s="118"/>
      <c r="G525" s="118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</row>
    <row r="526" spans="2:85" ht="14.25" customHeight="1">
      <c r="B526" s="106"/>
      <c r="C526" s="113"/>
      <c r="D526" s="113"/>
      <c r="E526" s="106"/>
      <c r="F526" s="118"/>
      <c r="G526" s="118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</row>
    <row r="527" spans="2:85" ht="14.25" customHeight="1">
      <c r="B527" s="106"/>
      <c r="C527" s="113"/>
      <c r="D527" s="113"/>
      <c r="E527" s="106"/>
      <c r="F527" s="118"/>
      <c r="G527" s="118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</row>
    <row r="528" spans="2:85" ht="14.25" customHeight="1">
      <c r="B528" s="106"/>
      <c r="C528" s="113"/>
      <c r="D528" s="113"/>
      <c r="E528" s="106"/>
      <c r="F528" s="118"/>
      <c r="G528" s="118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</row>
    <row r="529" spans="2:85" ht="14.25" customHeight="1">
      <c r="B529" s="106"/>
      <c r="C529" s="113"/>
      <c r="D529" s="113"/>
      <c r="E529" s="106"/>
      <c r="F529" s="118"/>
      <c r="G529" s="118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</row>
    <row r="530" spans="2:85" ht="14.25" customHeight="1">
      <c r="B530" s="106"/>
      <c r="C530" s="113"/>
      <c r="D530" s="113"/>
      <c r="E530" s="106"/>
      <c r="F530" s="118"/>
      <c r="G530" s="118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</row>
    <row r="531" spans="2:85" ht="14.25" customHeight="1">
      <c r="B531" s="106"/>
      <c r="C531" s="113"/>
      <c r="D531" s="113"/>
      <c r="E531" s="106"/>
      <c r="F531" s="118"/>
      <c r="G531" s="118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</row>
    <row r="532" spans="2:85" ht="14.25" customHeight="1">
      <c r="B532" s="106"/>
      <c r="C532" s="113"/>
      <c r="D532" s="113"/>
      <c r="E532" s="106"/>
      <c r="F532" s="118"/>
      <c r="G532" s="118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</row>
    <row r="533" spans="2:85" ht="14.25" customHeight="1">
      <c r="B533" s="106"/>
      <c r="C533" s="113"/>
      <c r="D533" s="113"/>
      <c r="E533" s="106"/>
      <c r="F533" s="118"/>
      <c r="G533" s="118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</row>
    <row r="534" spans="2:85" ht="14.25" customHeight="1">
      <c r="B534" s="106"/>
      <c r="C534" s="113"/>
      <c r="D534" s="113"/>
      <c r="E534" s="106"/>
      <c r="F534" s="118"/>
      <c r="G534" s="118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</row>
    <row r="535" spans="2:85" ht="14.25" customHeight="1">
      <c r="B535" s="106"/>
      <c r="C535" s="113"/>
      <c r="D535" s="113"/>
      <c r="E535" s="106"/>
      <c r="F535" s="118"/>
      <c r="G535" s="118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</row>
    <row r="536" spans="2:85" ht="14.25" customHeight="1">
      <c r="B536" s="106"/>
      <c r="C536" s="113"/>
      <c r="D536" s="113"/>
      <c r="E536" s="106"/>
      <c r="F536" s="118"/>
      <c r="G536" s="118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</row>
    <row r="537" spans="2:85" ht="14.25" customHeight="1">
      <c r="B537" s="106"/>
      <c r="C537" s="113"/>
      <c r="D537" s="113"/>
      <c r="E537" s="106"/>
      <c r="F537" s="118"/>
      <c r="G537" s="118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</row>
    <row r="538" spans="2:85" ht="14.25" customHeight="1">
      <c r="B538" s="106"/>
      <c r="C538" s="113"/>
      <c r="D538" s="113"/>
      <c r="E538" s="106"/>
      <c r="F538" s="118"/>
      <c r="G538" s="118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</row>
    <row r="539" spans="2:85" ht="14.25" customHeight="1">
      <c r="B539" s="106"/>
      <c r="C539" s="113"/>
      <c r="D539" s="113"/>
      <c r="E539" s="106"/>
      <c r="F539" s="118"/>
      <c r="G539" s="118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</row>
    <row r="540" spans="2:85" ht="14.25" customHeight="1">
      <c r="B540" s="106"/>
      <c r="C540" s="113"/>
      <c r="D540" s="113"/>
      <c r="E540" s="106"/>
      <c r="F540" s="118"/>
      <c r="G540" s="118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</row>
    <row r="541" spans="2:85" ht="14.25" customHeight="1">
      <c r="B541" s="106"/>
      <c r="C541" s="113"/>
      <c r="D541" s="113"/>
      <c r="E541" s="106"/>
      <c r="F541" s="118"/>
      <c r="G541" s="118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</row>
    <row r="542" spans="2:85" ht="14.25" customHeight="1">
      <c r="B542" s="106"/>
      <c r="C542" s="113"/>
      <c r="D542" s="113"/>
      <c r="E542" s="106"/>
      <c r="F542" s="118"/>
      <c r="G542" s="118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</row>
    <row r="543" spans="2:85" ht="14.25" customHeight="1">
      <c r="B543" s="106"/>
      <c r="C543" s="113"/>
      <c r="D543" s="113"/>
      <c r="E543" s="106"/>
      <c r="F543" s="118"/>
      <c r="G543" s="118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</row>
    <row r="544" spans="2:85" ht="14.25" customHeight="1">
      <c r="B544" s="106"/>
      <c r="C544" s="113"/>
      <c r="D544" s="113"/>
      <c r="E544" s="106"/>
      <c r="F544" s="118"/>
      <c r="G544" s="118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</row>
    <row r="545" spans="2:85" ht="14.25" customHeight="1">
      <c r="B545" s="106"/>
      <c r="C545" s="113"/>
      <c r="D545" s="113"/>
      <c r="E545" s="106"/>
      <c r="F545" s="118"/>
      <c r="G545" s="118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</row>
    <row r="546" spans="2:85" ht="14.25" customHeight="1">
      <c r="B546" s="106"/>
      <c r="C546" s="113"/>
      <c r="D546" s="113"/>
      <c r="E546" s="106"/>
      <c r="F546" s="118"/>
      <c r="G546" s="118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</row>
    <row r="547" spans="2:85" ht="14.25" customHeight="1">
      <c r="B547" s="106"/>
      <c r="C547" s="113"/>
      <c r="D547" s="113"/>
      <c r="E547" s="106"/>
      <c r="F547" s="118"/>
      <c r="G547" s="118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</row>
    <row r="548" spans="2:85" ht="14.25" customHeight="1">
      <c r="B548" s="106"/>
      <c r="C548" s="113"/>
      <c r="D548" s="113"/>
      <c r="E548" s="106"/>
      <c r="F548" s="118"/>
      <c r="G548" s="118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</row>
    <row r="549" spans="2:85" ht="14.25" customHeight="1">
      <c r="B549" s="106"/>
      <c r="C549" s="113"/>
      <c r="D549" s="113"/>
      <c r="E549" s="106"/>
      <c r="F549" s="118"/>
      <c r="G549" s="118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</row>
    <row r="550" spans="2:85" ht="14.25" customHeight="1">
      <c r="B550" s="106"/>
      <c r="C550" s="113"/>
      <c r="D550" s="113"/>
      <c r="E550" s="106"/>
      <c r="F550" s="118"/>
      <c r="G550" s="118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</row>
    <row r="551" spans="2:85" ht="14.25" customHeight="1">
      <c r="B551" s="106"/>
      <c r="C551" s="113"/>
      <c r="D551" s="113"/>
      <c r="E551" s="106"/>
      <c r="F551" s="118"/>
      <c r="G551" s="118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</row>
    <row r="552" spans="2:85" ht="14.25" customHeight="1">
      <c r="B552" s="106"/>
      <c r="C552" s="113"/>
      <c r="D552" s="113"/>
      <c r="E552" s="106"/>
      <c r="F552" s="118"/>
      <c r="G552" s="118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</row>
    <row r="553" spans="2:85" ht="14.25" customHeight="1">
      <c r="B553" s="106"/>
      <c r="C553" s="113"/>
      <c r="D553" s="113"/>
      <c r="E553" s="106"/>
      <c r="F553" s="118"/>
      <c r="G553" s="118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</row>
    <row r="554" spans="2:85" ht="14.25" customHeight="1">
      <c r="B554" s="106"/>
      <c r="C554" s="113"/>
      <c r="D554" s="113"/>
      <c r="E554" s="106"/>
      <c r="F554" s="118"/>
      <c r="G554" s="118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</row>
    <row r="555" spans="2:85" ht="14.25" customHeight="1">
      <c r="B555" s="106"/>
      <c r="C555" s="113"/>
      <c r="D555" s="113"/>
      <c r="E555" s="106"/>
      <c r="F555" s="118"/>
      <c r="G555" s="118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</row>
    <row r="556" spans="2:85" ht="14.25" customHeight="1">
      <c r="B556" s="106"/>
      <c r="C556" s="113"/>
      <c r="D556" s="113"/>
      <c r="E556" s="106"/>
      <c r="F556" s="118"/>
      <c r="G556" s="118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</row>
    <row r="557" spans="2:85" ht="14.25" customHeight="1">
      <c r="B557" s="106"/>
      <c r="C557" s="113"/>
      <c r="D557" s="113"/>
      <c r="E557" s="106"/>
      <c r="F557" s="118"/>
      <c r="G557" s="118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</row>
    <row r="558" spans="2:85" ht="14.25" customHeight="1">
      <c r="B558" s="106"/>
      <c r="C558" s="113"/>
      <c r="D558" s="113"/>
      <c r="E558" s="106"/>
      <c r="F558" s="118"/>
      <c r="G558" s="118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</row>
    <row r="559" spans="2:85" ht="14.25" customHeight="1">
      <c r="B559" s="106"/>
      <c r="C559" s="113"/>
      <c r="D559" s="113"/>
      <c r="E559" s="106"/>
      <c r="F559" s="118"/>
      <c r="G559" s="118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</row>
    <row r="560" spans="2:85" ht="14.25" customHeight="1">
      <c r="B560" s="106"/>
      <c r="C560" s="113"/>
      <c r="D560" s="113"/>
      <c r="E560" s="106"/>
      <c r="F560" s="118"/>
      <c r="G560" s="118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</row>
    <row r="561" spans="2:85" ht="14.25" customHeight="1">
      <c r="B561" s="106"/>
      <c r="C561" s="113"/>
      <c r="D561" s="113"/>
      <c r="E561" s="106"/>
      <c r="F561" s="118"/>
      <c r="G561" s="118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</row>
    <row r="562" spans="2:85" ht="14.25" customHeight="1">
      <c r="B562" s="106"/>
      <c r="C562" s="113"/>
      <c r="D562" s="113"/>
      <c r="E562" s="106"/>
      <c r="F562" s="118"/>
      <c r="G562" s="118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</row>
    <row r="563" spans="2:85" ht="14.25" customHeight="1">
      <c r="B563" s="106"/>
      <c r="C563" s="113"/>
      <c r="D563" s="113"/>
      <c r="E563" s="106"/>
      <c r="F563" s="118"/>
      <c r="G563" s="118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</row>
    <row r="564" spans="2:85" ht="14.25" customHeight="1">
      <c r="B564" s="106"/>
      <c r="C564" s="113"/>
      <c r="D564" s="113"/>
      <c r="E564" s="106"/>
      <c r="F564" s="118"/>
      <c r="G564" s="118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</row>
    <row r="565" spans="2:85" ht="14.25" customHeight="1">
      <c r="B565" s="106"/>
      <c r="C565" s="113"/>
      <c r="D565" s="113"/>
      <c r="E565" s="106"/>
      <c r="F565" s="118"/>
      <c r="G565" s="118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</row>
    <row r="566" spans="2:85" ht="14.25" customHeight="1">
      <c r="B566" s="106"/>
      <c r="C566" s="113"/>
      <c r="D566" s="113"/>
      <c r="E566" s="106"/>
      <c r="F566" s="118"/>
      <c r="G566" s="118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</row>
    <row r="567" spans="2:85" ht="14.25" customHeight="1">
      <c r="B567" s="106"/>
      <c r="C567" s="113"/>
      <c r="D567" s="113"/>
      <c r="E567" s="106"/>
      <c r="F567" s="118"/>
      <c r="G567" s="118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</row>
    <row r="568" spans="2:85" ht="14.25" customHeight="1">
      <c r="B568" s="106"/>
      <c r="C568" s="113"/>
      <c r="D568" s="113"/>
      <c r="E568" s="106"/>
      <c r="F568" s="118"/>
      <c r="G568" s="118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</row>
    <row r="569" spans="2:85" ht="14.25" customHeight="1">
      <c r="B569" s="106"/>
      <c r="C569" s="113"/>
      <c r="D569" s="113"/>
      <c r="E569" s="106"/>
      <c r="F569" s="118"/>
      <c r="G569" s="118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</row>
    <row r="570" spans="2:85" ht="14.25" customHeight="1">
      <c r="B570" s="106"/>
      <c r="C570" s="113"/>
      <c r="D570" s="113"/>
      <c r="E570" s="106"/>
      <c r="F570" s="118"/>
      <c r="G570" s="118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</row>
    <row r="571" spans="2:85" ht="14.25" customHeight="1">
      <c r="B571" s="106"/>
      <c r="C571" s="113"/>
      <c r="D571" s="113"/>
      <c r="E571" s="106"/>
      <c r="F571" s="118"/>
      <c r="G571" s="118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</row>
    <row r="572" spans="2:85" ht="14.25" customHeight="1">
      <c r="B572" s="106"/>
      <c r="C572" s="113"/>
      <c r="D572" s="113"/>
      <c r="E572" s="106"/>
      <c r="F572" s="118"/>
      <c r="G572" s="118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</row>
    <row r="573" spans="2:85" ht="14.25" customHeight="1">
      <c r="B573" s="106"/>
      <c r="C573" s="113"/>
      <c r="D573" s="113"/>
      <c r="E573" s="106"/>
      <c r="F573" s="118"/>
      <c r="G573" s="118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</row>
    <row r="574" spans="2:85" ht="14.25" customHeight="1">
      <c r="B574" s="106"/>
      <c r="C574" s="113"/>
      <c r="D574" s="113"/>
      <c r="E574" s="106"/>
      <c r="F574" s="118"/>
      <c r="G574" s="118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</row>
    <row r="575" spans="2:85" ht="14.25" customHeight="1">
      <c r="B575" s="106"/>
      <c r="C575" s="113"/>
      <c r="D575" s="113"/>
      <c r="E575" s="106"/>
      <c r="F575" s="118"/>
      <c r="G575" s="118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</row>
    <row r="576" spans="2:85" ht="14.25" customHeight="1">
      <c r="B576" s="106"/>
      <c r="C576" s="113"/>
      <c r="D576" s="113"/>
      <c r="E576" s="106"/>
      <c r="F576" s="118"/>
      <c r="G576" s="118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</row>
    <row r="577" spans="2:85" ht="14.25" customHeight="1">
      <c r="B577" s="106"/>
      <c r="C577" s="113"/>
      <c r="D577" s="113"/>
      <c r="E577" s="106"/>
      <c r="F577" s="118"/>
      <c r="G577" s="118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</row>
    <row r="578" spans="2:85" ht="14.25" customHeight="1">
      <c r="B578" s="106"/>
      <c r="C578" s="113"/>
      <c r="D578" s="113"/>
      <c r="E578" s="106"/>
      <c r="F578" s="118"/>
      <c r="G578" s="118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</row>
    <row r="579" spans="2:85" ht="14.25" customHeight="1">
      <c r="B579" s="106"/>
      <c r="C579" s="113"/>
      <c r="D579" s="113"/>
      <c r="E579" s="106"/>
      <c r="F579" s="118"/>
      <c r="G579" s="118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</row>
    <row r="580" spans="2:85" ht="14.25" customHeight="1">
      <c r="B580" s="106"/>
      <c r="C580" s="113"/>
      <c r="D580" s="113"/>
      <c r="E580" s="106"/>
      <c r="F580" s="118"/>
      <c r="G580" s="118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</row>
    <row r="581" spans="2:85" ht="14.25" customHeight="1">
      <c r="B581" s="106"/>
      <c r="C581" s="113"/>
      <c r="D581" s="113"/>
      <c r="E581" s="106"/>
      <c r="F581" s="118"/>
      <c r="G581" s="118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</row>
    <row r="582" spans="2:85" ht="14.25" customHeight="1">
      <c r="B582" s="106"/>
      <c r="C582" s="113"/>
      <c r="D582" s="113"/>
      <c r="E582" s="106"/>
      <c r="F582" s="118"/>
      <c r="G582" s="118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</row>
    <row r="583" spans="2:85" ht="14.25" customHeight="1">
      <c r="B583" s="106"/>
      <c r="C583" s="113"/>
      <c r="D583" s="113"/>
      <c r="E583" s="106"/>
      <c r="F583" s="118"/>
      <c r="G583" s="118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</row>
    <row r="584" spans="2:85" ht="14.25" customHeight="1">
      <c r="B584" s="106"/>
      <c r="C584" s="113"/>
      <c r="D584" s="113"/>
      <c r="E584" s="106"/>
      <c r="F584" s="118"/>
      <c r="G584" s="118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</row>
    <row r="585" spans="2:85" ht="14.25" customHeight="1">
      <c r="B585" s="106"/>
      <c r="C585" s="113"/>
      <c r="D585" s="113"/>
      <c r="E585" s="106"/>
      <c r="F585" s="118"/>
      <c r="G585" s="118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</row>
    <row r="586" spans="2:85" ht="14.25" customHeight="1">
      <c r="B586" s="106"/>
      <c r="C586" s="113"/>
      <c r="D586" s="113"/>
      <c r="E586" s="106"/>
      <c r="F586" s="118"/>
      <c r="G586" s="118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</row>
    <row r="587" spans="2:85" ht="14.25" customHeight="1">
      <c r="B587" s="106"/>
      <c r="C587" s="113"/>
      <c r="D587" s="113"/>
      <c r="E587" s="106"/>
      <c r="F587" s="118"/>
      <c r="G587" s="118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</row>
    <row r="588" spans="2:85" ht="14.25" customHeight="1">
      <c r="B588" s="106"/>
      <c r="C588" s="113"/>
      <c r="D588" s="113"/>
      <c r="E588" s="106"/>
      <c r="F588" s="118"/>
      <c r="G588" s="118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</row>
    <row r="589" spans="2:85" ht="14.25" customHeight="1">
      <c r="B589" s="106"/>
      <c r="C589" s="113"/>
      <c r="D589" s="113"/>
      <c r="E589" s="106"/>
      <c r="F589" s="118"/>
      <c r="G589" s="118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</row>
    <row r="590" spans="2:85" ht="14.25" customHeight="1">
      <c r="B590" s="106"/>
      <c r="C590" s="113"/>
      <c r="D590" s="113"/>
      <c r="E590" s="106"/>
      <c r="F590" s="118"/>
      <c r="G590" s="118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</row>
    <row r="591" spans="2:85" ht="14.25" customHeight="1">
      <c r="B591" s="106"/>
      <c r="C591" s="113"/>
      <c r="D591" s="113"/>
      <c r="E591" s="106"/>
      <c r="F591" s="118"/>
      <c r="G591" s="118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</row>
    <row r="592" spans="2:85" ht="14.25" customHeight="1">
      <c r="B592" s="106"/>
      <c r="C592" s="113"/>
      <c r="D592" s="113"/>
      <c r="E592" s="106"/>
      <c r="F592" s="118"/>
      <c r="G592" s="118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</row>
    <row r="593" spans="2:85" ht="14.25" customHeight="1">
      <c r="B593" s="106"/>
      <c r="C593" s="113"/>
      <c r="D593" s="113"/>
      <c r="E593" s="106"/>
      <c r="F593" s="118"/>
      <c r="G593" s="118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</row>
    <row r="594" spans="2:85" ht="14.25" customHeight="1">
      <c r="B594" s="106"/>
      <c r="C594" s="113"/>
      <c r="D594" s="113"/>
      <c r="E594" s="106"/>
      <c r="F594" s="118"/>
      <c r="G594" s="118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</row>
    <row r="595" spans="2:85" ht="14.25" customHeight="1">
      <c r="B595" s="106"/>
      <c r="C595" s="113"/>
      <c r="D595" s="113"/>
      <c r="E595" s="106"/>
      <c r="F595" s="118"/>
      <c r="G595" s="118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</row>
    <row r="596" spans="2:85" ht="14.25" customHeight="1">
      <c r="B596" s="106"/>
      <c r="C596" s="113"/>
      <c r="D596" s="113"/>
      <c r="E596" s="106"/>
      <c r="F596" s="118"/>
      <c r="G596" s="118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</row>
    <row r="597" spans="2:85" ht="14.25" customHeight="1">
      <c r="B597" s="106"/>
      <c r="C597" s="113"/>
      <c r="D597" s="113"/>
      <c r="E597" s="106"/>
      <c r="F597" s="118"/>
      <c r="G597" s="118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</row>
    <row r="598" spans="2:85" ht="14.25" customHeight="1">
      <c r="B598" s="106"/>
      <c r="C598" s="113"/>
      <c r="D598" s="113"/>
      <c r="E598" s="106"/>
      <c r="F598" s="118"/>
      <c r="G598" s="118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</row>
    <row r="599" spans="2:85" ht="14.25" customHeight="1">
      <c r="B599" s="106"/>
      <c r="C599" s="113"/>
      <c r="D599" s="113"/>
      <c r="E599" s="106"/>
      <c r="F599" s="118"/>
      <c r="G599" s="118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</row>
    <row r="600" spans="2:85" ht="14.25" customHeight="1">
      <c r="B600" s="106"/>
      <c r="C600" s="113"/>
      <c r="D600" s="113"/>
      <c r="E600" s="106"/>
      <c r="F600" s="118"/>
      <c r="G600" s="118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</row>
    <row r="601" spans="2:85" ht="14.25" customHeight="1">
      <c r="B601" s="106"/>
      <c r="C601" s="113"/>
      <c r="D601" s="113"/>
      <c r="E601" s="106"/>
      <c r="F601" s="118"/>
      <c r="G601" s="118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</row>
    <row r="602" spans="2:85" ht="14.25" customHeight="1">
      <c r="B602" s="106"/>
      <c r="C602" s="113"/>
      <c r="D602" s="113"/>
      <c r="E602" s="106"/>
      <c r="F602" s="118"/>
      <c r="G602" s="118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</row>
    <row r="603" spans="2:85" ht="14.25" customHeight="1">
      <c r="B603" s="106"/>
      <c r="C603" s="113"/>
      <c r="D603" s="113"/>
      <c r="E603" s="106"/>
      <c r="F603" s="118"/>
      <c r="G603" s="118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</row>
    <row r="604" spans="2:85" ht="14.25" customHeight="1">
      <c r="B604" s="106"/>
      <c r="C604" s="113"/>
      <c r="D604" s="113"/>
      <c r="E604" s="106"/>
      <c r="F604" s="118"/>
      <c r="G604" s="118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</row>
    <row r="605" spans="2:85" ht="14.25" customHeight="1">
      <c r="B605" s="106"/>
      <c r="C605" s="113"/>
      <c r="D605" s="113"/>
      <c r="E605" s="106"/>
      <c r="F605" s="118"/>
      <c r="G605" s="118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</row>
    <row r="606" spans="2:85" ht="14.25" customHeight="1">
      <c r="B606" s="106"/>
      <c r="C606" s="113"/>
      <c r="D606" s="113"/>
      <c r="E606" s="106"/>
      <c r="F606" s="118"/>
      <c r="G606" s="118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</row>
    <row r="607" spans="2:85" ht="14.25" customHeight="1">
      <c r="B607" s="106"/>
      <c r="C607" s="113"/>
      <c r="D607" s="113"/>
      <c r="E607" s="106"/>
      <c r="F607" s="118"/>
      <c r="G607" s="118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</row>
    <row r="608" spans="2:85" ht="14.25" customHeight="1">
      <c r="B608" s="106"/>
      <c r="C608" s="113"/>
      <c r="D608" s="113"/>
      <c r="E608" s="106"/>
      <c r="F608" s="118"/>
      <c r="G608" s="118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</row>
    <row r="609" spans="2:85" ht="14.25" customHeight="1">
      <c r="B609" s="106"/>
      <c r="C609" s="113"/>
      <c r="D609" s="113"/>
      <c r="E609" s="106"/>
      <c r="F609" s="118"/>
      <c r="G609" s="118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</row>
    <row r="610" spans="2:85" ht="14.25" customHeight="1">
      <c r="B610" s="106"/>
      <c r="C610" s="113"/>
      <c r="D610" s="113"/>
      <c r="E610" s="106"/>
      <c r="F610" s="118"/>
      <c r="G610" s="118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</row>
    <row r="611" spans="2:85" ht="14.25" customHeight="1">
      <c r="B611" s="106"/>
      <c r="C611" s="113"/>
      <c r="D611" s="113"/>
      <c r="E611" s="106"/>
      <c r="F611" s="118"/>
      <c r="G611" s="118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</row>
    <row r="612" spans="2:85" ht="14.25" customHeight="1">
      <c r="B612" s="106"/>
      <c r="C612" s="113"/>
      <c r="D612" s="113"/>
      <c r="E612" s="106"/>
      <c r="F612" s="118"/>
      <c r="G612" s="118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</row>
    <row r="613" spans="2:85" ht="14.25" customHeight="1">
      <c r="B613" s="106"/>
      <c r="C613" s="113"/>
      <c r="D613" s="113"/>
      <c r="E613" s="106"/>
      <c r="F613" s="118"/>
      <c r="G613" s="118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</row>
    <row r="614" spans="2:85" ht="14.25" customHeight="1">
      <c r="B614" s="106"/>
      <c r="C614" s="113"/>
      <c r="D614" s="113"/>
      <c r="E614" s="106"/>
      <c r="F614" s="118"/>
      <c r="G614" s="118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</row>
    <row r="615" spans="2:85" ht="14.25" customHeight="1">
      <c r="B615" s="106"/>
      <c r="C615" s="113"/>
      <c r="D615" s="113"/>
      <c r="E615" s="106"/>
      <c r="F615" s="118"/>
      <c r="G615" s="118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</row>
    <row r="616" spans="2:85" ht="14.25" customHeight="1">
      <c r="B616" s="106"/>
      <c r="C616" s="113"/>
      <c r="D616" s="113"/>
      <c r="E616" s="106"/>
      <c r="F616" s="118"/>
      <c r="G616" s="118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</row>
    <row r="617" spans="2:85" ht="14.25" customHeight="1">
      <c r="B617" s="106"/>
      <c r="C617" s="113"/>
      <c r="D617" s="113"/>
      <c r="E617" s="106"/>
      <c r="F617" s="118"/>
      <c r="G617" s="118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</row>
    <row r="618" spans="2:85" ht="14.25" customHeight="1">
      <c r="B618" s="106"/>
      <c r="C618" s="113"/>
      <c r="D618" s="113"/>
      <c r="E618" s="106"/>
      <c r="F618" s="118"/>
      <c r="G618" s="118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</row>
    <row r="619" spans="2:85" ht="14.25" customHeight="1">
      <c r="B619" s="106"/>
      <c r="C619" s="113"/>
      <c r="D619" s="113"/>
      <c r="E619" s="106"/>
      <c r="F619" s="118"/>
      <c r="G619" s="118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</row>
    <row r="620" spans="2:85" ht="14.25" customHeight="1">
      <c r="B620" s="106"/>
      <c r="C620" s="113"/>
      <c r="D620" s="113"/>
      <c r="E620" s="106"/>
      <c r="F620" s="118"/>
      <c r="G620" s="118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</row>
    <row r="621" spans="2:85" ht="14.25" customHeight="1">
      <c r="B621" s="106"/>
      <c r="C621" s="113"/>
      <c r="D621" s="113"/>
      <c r="E621" s="106"/>
      <c r="F621" s="118"/>
      <c r="G621" s="118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</row>
    <row r="622" spans="2:85" ht="14.25" customHeight="1">
      <c r="B622" s="106"/>
      <c r="C622" s="113"/>
      <c r="D622" s="113"/>
      <c r="E622" s="106"/>
      <c r="F622" s="118"/>
      <c r="G622" s="118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</row>
    <row r="623" spans="2:85" ht="14.25" customHeight="1">
      <c r="B623" s="106"/>
      <c r="C623" s="113"/>
      <c r="D623" s="113"/>
      <c r="E623" s="106"/>
      <c r="F623" s="118"/>
      <c r="G623" s="118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</row>
    <row r="624" spans="2:85" ht="14.25" customHeight="1">
      <c r="B624" s="106"/>
      <c r="C624" s="113"/>
      <c r="D624" s="113"/>
      <c r="E624" s="106"/>
      <c r="F624" s="118"/>
      <c r="G624" s="118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</row>
    <row r="625" spans="2:85" ht="14.25" customHeight="1">
      <c r="B625" s="106"/>
      <c r="C625" s="113"/>
      <c r="D625" s="113"/>
      <c r="E625" s="106"/>
      <c r="F625" s="118"/>
      <c r="G625" s="118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</row>
    <row r="626" spans="2:85" ht="14.25" customHeight="1">
      <c r="B626" s="106"/>
      <c r="C626" s="113"/>
      <c r="D626" s="113"/>
      <c r="E626" s="106"/>
      <c r="F626" s="118"/>
      <c r="G626" s="118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</row>
    <row r="627" spans="2:85" ht="14.25" customHeight="1">
      <c r="B627" s="106"/>
      <c r="C627" s="113"/>
      <c r="D627" s="113"/>
      <c r="E627" s="106"/>
      <c r="F627" s="118"/>
      <c r="G627" s="118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</row>
    <row r="628" spans="2:85" ht="14.25" customHeight="1">
      <c r="B628" s="106"/>
      <c r="C628" s="113"/>
      <c r="D628" s="113"/>
      <c r="E628" s="106"/>
      <c r="F628" s="118"/>
      <c r="G628" s="118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</row>
    <row r="629" spans="2:85" ht="14.25" customHeight="1">
      <c r="B629" s="106"/>
      <c r="C629" s="113"/>
      <c r="D629" s="113"/>
      <c r="E629" s="106"/>
      <c r="F629" s="118"/>
      <c r="G629" s="118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</row>
    <row r="630" spans="2:85" ht="14.25" customHeight="1">
      <c r="B630" s="106"/>
      <c r="C630" s="113"/>
      <c r="D630" s="113"/>
      <c r="E630" s="106"/>
      <c r="F630" s="118"/>
      <c r="G630" s="118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</row>
    <row r="631" spans="2:85" ht="14.25" customHeight="1">
      <c r="B631" s="106"/>
      <c r="C631" s="113"/>
      <c r="D631" s="113"/>
      <c r="E631" s="106"/>
      <c r="F631" s="118"/>
      <c r="G631" s="118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</row>
    <row r="632" spans="2:85" ht="14.25" customHeight="1">
      <c r="B632" s="106"/>
      <c r="C632" s="113"/>
      <c r="D632" s="113"/>
      <c r="E632" s="106"/>
      <c r="F632" s="118"/>
      <c r="G632" s="118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</row>
    <row r="633" spans="2:85" ht="14.25" customHeight="1">
      <c r="B633" s="106"/>
      <c r="C633" s="113"/>
      <c r="D633" s="113"/>
      <c r="E633" s="106"/>
      <c r="F633" s="118"/>
      <c r="G633" s="118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</row>
    <row r="634" spans="2:85" ht="14.25" customHeight="1">
      <c r="B634" s="106"/>
      <c r="C634" s="113"/>
      <c r="D634" s="113"/>
      <c r="E634" s="106"/>
      <c r="F634" s="118"/>
      <c r="G634" s="118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</row>
    <row r="635" spans="2:85" ht="14.25" customHeight="1">
      <c r="B635" s="106"/>
      <c r="C635" s="113"/>
      <c r="D635" s="113"/>
      <c r="E635" s="106"/>
      <c r="F635" s="118"/>
      <c r="G635" s="118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</row>
    <row r="636" spans="2:85" ht="14.25" customHeight="1">
      <c r="B636" s="106"/>
      <c r="C636" s="113"/>
      <c r="D636" s="113"/>
      <c r="E636" s="106"/>
      <c r="F636" s="118"/>
      <c r="G636" s="118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</row>
    <row r="637" spans="2:85" ht="14.25" customHeight="1">
      <c r="B637" s="106"/>
      <c r="C637" s="113"/>
      <c r="D637" s="113"/>
      <c r="E637" s="106"/>
      <c r="F637" s="118"/>
      <c r="G637" s="118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</row>
    <row r="638" spans="2:85" ht="14.25" customHeight="1">
      <c r="B638" s="106"/>
      <c r="C638" s="113"/>
      <c r="D638" s="113"/>
      <c r="E638" s="106"/>
      <c r="F638" s="118"/>
      <c r="G638" s="118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</row>
    <row r="639" spans="2:85" ht="14.25" customHeight="1">
      <c r="B639" s="106"/>
      <c r="C639" s="113"/>
      <c r="D639" s="113"/>
      <c r="E639" s="106"/>
      <c r="F639" s="118"/>
      <c r="G639" s="118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</row>
    <row r="640" spans="2:85" ht="14.25" customHeight="1">
      <c r="B640" s="106"/>
      <c r="C640" s="113"/>
      <c r="D640" s="113"/>
      <c r="E640" s="106"/>
      <c r="F640" s="118"/>
      <c r="G640" s="118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</row>
    <row r="641" spans="2:85" ht="14.25" customHeight="1">
      <c r="B641" s="106"/>
      <c r="C641" s="113"/>
      <c r="D641" s="113"/>
      <c r="E641" s="106"/>
      <c r="F641" s="118"/>
      <c r="G641" s="118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</row>
    <row r="642" spans="2:85" ht="14.25" customHeight="1">
      <c r="B642" s="106"/>
      <c r="C642" s="113"/>
      <c r="D642" s="113"/>
      <c r="E642" s="106"/>
      <c r="F642" s="118"/>
      <c r="G642" s="118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</row>
    <row r="643" spans="2:85" ht="14.25" customHeight="1">
      <c r="B643" s="106"/>
      <c r="C643" s="113"/>
      <c r="D643" s="113"/>
      <c r="E643" s="106"/>
      <c r="F643" s="118"/>
      <c r="G643" s="118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</row>
    <row r="644" spans="2:85" ht="14.25" customHeight="1">
      <c r="B644" s="106"/>
      <c r="C644" s="113"/>
      <c r="D644" s="113"/>
      <c r="E644" s="106"/>
      <c r="F644" s="118"/>
      <c r="G644" s="118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</row>
    <row r="645" spans="2:85" ht="14.25" customHeight="1">
      <c r="B645" s="106"/>
      <c r="C645" s="113"/>
      <c r="D645" s="113"/>
      <c r="E645" s="106"/>
      <c r="F645" s="118"/>
      <c r="G645" s="118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</row>
    <row r="646" spans="2:85" ht="14.25" customHeight="1">
      <c r="B646" s="106"/>
      <c r="C646" s="113"/>
      <c r="D646" s="113"/>
      <c r="E646" s="106"/>
      <c r="F646" s="118"/>
      <c r="G646" s="118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</row>
    <row r="647" spans="2:85" ht="14.25" customHeight="1">
      <c r="B647" s="106"/>
      <c r="C647" s="113"/>
      <c r="D647" s="113"/>
      <c r="E647" s="106"/>
      <c r="F647" s="118"/>
      <c r="G647" s="118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</row>
    <row r="648" spans="2:85" ht="14.25" customHeight="1">
      <c r="B648" s="106"/>
      <c r="C648" s="113"/>
      <c r="D648" s="113"/>
      <c r="E648" s="106"/>
      <c r="F648" s="118"/>
      <c r="G648" s="118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</row>
    <row r="649" spans="2:85" ht="14.25" customHeight="1">
      <c r="B649" s="106"/>
      <c r="C649" s="113"/>
      <c r="D649" s="113"/>
      <c r="E649" s="106"/>
      <c r="F649" s="118"/>
      <c r="G649" s="118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</row>
    <row r="650" spans="2:85" ht="14.25" customHeight="1">
      <c r="B650" s="106"/>
      <c r="C650" s="113"/>
      <c r="D650" s="113"/>
      <c r="E650" s="106"/>
      <c r="F650" s="118"/>
      <c r="G650" s="118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</row>
    <row r="651" spans="2:85" ht="14.25" customHeight="1">
      <c r="B651" s="106"/>
      <c r="C651" s="113"/>
      <c r="D651" s="113"/>
      <c r="E651" s="106"/>
      <c r="F651" s="118"/>
      <c r="G651" s="118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</row>
    <row r="652" spans="2:85" ht="14.25" customHeight="1">
      <c r="B652" s="106"/>
      <c r="C652" s="113"/>
      <c r="D652" s="113"/>
      <c r="E652" s="106"/>
      <c r="F652" s="118"/>
      <c r="G652" s="118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</row>
    <row r="653" spans="2:85" ht="14.25" customHeight="1">
      <c r="B653" s="106"/>
      <c r="C653" s="113"/>
      <c r="D653" s="113"/>
      <c r="E653" s="106"/>
      <c r="F653" s="118"/>
      <c r="G653" s="118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</row>
    <row r="654" spans="2:85" ht="14.25" customHeight="1">
      <c r="B654" s="106"/>
      <c r="C654" s="113"/>
      <c r="D654" s="113"/>
      <c r="E654" s="106"/>
      <c r="F654" s="118"/>
      <c r="G654" s="118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</row>
    <row r="655" spans="2:85" ht="14.25" customHeight="1">
      <c r="B655" s="106"/>
      <c r="C655" s="113"/>
      <c r="D655" s="113"/>
      <c r="E655" s="106"/>
      <c r="F655" s="118"/>
      <c r="G655" s="118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</row>
    <row r="656" spans="2:85" ht="14.25" customHeight="1">
      <c r="B656" s="106"/>
      <c r="C656" s="113"/>
      <c r="D656" s="113"/>
      <c r="E656" s="106"/>
      <c r="F656" s="118"/>
      <c r="G656" s="118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</row>
    <row r="657" spans="2:85" ht="14.25" customHeight="1">
      <c r="B657" s="106"/>
      <c r="C657" s="113"/>
      <c r="D657" s="113"/>
      <c r="E657" s="106"/>
      <c r="F657" s="118"/>
      <c r="G657" s="118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</row>
    <row r="658" spans="2:85" ht="14.25" customHeight="1">
      <c r="B658" s="106"/>
      <c r="C658" s="113"/>
      <c r="D658" s="113"/>
      <c r="E658" s="106"/>
      <c r="F658" s="118"/>
      <c r="G658" s="118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</row>
    <row r="659" spans="2:85" ht="14.25" customHeight="1">
      <c r="B659" s="106"/>
      <c r="C659" s="113"/>
      <c r="D659" s="113"/>
      <c r="E659" s="106"/>
      <c r="F659" s="118"/>
      <c r="G659" s="118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</row>
    <row r="660" spans="2:85" ht="14.25" customHeight="1">
      <c r="B660" s="106"/>
      <c r="C660" s="113"/>
      <c r="D660" s="113"/>
      <c r="E660" s="106"/>
      <c r="F660" s="118"/>
      <c r="G660" s="118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</row>
    <row r="661" spans="2:85" ht="14.25" customHeight="1">
      <c r="B661" s="106"/>
      <c r="C661" s="113"/>
      <c r="D661" s="113"/>
      <c r="E661" s="106"/>
      <c r="F661" s="118"/>
      <c r="G661" s="118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</row>
    <row r="662" spans="2:85" ht="14.25" customHeight="1">
      <c r="B662" s="106"/>
      <c r="C662" s="113"/>
      <c r="D662" s="113"/>
      <c r="E662" s="106"/>
      <c r="F662" s="118"/>
      <c r="G662" s="118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</row>
    <row r="663" spans="2:85" ht="14.25" customHeight="1">
      <c r="B663" s="106"/>
      <c r="C663" s="113"/>
      <c r="D663" s="113"/>
      <c r="E663" s="106"/>
      <c r="F663" s="118"/>
      <c r="G663" s="118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</row>
    <row r="664" spans="2:85" ht="14.25" customHeight="1">
      <c r="B664" s="106"/>
      <c r="C664" s="113"/>
      <c r="D664" s="113"/>
      <c r="E664" s="106"/>
      <c r="F664" s="118"/>
      <c r="G664" s="118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</row>
    <row r="665" spans="2:85" ht="14.25" customHeight="1">
      <c r="B665" s="106"/>
      <c r="C665" s="113"/>
      <c r="D665" s="113"/>
      <c r="E665" s="106"/>
      <c r="F665" s="118"/>
      <c r="G665" s="118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</row>
    <row r="666" spans="2:85" ht="14.25" customHeight="1">
      <c r="B666" s="106"/>
      <c r="C666" s="113"/>
      <c r="D666" s="113"/>
      <c r="E666" s="106"/>
      <c r="F666" s="118"/>
      <c r="G666" s="118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</row>
    <row r="667" spans="2:85" ht="14.25" customHeight="1">
      <c r="B667" s="106"/>
      <c r="C667" s="113"/>
      <c r="D667" s="113"/>
      <c r="E667" s="106"/>
      <c r="F667" s="118"/>
      <c r="G667" s="118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</row>
    <row r="668" spans="2:85" ht="14.25" customHeight="1">
      <c r="B668" s="106"/>
      <c r="C668" s="113"/>
      <c r="D668" s="113"/>
      <c r="E668" s="106"/>
      <c r="F668" s="118"/>
      <c r="G668" s="118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</row>
    <row r="669" spans="2:85" ht="14.25" customHeight="1">
      <c r="B669" s="106"/>
      <c r="C669" s="113"/>
      <c r="D669" s="113"/>
      <c r="E669" s="106"/>
      <c r="F669" s="118"/>
      <c r="G669" s="118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</row>
    <row r="670" spans="2:85" ht="14.25" customHeight="1">
      <c r="B670" s="106"/>
      <c r="C670" s="113"/>
      <c r="D670" s="113"/>
      <c r="E670" s="106"/>
      <c r="F670" s="118"/>
      <c r="G670" s="118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</row>
    <row r="671" spans="2:85" ht="14.25" customHeight="1">
      <c r="B671" s="106"/>
      <c r="C671" s="113"/>
      <c r="D671" s="113"/>
      <c r="E671" s="106"/>
      <c r="F671" s="118"/>
      <c r="G671" s="118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</row>
    <row r="672" spans="2:85" ht="14.25" customHeight="1">
      <c r="B672" s="106"/>
      <c r="C672" s="113"/>
      <c r="D672" s="113"/>
      <c r="E672" s="106"/>
      <c r="F672" s="118"/>
      <c r="G672" s="118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</row>
    <row r="673" spans="2:85" ht="14.25" customHeight="1">
      <c r="B673" s="106"/>
      <c r="C673" s="113"/>
      <c r="D673" s="113"/>
      <c r="E673" s="106"/>
      <c r="F673" s="118"/>
      <c r="G673" s="118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</row>
    <row r="674" spans="2:85" ht="14.25" customHeight="1">
      <c r="B674" s="106"/>
      <c r="C674" s="113"/>
      <c r="D674" s="113"/>
      <c r="E674" s="106"/>
      <c r="F674" s="118"/>
      <c r="G674" s="118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</row>
    <row r="675" spans="2:85" ht="14.25" customHeight="1">
      <c r="B675" s="106"/>
      <c r="C675" s="113"/>
      <c r="D675" s="113"/>
      <c r="E675" s="106"/>
      <c r="F675" s="118"/>
      <c r="G675" s="118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</row>
    <row r="676" spans="2:85" ht="14.25" customHeight="1">
      <c r="B676" s="106"/>
      <c r="C676" s="113"/>
      <c r="D676" s="113"/>
      <c r="E676" s="106"/>
      <c r="F676" s="118"/>
      <c r="G676" s="118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</row>
    <row r="677" spans="2:85" ht="14.25" customHeight="1">
      <c r="B677" s="106"/>
      <c r="C677" s="113"/>
      <c r="D677" s="113"/>
      <c r="E677" s="106"/>
      <c r="F677" s="118"/>
      <c r="G677" s="118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</row>
    <row r="678" spans="2:85" ht="14.25" customHeight="1">
      <c r="B678" s="106"/>
      <c r="C678" s="113"/>
      <c r="D678" s="113"/>
      <c r="E678" s="106"/>
      <c r="F678" s="118"/>
      <c r="G678" s="118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</row>
    <row r="679" spans="2:85" ht="14.25" customHeight="1">
      <c r="B679" s="106"/>
      <c r="C679" s="113"/>
      <c r="D679" s="113"/>
      <c r="E679" s="106"/>
      <c r="F679" s="118"/>
      <c r="G679" s="118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</row>
    <row r="680" spans="2:85" ht="14.25" customHeight="1">
      <c r="B680" s="106"/>
      <c r="C680" s="113"/>
      <c r="D680" s="113"/>
      <c r="E680" s="106"/>
      <c r="F680" s="118"/>
      <c r="G680" s="118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</row>
    <row r="681" spans="2:85" ht="14.25" customHeight="1">
      <c r="B681" s="106"/>
      <c r="C681" s="113"/>
      <c r="D681" s="113"/>
      <c r="E681" s="106"/>
      <c r="F681" s="118"/>
      <c r="G681" s="118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</row>
    <row r="682" spans="2:85" ht="14.25" customHeight="1">
      <c r="B682" s="106"/>
      <c r="C682" s="113"/>
      <c r="D682" s="113"/>
      <c r="E682" s="106"/>
      <c r="F682" s="118"/>
      <c r="G682" s="118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</row>
    <row r="683" spans="2:85" ht="14.25" customHeight="1">
      <c r="B683" s="106"/>
      <c r="C683" s="113"/>
      <c r="D683" s="113"/>
      <c r="E683" s="106"/>
      <c r="F683" s="118"/>
      <c r="G683" s="118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</row>
    <row r="684" spans="2:85" ht="14.25" customHeight="1">
      <c r="B684" s="106"/>
      <c r="C684" s="113"/>
      <c r="D684" s="113"/>
      <c r="E684" s="106"/>
      <c r="F684" s="118"/>
      <c r="G684" s="118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</row>
    <row r="685" spans="2:85" ht="14.25" customHeight="1">
      <c r="B685" s="106"/>
      <c r="C685" s="113"/>
      <c r="D685" s="113"/>
      <c r="E685" s="106"/>
      <c r="F685" s="118"/>
      <c r="G685" s="118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</row>
    <row r="686" spans="2:85" ht="14.25" customHeight="1">
      <c r="B686" s="106"/>
      <c r="C686" s="113"/>
      <c r="D686" s="113"/>
      <c r="E686" s="106"/>
      <c r="F686" s="118"/>
      <c r="G686" s="118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</row>
    <row r="687" spans="2:85" ht="14.25" customHeight="1">
      <c r="B687" s="106"/>
      <c r="C687" s="113"/>
      <c r="D687" s="113"/>
      <c r="E687" s="106"/>
      <c r="F687" s="118"/>
      <c r="G687" s="118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</row>
    <row r="688" spans="2:85" ht="14.25" customHeight="1">
      <c r="B688" s="106"/>
      <c r="C688" s="113"/>
      <c r="D688" s="113"/>
      <c r="E688" s="106"/>
      <c r="F688" s="118"/>
      <c r="G688" s="118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</row>
    <row r="689" spans="2:85" ht="14.25" customHeight="1">
      <c r="B689" s="106"/>
      <c r="C689" s="113"/>
      <c r="D689" s="113"/>
      <c r="E689" s="106"/>
      <c r="F689" s="118"/>
      <c r="G689" s="118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</row>
    <row r="690" spans="2:85" ht="14.25" customHeight="1">
      <c r="B690" s="106"/>
      <c r="C690" s="113"/>
      <c r="D690" s="113"/>
      <c r="E690" s="106"/>
      <c r="F690" s="118"/>
      <c r="G690" s="118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</row>
    <row r="691" spans="2:85" ht="14.25" customHeight="1">
      <c r="B691" s="106"/>
      <c r="C691" s="113"/>
      <c r="D691" s="113"/>
      <c r="E691" s="106"/>
      <c r="F691" s="118"/>
      <c r="G691" s="118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</row>
    <row r="692" spans="2:85" ht="14.25" customHeight="1">
      <c r="B692" s="106"/>
      <c r="C692" s="113"/>
      <c r="D692" s="113"/>
      <c r="E692" s="106"/>
      <c r="F692" s="118"/>
      <c r="G692" s="118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</row>
    <row r="693" spans="2:85" ht="14.25" customHeight="1">
      <c r="B693" s="106"/>
      <c r="C693" s="113"/>
      <c r="D693" s="113"/>
      <c r="E693" s="106"/>
      <c r="F693" s="118"/>
      <c r="G693" s="118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</row>
    <row r="694" spans="2:85" ht="14.25" customHeight="1">
      <c r="B694" s="106"/>
      <c r="C694" s="113"/>
      <c r="D694" s="113"/>
      <c r="E694" s="106"/>
      <c r="F694" s="118"/>
      <c r="G694" s="118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</row>
    <row r="695" spans="2:85" ht="14.25" customHeight="1">
      <c r="B695" s="106"/>
      <c r="C695" s="113"/>
      <c r="D695" s="113"/>
      <c r="E695" s="106"/>
      <c r="F695" s="118"/>
      <c r="G695" s="118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</row>
    <row r="696" spans="2:85" ht="14.25" customHeight="1">
      <c r="B696" s="106"/>
      <c r="C696" s="113"/>
      <c r="D696" s="113"/>
      <c r="E696" s="106"/>
      <c r="F696" s="118"/>
      <c r="G696" s="118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</row>
    <row r="697" spans="2:85" ht="14.25" customHeight="1">
      <c r="B697" s="106"/>
      <c r="C697" s="113"/>
      <c r="D697" s="113"/>
      <c r="E697" s="106"/>
      <c r="F697" s="118"/>
      <c r="G697" s="118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</row>
    <row r="698" spans="2:85" ht="14.25" customHeight="1">
      <c r="B698" s="106"/>
      <c r="C698" s="113"/>
      <c r="D698" s="113"/>
      <c r="E698" s="106"/>
      <c r="F698" s="118"/>
      <c r="G698" s="118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</row>
    <row r="699" spans="2:85" ht="14.25" customHeight="1">
      <c r="B699" s="106"/>
      <c r="C699" s="113"/>
      <c r="D699" s="113"/>
      <c r="E699" s="106"/>
      <c r="F699" s="118"/>
      <c r="G699" s="118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</row>
    <row r="700" spans="2:85" ht="14.25" customHeight="1">
      <c r="B700" s="106"/>
      <c r="C700" s="113"/>
      <c r="D700" s="113"/>
      <c r="E700" s="106"/>
      <c r="F700" s="118"/>
      <c r="G700" s="118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</row>
    <row r="701" spans="2:85" ht="14.25" customHeight="1">
      <c r="B701" s="106"/>
      <c r="C701" s="113"/>
      <c r="D701" s="113"/>
      <c r="E701" s="106"/>
      <c r="F701" s="118"/>
      <c r="G701" s="118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</row>
    <row r="702" spans="2:85" ht="14.25" customHeight="1">
      <c r="B702" s="106"/>
      <c r="C702" s="113"/>
      <c r="D702" s="113"/>
      <c r="E702" s="106"/>
      <c r="F702" s="118"/>
      <c r="G702" s="118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</row>
    <row r="703" spans="2:85" ht="14.25" customHeight="1">
      <c r="B703" s="106"/>
      <c r="C703" s="113"/>
      <c r="D703" s="113"/>
      <c r="E703" s="106"/>
      <c r="F703" s="118"/>
      <c r="G703" s="118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</row>
    <row r="704" spans="2:85" ht="14.25" customHeight="1">
      <c r="B704" s="106"/>
      <c r="C704" s="113"/>
      <c r="D704" s="113"/>
      <c r="E704" s="106"/>
      <c r="F704" s="118"/>
      <c r="G704" s="118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</row>
    <row r="705" spans="2:85" ht="14.25" customHeight="1">
      <c r="B705" s="106"/>
      <c r="C705" s="113"/>
      <c r="D705" s="113"/>
      <c r="E705" s="106"/>
      <c r="F705" s="118"/>
      <c r="G705" s="118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</row>
    <row r="706" spans="2:85" ht="14.25" customHeight="1">
      <c r="B706" s="106"/>
      <c r="C706" s="113"/>
      <c r="D706" s="113"/>
      <c r="E706" s="106"/>
      <c r="F706" s="118"/>
      <c r="G706" s="118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</row>
    <row r="707" spans="2:85" ht="14.25" customHeight="1">
      <c r="B707" s="106"/>
      <c r="C707" s="113"/>
      <c r="D707" s="113"/>
      <c r="E707" s="106"/>
      <c r="F707" s="118"/>
      <c r="G707" s="118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</row>
    <row r="708" spans="2:85" ht="14.25" customHeight="1">
      <c r="B708" s="106"/>
      <c r="C708" s="113"/>
      <c r="D708" s="113"/>
      <c r="E708" s="106"/>
      <c r="F708" s="118"/>
      <c r="G708" s="118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</row>
    <row r="709" spans="2:85" ht="14.25" customHeight="1">
      <c r="B709" s="106"/>
      <c r="C709" s="113"/>
      <c r="D709" s="113"/>
      <c r="E709" s="106"/>
      <c r="F709" s="118"/>
      <c r="G709" s="118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</row>
    <row r="710" spans="2:85" ht="14.25" customHeight="1">
      <c r="B710" s="106"/>
      <c r="C710" s="113"/>
      <c r="D710" s="113"/>
      <c r="E710" s="106"/>
      <c r="F710" s="118"/>
      <c r="G710" s="118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</row>
    <row r="711" spans="2:85" ht="14.25" customHeight="1">
      <c r="B711" s="106"/>
      <c r="C711" s="113"/>
      <c r="D711" s="113"/>
      <c r="E711" s="106"/>
      <c r="F711" s="118"/>
      <c r="G711" s="118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</row>
    <row r="712" spans="2:85" ht="14.25" customHeight="1">
      <c r="B712" s="106"/>
      <c r="C712" s="113"/>
      <c r="D712" s="113"/>
      <c r="E712" s="106"/>
      <c r="F712" s="118"/>
      <c r="G712" s="118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</row>
    <row r="713" spans="2:85" ht="14.25" customHeight="1">
      <c r="B713" s="106"/>
      <c r="C713" s="113"/>
      <c r="D713" s="113"/>
      <c r="E713" s="106"/>
      <c r="F713" s="118"/>
      <c r="G713" s="118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</row>
    <row r="714" spans="2:85" ht="14.25" customHeight="1">
      <c r="B714" s="106"/>
      <c r="C714" s="113"/>
      <c r="D714" s="113"/>
      <c r="E714" s="106"/>
      <c r="F714" s="118"/>
      <c r="G714" s="118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</row>
    <row r="715" spans="2:85" ht="14.25" customHeight="1">
      <c r="B715" s="106"/>
      <c r="C715" s="113"/>
      <c r="D715" s="113"/>
      <c r="E715" s="106"/>
      <c r="F715" s="118"/>
      <c r="G715" s="118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</row>
    <row r="716" spans="2:85" ht="14.25" customHeight="1">
      <c r="B716" s="106"/>
      <c r="C716" s="113"/>
      <c r="D716" s="113"/>
      <c r="E716" s="106"/>
      <c r="F716" s="118"/>
      <c r="G716" s="118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</row>
    <row r="717" spans="2:85" ht="14.25" customHeight="1">
      <c r="B717" s="106"/>
      <c r="C717" s="113"/>
      <c r="D717" s="113"/>
      <c r="E717" s="106"/>
      <c r="F717" s="118"/>
      <c r="G717" s="118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</row>
    <row r="718" spans="2:85" ht="14.25" customHeight="1">
      <c r="B718" s="106"/>
      <c r="C718" s="113"/>
      <c r="D718" s="113"/>
      <c r="E718" s="106"/>
      <c r="F718" s="118"/>
      <c r="G718" s="118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</row>
    <row r="719" spans="2:85" ht="14.25" customHeight="1">
      <c r="B719" s="106"/>
      <c r="C719" s="113"/>
      <c r="D719" s="113"/>
      <c r="E719" s="106"/>
      <c r="F719" s="118"/>
      <c r="G719" s="118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</row>
    <row r="720" spans="2:85" ht="14.25" customHeight="1">
      <c r="B720" s="106"/>
      <c r="C720" s="113"/>
      <c r="D720" s="113"/>
      <c r="E720" s="106"/>
      <c r="F720" s="118"/>
      <c r="G720" s="118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</row>
    <row r="721" spans="2:85" ht="14.25" customHeight="1">
      <c r="B721" s="106"/>
      <c r="C721" s="113"/>
      <c r="D721" s="113"/>
      <c r="E721" s="106"/>
      <c r="F721" s="118"/>
      <c r="G721" s="118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</row>
    <row r="722" spans="2:85" ht="14.25" customHeight="1">
      <c r="B722" s="106"/>
      <c r="C722" s="113"/>
      <c r="D722" s="113"/>
      <c r="E722" s="106"/>
      <c r="F722" s="118"/>
      <c r="G722" s="118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</row>
    <row r="723" spans="2:85" ht="14.25" customHeight="1">
      <c r="B723" s="106"/>
      <c r="C723" s="113"/>
      <c r="D723" s="113"/>
      <c r="E723" s="106"/>
      <c r="F723" s="118"/>
      <c r="G723" s="118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</row>
    <row r="724" spans="2:85" ht="14.25" customHeight="1">
      <c r="B724" s="106"/>
      <c r="C724" s="113"/>
      <c r="D724" s="113"/>
      <c r="E724" s="106"/>
      <c r="F724" s="118"/>
      <c r="G724" s="118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</row>
    <row r="725" spans="2:85" ht="14.25" customHeight="1">
      <c r="B725" s="106"/>
      <c r="C725" s="113"/>
      <c r="D725" s="113"/>
      <c r="E725" s="106"/>
      <c r="F725" s="118"/>
      <c r="G725" s="118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</row>
    <row r="726" spans="2:85" ht="14.25" customHeight="1">
      <c r="B726" s="106"/>
      <c r="C726" s="113"/>
      <c r="D726" s="113"/>
      <c r="E726" s="106"/>
      <c r="F726" s="118"/>
      <c r="G726" s="118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</row>
    <row r="727" spans="2:85" ht="14.25" customHeight="1">
      <c r="B727" s="106"/>
      <c r="C727" s="113"/>
      <c r="D727" s="113"/>
      <c r="E727" s="106"/>
      <c r="F727" s="118"/>
      <c r="G727" s="118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</row>
    <row r="728" spans="2:85" ht="14.25" customHeight="1">
      <c r="B728" s="106"/>
      <c r="C728" s="113"/>
      <c r="D728" s="113"/>
      <c r="E728" s="106"/>
      <c r="F728" s="118"/>
      <c r="G728" s="118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</row>
    <row r="729" spans="2:85" ht="14.25" customHeight="1">
      <c r="B729" s="106"/>
      <c r="C729" s="113"/>
      <c r="D729" s="113"/>
      <c r="E729" s="106"/>
      <c r="F729" s="118"/>
      <c r="G729" s="118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</row>
    <row r="730" spans="2:85" ht="14.25" customHeight="1">
      <c r="B730" s="106"/>
      <c r="C730" s="113"/>
      <c r="D730" s="113"/>
      <c r="E730" s="106"/>
      <c r="F730" s="118"/>
      <c r="G730" s="118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</row>
    <row r="731" spans="2:85" ht="14.25" customHeight="1">
      <c r="B731" s="106"/>
      <c r="C731" s="113"/>
      <c r="D731" s="113"/>
      <c r="E731" s="106"/>
      <c r="F731" s="118"/>
      <c r="G731" s="118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</row>
    <row r="732" spans="2:85" ht="14.25" customHeight="1">
      <c r="B732" s="106"/>
      <c r="C732" s="113"/>
      <c r="D732" s="113"/>
      <c r="E732" s="106"/>
      <c r="F732" s="118"/>
      <c r="G732" s="118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</row>
    <row r="733" spans="2:85" ht="14.25" customHeight="1">
      <c r="B733" s="106"/>
      <c r="C733" s="113"/>
      <c r="D733" s="113"/>
      <c r="E733" s="106"/>
      <c r="F733" s="118"/>
      <c r="G733" s="118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</row>
    <row r="734" spans="2:85" ht="14.25" customHeight="1">
      <c r="B734" s="106"/>
      <c r="C734" s="113"/>
      <c r="D734" s="113"/>
      <c r="E734" s="106"/>
      <c r="F734" s="118"/>
      <c r="G734" s="118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</row>
    <row r="735" spans="2:85" ht="14.25" customHeight="1">
      <c r="B735" s="106"/>
      <c r="C735" s="113"/>
      <c r="D735" s="113"/>
      <c r="E735" s="106"/>
      <c r="F735" s="118"/>
      <c r="G735" s="118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</row>
    <row r="736" spans="2:85" ht="14.25" customHeight="1">
      <c r="B736" s="106"/>
      <c r="C736" s="113"/>
      <c r="D736" s="113"/>
      <c r="E736" s="106"/>
      <c r="F736" s="118"/>
      <c r="G736" s="118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</row>
    <row r="737" spans="2:85" ht="14.25" customHeight="1">
      <c r="B737" s="106"/>
      <c r="C737" s="113"/>
      <c r="D737" s="113"/>
      <c r="E737" s="106"/>
      <c r="F737" s="118"/>
      <c r="G737" s="118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</row>
    <row r="738" spans="2:85" ht="14.25" customHeight="1">
      <c r="B738" s="106"/>
      <c r="C738" s="113"/>
      <c r="D738" s="113"/>
      <c r="E738" s="106"/>
      <c r="F738" s="118"/>
      <c r="G738" s="118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</row>
    <row r="739" spans="2:85" ht="14.25" customHeight="1">
      <c r="B739" s="106"/>
      <c r="C739" s="113"/>
      <c r="D739" s="113"/>
      <c r="E739" s="106"/>
      <c r="F739" s="118"/>
      <c r="G739" s="118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</row>
    <row r="740" spans="2:85" ht="14.25" customHeight="1">
      <c r="B740" s="106"/>
      <c r="C740" s="113"/>
      <c r="D740" s="113"/>
      <c r="E740" s="106"/>
      <c r="F740" s="118"/>
      <c r="G740" s="118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</row>
    <row r="741" spans="2:85" ht="14.25" customHeight="1">
      <c r="B741" s="106"/>
      <c r="C741" s="113"/>
      <c r="D741" s="113"/>
      <c r="E741" s="106"/>
      <c r="F741" s="118"/>
      <c r="G741" s="118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</row>
    <row r="742" spans="2:85" ht="14.25" customHeight="1">
      <c r="B742" s="106"/>
      <c r="C742" s="113"/>
      <c r="D742" s="113"/>
      <c r="E742" s="106"/>
      <c r="F742" s="118"/>
      <c r="G742" s="118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</row>
    <row r="743" spans="2:85" ht="14.25" customHeight="1">
      <c r="B743" s="106"/>
      <c r="C743" s="113"/>
      <c r="D743" s="113"/>
      <c r="E743" s="106"/>
      <c r="F743" s="118"/>
      <c r="G743" s="118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</row>
    <row r="744" spans="2:85" ht="14.25" customHeight="1">
      <c r="B744" s="106"/>
      <c r="C744" s="113"/>
      <c r="D744" s="113"/>
      <c r="E744" s="106"/>
      <c r="F744" s="118"/>
      <c r="G744" s="118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</row>
    <row r="745" spans="2:85" ht="14.25" customHeight="1">
      <c r="B745" s="106"/>
      <c r="C745" s="113"/>
      <c r="D745" s="113"/>
      <c r="E745" s="106"/>
      <c r="F745" s="118"/>
      <c r="G745" s="118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</row>
    <row r="746" spans="2:85" ht="14.25" customHeight="1">
      <c r="B746" s="106"/>
      <c r="C746" s="113"/>
      <c r="D746" s="113"/>
      <c r="E746" s="106"/>
      <c r="F746" s="118"/>
      <c r="G746" s="118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</row>
    <row r="747" spans="2:85" ht="14.25" customHeight="1">
      <c r="B747" s="106"/>
      <c r="C747" s="113"/>
      <c r="D747" s="113"/>
      <c r="E747" s="106"/>
      <c r="F747" s="118"/>
      <c r="G747" s="118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</row>
    <row r="748" spans="2:85" ht="14.25" customHeight="1">
      <c r="B748" s="106"/>
      <c r="C748" s="113"/>
      <c r="D748" s="113"/>
      <c r="E748" s="106"/>
      <c r="F748" s="118"/>
      <c r="G748" s="118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</row>
    <row r="749" spans="2:85" ht="14.25" customHeight="1">
      <c r="B749" s="106"/>
      <c r="C749" s="113"/>
      <c r="D749" s="113"/>
      <c r="E749" s="106"/>
      <c r="F749" s="118"/>
      <c r="G749" s="118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</row>
    <row r="750" spans="2:85" ht="14.25" customHeight="1">
      <c r="B750" s="106"/>
      <c r="C750" s="113"/>
      <c r="D750" s="113"/>
      <c r="E750" s="106"/>
      <c r="F750" s="118"/>
      <c r="G750" s="118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</row>
    <row r="751" spans="2:85" ht="14.25" customHeight="1">
      <c r="B751" s="106"/>
      <c r="C751" s="113"/>
      <c r="D751" s="113"/>
      <c r="E751" s="106"/>
      <c r="F751" s="118"/>
      <c r="G751" s="118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</row>
    <row r="752" spans="2:85" ht="14.25" customHeight="1">
      <c r="B752" s="106"/>
      <c r="C752" s="113"/>
      <c r="D752" s="113"/>
      <c r="E752" s="106"/>
      <c r="F752" s="118"/>
      <c r="G752" s="118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</row>
    <row r="753" spans="2:85" ht="14.25" customHeight="1">
      <c r="B753" s="106"/>
      <c r="C753" s="113"/>
      <c r="D753" s="113"/>
      <c r="E753" s="106"/>
      <c r="F753" s="118"/>
      <c r="G753" s="118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</row>
    <row r="754" spans="2:85" ht="14.25" customHeight="1">
      <c r="B754" s="106"/>
      <c r="C754" s="113"/>
      <c r="D754" s="113"/>
      <c r="E754" s="106"/>
      <c r="F754" s="118"/>
      <c r="G754" s="118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</row>
    <row r="755" spans="2:85" ht="14.25" customHeight="1">
      <c r="B755" s="106"/>
      <c r="C755" s="113"/>
      <c r="D755" s="113"/>
      <c r="E755" s="106"/>
      <c r="F755" s="118"/>
      <c r="G755" s="118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</row>
    <row r="756" spans="2:85" ht="14.25" customHeight="1">
      <c r="B756" s="106"/>
      <c r="C756" s="113"/>
      <c r="D756" s="113"/>
      <c r="E756" s="106"/>
      <c r="F756" s="118"/>
      <c r="G756" s="118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</row>
    <row r="757" spans="2:85" ht="14.25" customHeight="1">
      <c r="B757" s="106"/>
      <c r="C757" s="113"/>
      <c r="D757" s="113"/>
      <c r="E757" s="106"/>
      <c r="F757" s="118"/>
      <c r="G757" s="118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</row>
    <row r="758" spans="2:85" ht="14.25" customHeight="1">
      <c r="B758" s="106"/>
      <c r="C758" s="113"/>
      <c r="D758" s="113"/>
      <c r="E758" s="106"/>
      <c r="F758" s="118"/>
      <c r="G758" s="118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</row>
    <row r="759" spans="2:85" ht="14.25" customHeight="1">
      <c r="B759" s="106"/>
      <c r="C759" s="113"/>
      <c r="D759" s="113"/>
      <c r="E759" s="106"/>
      <c r="F759" s="118"/>
      <c r="G759" s="118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</row>
    <row r="760" spans="2:85" ht="14.25" customHeight="1">
      <c r="B760" s="106"/>
      <c r="C760" s="113"/>
      <c r="D760" s="113"/>
      <c r="E760" s="106"/>
      <c r="F760" s="118"/>
      <c r="G760" s="118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</row>
    <row r="761" spans="2:85" ht="14.25" customHeight="1">
      <c r="B761" s="106"/>
      <c r="C761" s="113"/>
      <c r="D761" s="113"/>
      <c r="E761" s="106"/>
      <c r="F761" s="118"/>
      <c r="G761" s="118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</row>
    <row r="762" spans="2:85" ht="14.25" customHeight="1">
      <c r="B762" s="106"/>
      <c r="C762" s="113"/>
      <c r="D762" s="113"/>
      <c r="E762" s="106"/>
      <c r="F762" s="118"/>
      <c r="G762" s="118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</row>
    <row r="763" spans="2:85" ht="14.25" customHeight="1">
      <c r="B763" s="106"/>
      <c r="C763" s="113"/>
      <c r="D763" s="113"/>
      <c r="E763" s="106"/>
      <c r="F763" s="118"/>
      <c r="G763" s="118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</row>
    <row r="764" spans="2:85" ht="14.25" customHeight="1">
      <c r="B764" s="106"/>
      <c r="C764" s="113"/>
      <c r="D764" s="113"/>
      <c r="E764" s="106"/>
      <c r="F764" s="118"/>
      <c r="G764" s="118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</row>
    <row r="765" spans="2:85" ht="14.25" customHeight="1">
      <c r="B765" s="106"/>
      <c r="C765" s="113"/>
      <c r="D765" s="113"/>
      <c r="E765" s="106"/>
      <c r="F765" s="118"/>
      <c r="G765" s="118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</row>
    <row r="766" spans="2:85" ht="14.25" customHeight="1">
      <c r="B766" s="106"/>
      <c r="C766" s="113"/>
      <c r="D766" s="113"/>
      <c r="E766" s="106"/>
      <c r="F766" s="118"/>
      <c r="G766" s="118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</row>
    <row r="767" spans="2:85" ht="14.25" customHeight="1">
      <c r="B767" s="106"/>
      <c r="C767" s="113"/>
      <c r="D767" s="113"/>
      <c r="E767" s="106"/>
      <c r="F767" s="118"/>
      <c r="G767" s="118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</row>
    <row r="768" spans="2:85" ht="14.25" customHeight="1">
      <c r="B768" s="106"/>
      <c r="C768" s="113"/>
      <c r="D768" s="113"/>
      <c r="E768" s="106"/>
      <c r="F768" s="118"/>
      <c r="G768" s="118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</row>
    <row r="769" spans="2:85" ht="14.25" customHeight="1">
      <c r="B769" s="106"/>
      <c r="C769" s="113"/>
      <c r="D769" s="113"/>
      <c r="E769" s="106"/>
      <c r="F769" s="118"/>
      <c r="G769" s="118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</row>
    <row r="770" spans="2:85" ht="14.25" customHeight="1">
      <c r="B770" s="106"/>
      <c r="C770" s="113"/>
      <c r="D770" s="113"/>
      <c r="E770" s="106"/>
      <c r="F770" s="118"/>
      <c r="G770" s="118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</row>
    <row r="771" spans="2:85" ht="14.25" customHeight="1">
      <c r="B771" s="106"/>
      <c r="C771" s="113"/>
      <c r="D771" s="113"/>
      <c r="E771" s="106"/>
      <c r="F771" s="118"/>
      <c r="G771" s="118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</row>
    <row r="772" spans="2:85" ht="14.25" customHeight="1">
      <c r="B772" s="106"/>
      <c r="C772" s="113"/>
      <c r="D772" s="113"/>
      <c r="E772" s="106"/>
      <c r="F772" s="118"/>
      <c r="G772" s="118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</row>
    <row r="773" spans="2:85" ht="14.25" customHeight="1">
      <c r="B773" s="106"/>
      <c r="C773" s="113"/>
      <c r="D773" s="113"/>
      <c r="E773" s="106"/>
      <c r="F773" s="118"/>
      <c r="G773" s="118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</row>
    <row r="774" spans="2:85" ht="14.25" customHeight="1">
      <c r="B774" s="106"/>
      <c r="C774" s="113"/>
      <c r="D774" s="113"/>
      <c r="E774" s="106"/>
      <c r="F774" s="118"/>
      <c r="G774" s="118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</row>
    <row r="775" spans="2:85" ht="14.25" customHeight="1">
      <c r="B775" s="106"/>
      <c r="C775" s="113"/>
      <c r="D775" s="113"/>
      <c r="E775" s="106"/>
      <c r="F775" s="118"/>
      <c r="G775" s="118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</row>
    <row r="776" spans="2:85" ht="14.25" customHeight="1">
      <c r="B776" s="106"/>
      <c r="C776" s="113"/>
      <c r="D776" s="113"/>
      <c r="E776" s="106"/>
      <c r="F776" s="118"/>
      <c r="G776" s="118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</row>
    <row r="777" spans="2:85" ht="14.25" customHeight="1">
      <c r="B777" s="106"/>
      <c r="C777" s="113"/>
      <c r="D777" s="113"/>
      <c r="E777" s="106"/>
      <c r="F777" s="118"/>
      <c r="G777" s="118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</row>
    <row r="778" spans="2:85" ht="14.25" customHeight="1">
      <c r="B778" s="106"/>
      <c r="C778" s="113"/>
      <c r="D778" s="113"/>
      <c r="E778" s="106"/>
      <c r="F778" s="118"/>
      <c r="G778" s="118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</row>
    <row r="779" spans="2:85" ht="14.25" customHeight="1">
      <c r="B779" s="106"/>
      <c r="C779" s="113"/>
      <c r="D779" s="113"/>
      <c r="E779" s="106"/>
      <c r="F779" s="118"/>
      <c r="G779" s="118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</row>
    <row r="780" spans="2:85" ht="14.25" customHeight="1">
      <c r="B780" s="106"/>
      <c r="C780" s="113"/>
      <c r="D780" s="113"/>
      <c r="E780" s="106"/>
      <c r="F780" s="118"/>
      <c r="G780" s="118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</row>
    <row r="781" spans="2:85" ht="14.25" customHeight="1">
      <c r="B781" s="106"/>
      <c r="C781" s="113"/>
      <c r="D781" s="113"/>
      <c r="E781" s="106"/>
      <c r="F781" s="118"/>
      <c r="G781" s="118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</row>
    <row r="782" spans="2:85" ht="14.25" customHeight="1">
      <c r="B782" s="106"/>
      <c r="C782" s="113"/>
      <c r="D782" s="113"/>
      <c r="E782" s="106"/>
      <c r="F782" s="118"/>
      <c r="G782" s="118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</row>
    <row r="783" spans="2:85" ht="14.25" customHeight="1">
      <c r="B783" s="106"/>
      <c r="C783" s="113"/>
      <c r="D783" s="113"/>
      <c r="E783" s="106"/>
      <c r="F783" s="118"/>
      <c r="G783" s="118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</row>
    <row r="784" spans="2:85" ht="14.25" customHeight="1">
      <c r="B784" s="106"/>
      <c r="C784" s="113"/>
      <c r="D784" s="113"/>
      <c r="E784" s="106"/>
      <c r="F784" s="118"/>
      <c r="G784" s="118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</row>
    <row r="785" spans="2:85" ht="14.25" customHeight="1">
      <c r="B785" s="106"/>
      <c r="C785" s="113"/>
      <c r="D785" s="113"/>
      <c r="E785" s="106"/>
      <c r="F785" s="118"/>
      <c r="G785" s="118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</row>
    <row r="786" spans="2:85" ht="14.25" customHeight="1">
      <c r="B786" s="106"/>
      <c r="C786" s="113"/>
      <c r="D786" s="113"/>
      <c r="E786" s="106"/>
      <c r="F786" s="118"/>
      <c r="G786" s="118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</row>
    <row r="787" spans="2:85" ht="14.25" customHeight="1">
      <c r="B787" s="106"/>
      <c r="C787" s="113"/>
      <c r="D787" s="113"/>
      <c r="E787" s="106"/>
      <c r="F787" s="118"/>
      <c r="G787" s="118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</row>
    <row r="788" spans="2:85" ht="14.25" customHeight="1">
      <c r="B788" s="106"/>
      <c r="C788" s="113"/>
      <c r="D788" s="113"/>
      <c r="E788" s="106"/>
      <c r="F788" s="118"/>
      <c r="G788" s="118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</row>
    <row r="789" spans="2:85" ht="14.25" customHeight="1">
      <c r="B789" s="106"/>
      <c r="C789" s="113"/>
      <c r="D789" s="113"/>
      <c r="E789" s="106"/>
      <c r="F789" s="118"/>
      <c r="G789" s="118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</row>
    <row r="790" spans="2:85" ht="14.25" customHeight="1">
      <c r="B790" s="106"/>
      <c r="C790" s="113"/>
      <c r="D790" s="113"/>
      <c r="E790" s="106"/>
      <c r="F790" s="118"/>
      <c r="G790" s="118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</row>
    <row r="791" spans="2:85" ht="14.25" customHeight="1">
      <c r="B791" s="106"/>
      <c r="C791" s="113"/>
      <c r="D791" s="113"/>
      <c r="E791" s="106"/>
      <c r="F791" s="118"/>
      <c r="G791" s="118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</row>
    <row r="792" spans="2:85" ht="14.25" customHeight="1">
      <c r="B792" s="106"/>
      <c r="C792" s="113"/>
      <c r="D792" s="113"/>
      <c r="E792" s="106"/>
      <c r="F792" s="118"/>
      <c r="G792" s="118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</row>
    <row r="793" spans="2:85" ht="14.25" customHeight="1">
      <c r="B793" s="106"/>
      <c r="C793" s="113"/>
      <c r="D793" s="113"/>
      <c r="E793" s="106"/>
      <c r="F793" s="118"/>
      <c r="G793" s="118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</row>
    <row r="794" spans="2:85" ht="14.25" customHeight="1">
      <c r="B794" s="106"/>
      <c r="C794" s="113"/>
      <c r="D794" s="113"/>
      <c r="E794" s="106"/>
      <c r="F794" s="118"/>
      <c r="G794" s="118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</row>
    <row r="795" spans="2:85" ht="14.25" customHeight="1">
      <c r="B795" s="106"/>
      <c r="C795" s="113"/>
      <c r="D795" s="113"/>
      <c r="E795" s="106"/>
      <c r="F795" s="118"/>
      <c r="G795" s="118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</row>
    <row r="796" spans="2:85" ht="14.25" customHeight="1">
      <c r="B796" s="106"/>
      <c r="C796" s="113"/>
      <c r="D796" s="113"/>
      <c r="E796" s="106"/>
      <c r="F796" s="118"/>
      <c r="G796" s="118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</row>
    <row r="797" spans="2:85" ht="14.25" customHeight="1">
      <c r="B797" s="106"/>
      <c r="C797" s="113"/>
      <c r="D797" s="113"/>
      <c r="E797" s="106"/>
      <c r="F797" s="118"/>
      <c r="G797" s="118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</row>
    <row r="798" spans="2:85" ht="14.25" customHeight="1">
      <c r="B798" s="106"/>
      <c r="C798" s="113"/>
      <c r="D798" s="113"/>
      <c r="E798" s="106"/>
      <c r="F798" s="118"/>
      <c r="G798" s="118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</row>
    <row r="799" spans="2:85" ht="14.25" customHeight="1">
      <c r="B799" s="106"/>
      <c r="C799" s="113"/>
      <c r="D799" s="113"/>
      <c r="E799" s="106"/>
      <c r="F799" s="118"/>
      <c r="G799" s="118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</row>
    <row r="800" spans="2:85" ht="14.25" customHeight="1">
      <c r="B800" s="106"/>
      <c r="C800" s="113"/>
      <c r="D800" s="113"/>
      <c r="E800" s="106"/>
      <c r="F800" s="118"/>
      <c r="G800" s="118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</row>
    <row r="801" spans="2:85" ht="14.25" customHeight="1">
      <c r="B801" s="106"/>
      <c r="C801" s="113"/>
      <c r="D801" s="113"/>
      <c r="E801" s="106"/>
      <c r="F801" s="118"/>
      <c r="G801" s="118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</row>
    <row r="802" spans="2:85" ht="14.25" customHeight="1">
      <c r="B802" s="106"/>
      <c r="C802" s="113"/>
      <c r="D802" s="113"/>
      <c r="E802" s="106"/>
      <c r="F802" s="118"/>
      <c r="G802" s="118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</row>
    <row r="803" spans="2:85" ht="14.25" customHeight="1">
      <c r="B803" s="106"/>
      <c r="C803" s="113"/>
      <c r="D803" s="113"/>
      <c r="E803" s="106"/>
      <c r="F803" s="118"/>
      <c r="G803" s="118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</row>
    <row r="804" spans="2:85" ht="14.25" customHeight="1">
      <c r="B804" s="106"/>
      <c r="C804" s="113"/>
      <c r="D804" s="113"/>
      <c r="E804" s="106"/>
      <c r="F804" s="118"/>
      <c r="G804" s="118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</row>
    <row r="805" spans="2:85" ht="14.25" customHeight="1">
      <c r="B805" s="106"/>
      <c r="C805" s="113"/>
      <c r="D805" s="113"/>
      <c r="E805" s="106"/>
      <c r="F805" s="118"/>
      <c r="G805" s="118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</row>
    <row r="806" spans="2:85" ht="14.25" customHeight="1">
      <c r="B806" s="106"/>
      <c r="C806" s="113"/>
      <c r="D806" s="113"/>
      <c r="E806" s="106"/>
      <c r="F806" s="118"/>
      <c r="G806" s="118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</row>
    <row r="807" spans="2:85" ht="14.25" customHeight="1">
      <c r="B807" s="106"/>
      <c r="C807" s="113"/>
      <c r="D807" s="113"/>
      <c r="E807" s="106"/>
      <c r="F807" s="118"/>
      <c r="G807" s="118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</row>
    <row r="808" spans="2:85" ht="14.25" customHeight="1">
      <c r="B808" s="106"/>
      <c r="C808" s="113"/>
      <c r="D808" s="113"/>
      <c r="E808" s="106"/>
      <c r="F808" s="118"/>
      <c r="G808" s="118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</row>
    <row r="809" spans="2:85" ht="14.25" customHeight="1">
      <c r="B809" s="106"/>
      <c r="C809" s="113"/>
      <c r="D809" s="113"/>
      <c r="E809" s="106"/>
      <c r="F809" s="118"/>
      <c r="G809" s="118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</row>
    <row r="810" spans="2:85" ht="14.25" customHeight="1">
      <c r="B810" s="106"/>
      <c r="C810" s="113"/>
      <c r="D810" s="113"/>
      <c r="E810" s="106"/>
      <c r="F810" s="118"/>
      <c r="G810" s="118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</row>
    <row r="811" spans="2:85" ht="14.25" customHeight="1">
      <c r="B811" s="106"/>
      <c r="C811" s="113"/>
      <c r="D811" s="113"/>
      <c r="E811" s="106"/>
      <c r="F811" s="118"/>
      <c r="G811" s="118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</row>
    <row r="812" spans="2:85" ht="14.25" customHeight="1">
      <c r="B812" s="106"/>
      <c r="C812" s="113"/>
      <c r="D812" s="113"/>
      <c r="E812" s="106"/>
      <c r="F812" s="118"/>
      <c r="G812" s="118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</row>
    <row r="813" spans="2:85" ht="14.25" customHeight="1">
      <c r="B813" s="106"/>
      <c r="C813" s="113"/>
      <c r="D813" s="113"/>
      <c r="E813" s="106"/>
      <c r="F813" s="118"/>
      <c r="G813" s="118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</row>
    <row r="814" spans="2:85" ht="14.25" customHeight="1">
      <c r="B814" s="106"/>
      <c r="C814" s="113"/>
      <c r="D814" s="113"/>
      <c r="E814" s="106"/>
      <c r="F814" s="118"/>
      <c r="G814" s="118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</row>
    <row r="815" spans="2:85" ht="14.25" customHeight="1">
      <c r="B815" s="106"/>
      <c r="C815" s="113"/>
      <c r="D815" s="113"/>
      <c r="E815" s="106"/>
      <c r="F815" s="118"/>
      <c r="G815" s="118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</row>
    <row r="816" spans="2:85" ht="14.25" customHeight="1">
      <c r="B816" s="106"/>
      <c r="C816" s="113"/>
      <c r="D816" s="113"/>
      <c r="E816" s="106"/>
      <c r="F816" s="118"/>
      <c r="G816" s="118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</row>
    <row r="817" spans="2:85" ht="14.25" customHeight="1">
      <c r="B817" s="106"/>
      <c r="C817" s="113"/>
      <c r="D817" s="113"/>
      <c r="E817" s="106"/>
      <c r="F817" s="118"/>
      <c r="G817" s="118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</row>
    <row r="818" spans="2:85" ht="14.25" customHeight="1">
      <c r="B818" s="106"/>
      <c r="C818" s="113"/>
      <c r="D818" s="113"/>
      <c r="E818" s="106"/>
      <c r="F818" s="118"/>
      <c r="G818" s="118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</row>
    <row r="819" spans="2:85" ht="14.25" customHeight="1">
      <c r="B819" s="106"/>
      <c r="C819" s="113"/>
      <c r="D819" s="113"/>
      <c r="E819" s="106"/>
      <c r="F819" s="118"/>
      <c r="G819" s="118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</row>
    <row r="820" spans="2:85" ht="14.25" customHeight="1">
      <c r="B820" s="106"/>
      <c r="C820" s="113"/>
      <c r="D820" s="113"/>
      <c r="E820" s="106"/>
      <c r="F820" s="118"/>
      <c r="G820" s="118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</row>
    <row r="821" spans="2:85" ht="14.25" customHeight="1">
      <c r="B821" s="106"/>
      <c r="C821" s="113"/>
      <c r="D821" s="113"/>
      <c r="E821" s="106"/>
      <c r="F821" s="118"/>
      <c r="G821" s="118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</row>
    <row r="822" spans="2:85" ht="14.25" customHeight="1">
      <c r="B822" s="106"/>
      <c r="C822" s="113"/>
      <c r="D822" s="113"/>
      <c r="E822" s="106"/>
      <c r="F822" s="118"/>
      <c r="G822" s="118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</row>
    <row r="823" spans="2:85" ht="14.25" customHeight="1">
      <c r="B823" s="106"/>
      <c r="C823" s="113"/>
      <c r="D823" s="113"/>
      <c r="E823" s="106"/>
      <c r="F823" s="118"/>
      <c r="G823" s="118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</row>
    <row r="824" spans="2:85" ht="14.25" customHeight="1">
      <c r="B824" s="106"/>
      <c r="C824" s="113"/>
      <c r="D824" s="113"/>
      <c r="E824" s="106"/>
      <c r="F824" s="118"/>
      <c r="G824" s="118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</row>
    <row r="825" spans="2:85" ht="14.25" customHeight="1">
      <c r="B825" s="106"/>
      <c r="C825" s="113"/>
      <c r="D825" s="113"/>
      <c r="E825" s="106"/>
      <c r="F825" s="118"/>
      <c r="G825" s="118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</row>
    <row r="826" spans="2:85" ht="14.25" customHeight="1">
      <c r="B826" s="106"/>
      <c r="C826" s="113"/>
      <c r="D826" s="113"/>
      <c r="E826" s="106"/>
      <c r="F826" s="118"/>
      <c r="G826" s="118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</row>
    <row r="827" spans="2:85" ht="14.25" customHeight="1">
      <c r="B827" s="106"/>
      <c r="C827" s="113"/>
      <c r="D827" s="113"/>
      <c r="E827" s="106"/>
      <c r="F827" s="118"/>
      <c r="G827" s="118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</row>
    <row r="828" spans="2:85" ht="14.25" customHeight="1">
      <c r="B828" s="106"/>
      <c r="C828" s="113"/>
      <c r="D828" s="113"/>
      <c r="E828" s="106"/>
      <c r="F828" s="118"/>
      <c r="G828" s="118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</row>
    <row r="829" spans="2:85" ht="14.25" customHeight="1">
      <c r="B829" s="106"/>
      <c r="C829" s="113"/>
      <c r="D829" s="113"/>
      <c r="E829" s="106"/>
      <c r="F829" s="118"/>
      <c r="G829" s="118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</row>
    <row r="830" spans="2:85" ht="14.25" customHeight="1">
      <c r="B830" s="106"/>
      <c r="C830" s="113"/>
      <c r="D830" s="113"/>
      <c r="E830" s="106"/>
      <c r="F830" s="118"/>
      <c r="G830" s="118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</row>
    <row r="831" spans="2:85" ht="14.25" customHeight="1">
      <c r="B831" s="106"/>
      <c r="C831" s="113"/>
      <c r="D831" s="113"/>
      <c r="E831" s="106"/>
      <c r="F831" s="118"/>
      <c r="G831" s="118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</row>
    <row r="832" spans="2:85" ht="14.25" customHeight="1">
      <c r="B832" s="106"/>
      <c r="C832" s="113"/>
      <c r="D832" s="113"/>
      <c r="E832" s="106"/>
      <c r="F832" s="118"/>
      <c r="G832" s="118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</row>
    <row r="833" spans="2:85" ht="14.25" customHeight="1">
      <c r="B833" s="106"/>
      <c r="C833" s="113"/>
      <c r="D833" s="113"/>
      <c r="E833" s="106"/>
      <c r="F833" s="118"/>
      <c r="G833" s="118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</row>
    <row r="834" spans="2:85" ht="14.25" customHeight="1">
      <c r="B834" s="106"/>
      <c r="C834" s="113"/>
      <c r="D834" s="113"/>
      <c r="E834" s="106"/>
      <c r="F834" s="118"/>
      <c r="G834" s="118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</row>
    <row r="835" spans="2:85" ht="14.25" customHeight="1">
      <c r="B835" s="106"/>
      <c r="C835" s="113"/>
      <c r="D835" s="113"/>
      <c r="E835" s="106"/>
      <c r="F835" s="118"/>
      <c r="G835" s="118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</row>
    <row r="836" spans="2:85" ht="14.25" customHeight="1">
      <c r="B836" s="106"/>
      <c r="C836" s="113"/>
      <c r="D836" s="113"/>
      <c r="E836" s="106"/>
      <c r="F836" s="118"/>
      <c r="G836" s="118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</row>
    <row r="837" spans="2:85" ht="14.25" customHeight="1">
      <c r="B837" s="106"/>
      <c r="C837" s="113"/>
      <c r="D837" s="113"/>
      <c r="E837" s="106"/>
      <c r="F837" s="118"/>
      <c r="G837" s="118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</row>
    <row r="838" spans="2:85" ht="14.25" customHeight="1">
      <c r="B838" s="106"/>
      <c r="C838" s="113"/>
      <c r="D838" s="113"/>
      <c r="E838" s="106"/>
      <c r="F838" s="118"/>
      <c r="G838" s="118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</row>
    <row r="839" spans="2:85" ht="14.25" customHeight="1">
      <c r="B839" s="106"/>
      <c r="C839" s="113"/>
      <c r="D839" s="113"/>
      <c r="E839" s="106"/>
      <c r="F839" s="118"/>
      <c r="G839" s="118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</row>
    <row r="840" spans="2:85" ht="14.25" customHeight="1">
      <c r="B840" s="106"/>
      <c r="C840" s="113"/>
      <c r="D840" s="113"/>
      <c r="E840" s="106"/>
      <c r="F840" s="118"/>
      <c r="G840" s="118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</row>
    <row r="841" spans="2:85" ht="14.25" customHeight="1">
      <c r="B841" s="106"/>
      <c r="C841" s="113"/>
      <c r="D841" s="113"/>
      <c r="E841" s="106"/>
      <c r="F841" s="118"/>
      <c r="G841" s="118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</row>
    <row r="842" spans="2:85" ht="14.25" customHeight="1">
      <c r="B842" s="106"/>
      <c r="C842" s="113"/>
      <c r="D842" s="113"/>
      <c r="E842" s="106"/>
      <c r="F842" s="118"/>
      <c r="G842" s="118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</row>
    <row r="843" spans="2:85" ht="14.25" customHeight="1">
      <c r="B843" s="106"/>
      <c r="C843" s="113"/>
      <c r="D843" s="113"/>
      <c r="E843" s="106"/>
      <c r="F843" s="118"/>
      <c r="G843" s="118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</row>
    <row r="844" spans="2:85" ht="14.25" customHeight="1">
      <c r="B844" s="106"/>
      <c r="C844" s="113"/>
      <c r="D844" s="113"/>
      <c r="E844" s="106"/>
      <c r="F844" s="118"/>
      <c r="G844" s="118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</row>
    <row r="845" spans="2:85" ht="14.25" customHeight="1">
      <c r="B845" s="106"/>
      <c r="C845" s="113"/>
      <c r="D845" s="113"/>
      <c r="E845" s="106"/>
      <c r="F845" s="118"/>
      <c r="G845" s="118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</row>
    <row r="846" spans="2:85" ht="14.25" customHeight="1">
      <c r="B846" s="106"/>
      <c r="C846" s="113"/>
      <c r="D846" s="113"/>
      <c r="E846" s="106"/>
      <c r="F846" s="118"/>
      <c r="G846" s="118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</row>
    <row r="847" spans="2:85" ht="14.25" customHeight="1">
      <c r="B847" s="106"/>
      <c r="C847" s="113"/>
      <c r="D847" s="113"/>
      <c r="E847" s="106"/>
      <c r="F847" s="118"/>
      <c r="G847" s="118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</row>
    <row r="848" spans="2:85" ht="14.25" customHeight="1">
      <c r="B848" s="106"/>
      <c r="C848" s="113"/>
      <c r="D848" s="113"/>
      <c r="E848" s="106"/>
      <c r="F848" s="118"/>
      <c r="G848" s="118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</row>
    <row r="849" spans="2:85" ht="14.25" customHeight="1">
      <c r="B849" s="106"/>
      <c r="C849" s="113"/>
      <c r="D849" s="113"/>
      <c r="E849" s="106"/>
      <c r="F849" s="118"/>
      <c r="G849" s="118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</row>
    <row r="850" spans="2:85" ht="14.25" customHeight="1">
      <c r="B850" s="106"/>
      <c r="C850" s="113"/>
      <c r="D850" s="113"/>
      <c r="E850" s="106"/>
      <c r="F850" s="118"/>
      <c r="G850" s="118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</row>
    <row r="851" spans="2:85" ht="14.25" customHeight="1">
      <c r="B851" s="106"/>
      <c r="C851" s="113"/>
      <c r="D851" s="113"/>
      <c r="E851" s="106"/>
      <c r="F851" s="118"/>
      <c r="G851" s="118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</row>
    <row r="852" spans="2:85" ht="14.25" customHeight="1">
      <c r="B852" s="106"/>
      <c r="C852" s="113"/>
      <c r="D852" s="113"/>
      <c r="E852" s="106"/>
      <c r="F852" s="118"/>
      <c r="G852" s="118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</row>
    <row r="853" spans="2:85" ht="14.25" customHeight="1">
      <c r="B853" s="106"/>
      <c r="C853" s="113"/>
      <c r="D853" s="113"/>
      <c r="E853" s="106"/>
      <c r="F853" s="118"/>
      <c r="G853" s="118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</row>
    <row r="854" spans="2:85" ht="14.25" customHeight="1">
      <c r="B854" s="106"/>
      <c r="C854" s="113"/>
      <c r="D854" s="113"/>
      <c r="E854" s="106"/>
      <c r="F854" s="118"/>
      <c r="G854" s="118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</row>
    <row r="855" spans="2:85" ht="14.25" customHeight="1">
      <c r="B855" s="106"/>
      <c r="C855" s="113"/>
      <c r="D855" s="113"/>
      <c r="E855" s="106"/>
      <c r="F855" s="118"/>
      <c r="G855" s="118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</row>
    <row r="856" spans="2:85" ht="14.25" customHeight="1">
      <c r="B856" s="106"/>
      <c r="C856" s="113"/>
      <c r="D856" s="113"/>
      <c r="E856" s="106"/>
      <c r="F856" s="118"/>
      <c r="G856" s="118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</row>
    <row r="857" spans="2:85" ht="14.25" customHeight="1">
      <c r="B857" s="106"/>
      <c r="C857" s="113"/>
      <c r="D857" s="113"/>
      <c r="E857" s="106"/>
      <c r="F857" s="118"/>
      <c r="G857" s="118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</row>
    <row r="858" spans="2:85" ht="14.25" customHeight="1">
      <c r="B858" s="106"/>
      <c r="C858" s="113"/>
      <c r="D858" s="113"/>
      <c r="E858" s="106"/>
      <c r="F858" s="118"/>
      <c r="G858" s="118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</row>
    <row r="859" spans="2:85" ht="14.25" customHeight="1">
      <c r="B859" s="106"/>
      <c r="C859" s="113"/>
      <c r="D859" s="113"/>
      <c r="E859" s="106"/>
      <c r="F859" s="118"/>
      <c r="G859" s="118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</row>
    <row r="860" spans="2:85" ht="14.25" customHeight="1">
      <c r="B860" s="106"/>
      <c r="C860" s="113"/>
      <c r="D860" s="113"/>
      <c r="E860" s="106"/>
      <c r="F860" s="118"/>
      <c r="G860" s="118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</row>
    <row r="861" spans="2:85" ht="14.25" customHeight="1">
      <c r="B861" s="106"/>
      <c r="C861" s="113"/>
      <c r="D861" s="113"/>
      <c r="E861" s="106"/>
      <c r="F861" s="118"/>
      <c r="G861" s="118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</row>
    <row r="862" spans="2:85" ht="14.25" customHeight="1">
      <c r="B862" s="106"/>
      <c r="C862" s="113"/>
      <c r="D862" s="113"/>
      <c r="E862" s="106"/>
      <c r="F862" s="118"/>
      <c r="G862" s="118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</row>
    <row r="863" spans="2:85" ht="14.25" customHeight="1">
      <c r="B863" s="106"/>
      <c r="C863" s="113"/>
      <c r="D863" s="113"/>
      <c r="E863" s="106"/>
      <c r="F863" s="118"/>
      <c r="G863" s="118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</row>
    <row r="864" spans="2:85" ht="14.25" customHeight="1">
      <c r="B864" s="106"/>
      <c r="C864" s="113"/>
      <c r="D864" s="113"/>
      <c r="E864" s="106"/>
      <c r="F864" s="118"/>
      <c r="G864" s="118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</row>
    <row r="865" spans="2:85" ht="14.25" customHeight="1">
      <c r="B865" s="106"/>
      <c r="C865" s="113"/>
      <c r="D865" s="113"/>
      <c r="E865" s="106"/>
      <c r="F865" s="118"/>
      <c r="G865" s="118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</row>
    <row r="866" spans="2:85" ht="14.25" customHeight="1">
      <c r="B866" s="106"/>
      <c r="C866" s="113"/>
      <c r="D866" s="113"/>
      <c r="E866" s="106"/>
      <c r="F866" s="118"/>
      <c r="G866" s="118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</row>
    <row r="867" spans="2:85" ht="14.25" customHeight="1">
      <c r="B867" s="106"/>
      <c r="C867" s="113"/>
      <c r="D867" s="113"/>
      <c r="E867" s="106"/>
      <c r="F867" s="118"/>
      <c r="G867" s="118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</row>
    <row r="868" spans="2:85" ht="14.25" customHeight="1">
      <c r="B868" s="106"/>
      <c r="C868" s="113"/>
      <c r="D868" s="113"/>
      <c r="E868" s="106"/>
      <c r="F868" s="118"/>
      <c r="G868" s="118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</row>
    <row r="869" spans="2:85" ht="14.25" customHeight="1">
      <c r="B869" s="106"/>
      <c r="C869" s="113"/>
      <c r="D869" s="113"/>
      <c r="E869" s="106"/>
      <c r="F869" s="118"/>
      <c r="G869" s="118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</row>
    <row r="870" spans="2:85" ht="14.25" customHeight="1">
      <c r="B870" s="106"/>
      <c r="C870" s="113"/>
      <c r="D870" s="113"/>
      <c r="E870" s="106"/>
      <c r="F870" s="118"/>
      <c r="G870" s="118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</row>
    <row r="871" spans="2:85" ht="14.25" customHeight="1">
      <c r="B871" s="106"/>
      <c r="C871" s="113"/>
      <c r="D871" s="113"/>
      <c r="E871" s="106"/>
      <c r="F871" s="118"/>
      <c r="G871" s="118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</row>
    <row r="872" spans="2:85" ht="14.25" customHeight="1">
      <c r="B872" s="106"/>
      <c r="C872" s="113"/>
      <c r="D872" s="113"/>
      <c r="E872" s="106"/>
      <c r="F872" s="118"/>
      <c r="G872" s="118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</row>
    <row r="873" spans="2:85" ht="14.25" customHeight="1">
      <c r="B873" s="106"/>
      <c r="C873" s="113"/>
      <c r="D873" s="113"/>
      <c r="E873" s="106"/>
      <c r="F873" s="118"/>
      <c r="G873" s="118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</row>
    <row r="874" spans="2:85" ht="14.25" customHeight="1">
      <c r="B874" s="106"/>
      <c r="C874" s="113"/>
      <c r="D874" s="113"/>
      <c r="E874" s="106"/>
      <c r="F874" s="118"/>
      <c r="G874" s="118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</row>
    <row r="875" spans="2:85" ht="14.25" customHeight="1">
      <c r="B875" s="106"/>
      <c r="C875" s="113"/>
      <c r="D875" s="113"/>
      <c r="E875" s="106"/>
      <c r="F875" s="118"/>
      <c r="G875" s="118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</row>
    <row r="876" spans="2:85" ht="14.25" customHeight="1">
      <c r="B876" s="106"/>
      <c r="C876" s="113"/>
      <c r="D876" s="113"/>
      <c r="E876" s="106"/>
      <c r="F876" s="118"/>
      <c r="G876" s="118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</row>
    <row r="877" spans="2:85" ht="14.25" customHeight="1">
      <c r="B877" s="106"/>
      <c r="C877" s="113"/>
      <c r="D877" s="113"/>
      <c r="E877" s="106"/>
      <c r="F877" s="118"/>
      <c r="G877" s="118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</row>
    <row r="878" spans="2:85" ht="14.25" customHeight="1">
      <c r="B878" s="106"/>
      <c r="C878" s="113"/>
      <c r="D878" s="113"/>
      <c r="E878" s="106"/>
      <c r="F878" s="118"/>
      <c r="G878" s="118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</row>
    <row r="879" spans="2:85" ht="14.25" customHeight="1">
      <c r="B879" s="106"/>
      <c r="C879" s="113"/>
      <c r="D879" s="113"/>
      <c r="E879" s="106"/>
      <c r="F879" s="118"/>
      <c r="G879" s="118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</row>
    <row r="880" spans="2:85" ht="14.25" customHeight="1">
      <c r="B880" s="106"/>
      <c r="C880" s="113"/>
      <c r="D880" s="113"/>
      <c r="E880" s="106"/>
      <c r="F880" s="118"/>
      <c r="G880" s="118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</row>
    <row r="881" spans="2:85" ht="14.25" customHeight="1">
      <c r="B881" s="106"/>
      <c r="C881" s="113"/>
      <c r="D881" s="113"/>
      <c r="E881" s="106"/>
      <c r="F881" s="118"/>
      <c r="G881" s="118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</row>
    <row r="882" spans="2:85" ht="14.25" customHeight="1">
      <c r="B882" s="106"/>
      <c r="C882" s="113"/>
      <c r="D882" s="113"/>
      <c r="E882" s="106"/>
      <c r="F882" s="118"/>
      <c r="G882" s="118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</row>
    <row r="883" spans="2:85" ht="14.25" customHeight="1">
      <c r="B883" s="106"/>
      <c r="C883" s="113"/>
      <c r="D883" s="113"/>
      <c r="E883" s="106"/>
      <c r="F883" s="118"/>
      <c r="G883" s="118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</row>
    <row r="884" spans="2:85" ht="14.25" customHeight="1">
      <c r="B884" s="106"/>
      <c r="C884" s="113"/>
      <c r="D884" s="113"/>
      <c r="E884" s="106"/>
      <c r="F884" s="118"/>
      <c r="G884" s="118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</row>
    <row r="885" spans="2:85" ht="14.25" customHeight="1">
      <c r="B885" s="106"/>
      <c r="C885" s="113"/>
      <c r="D885" s="113"/>
      <c r="E885" s="106"/>
      <c r="F885" s="118"/>
      <c r="G885" s="118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</row>
    <row r="886" spans="2:85" ht="14.25" customHeight="1">
      <c r="B886" s="106"/>
      <c r="C886" s="113"/>
      <c r="D886" s="113"/>
      <c r="E886" s="106"/>
      <c r="F886" s="118"/>
      <c r="G886" s="118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</row>
    <row r="887" spans="2:85" ht="14.25" customHeight="1">
      <c r="B887" s="106"/>
      <c r="C887" s="113"/>
      <c r="D887" s="113"/>
      <c r="E887" s="106"/>
      <c r="F887" s="118"/>
      <c r="G887" s="118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</row>
    <row r="888" spans="2:85" ht="14.25" customHeight="1">
      <c r="B888" s="106"/>
      <c r="C888" s="113"/>
      <c r="D888" s="113"/>
      <c r="E888" s="106"/>
      <c r="F888" s="118"/>
      <c r="G888" s="118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</row>
    <row r="889" spans="2:85" ht="14.25" customHeight="1">
      <c r="B889" s="106"/>
      <c r="C889" s="113"/>
      <c r="D889" s="113"/>
      <c r="E889" s="106"/>
      <c r="F889" s="118"/>
      <c r="G889" s="118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</row>
    <row r="890" spans="2:85" ht="14.25" customHeight="1">
      <c r="B890" s="106"/>
      <c r="C890" s="113"/>
      <c r="D890" s="113"/>
      <c r="E890" s="106"/>
      <c r="F890" s="118"/>
      <c r="G890" s="118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</row>
    <row r="891" spans="2:85" ht="14.25" customHeight="1">
      <c r="B891" s="106"/>
      <c r="C891" s="113"/>
      <c r="D891" s="113"/>
      <c r="E891" s="106"/>
      <c r="F891" s="118"/>
      <c r="G891" s="118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</row>
    <row r="892" spans="2:85" ht="14.25" customHeight="1">
      <c r="B892" s="106"/>
      <c r="C892" s="113"/>
      <c r="D892" s="113"/>
      <c r="E892" s="106"/>
      <c r="F892" s="118"/>
      <c r="G892" s="118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</row>
    <row r="893" spans="2:85" ht="14.25" customHeight="1">
      <c r="B893" s="106"/>
      <c r="C893" s="113"/>
      <c r="D893" s="113"/>
      <c r="E893" s="106"/>
      <c r="F893" s="118"/>
      <c r="G893" s="118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</row>
    <row r="894" spans="2:85" ht="14.25" customHeight="1">
      <c r="B894" s="106"/>
      <c r="C894" s="113"/>
      <c r="D894" s="113"/>
      <c r="E894" s="106"/>
      <c r="F894" s="118"/>
      <c r="G894" s="118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</row>
    <row r="895" spans="2:85" ht="14.25" customHeight="1">
      <c r="B895" s="106"/>
      <c r="C895" s="113"/>
      <c r="D895" s="113"/>
      <c r="E895" s="106"/>
      <c r="F895" s="118"/>
      <c r="G895" s="118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</row>
    <row r="896" spans="2:85" ht="14.25" customHeight="1">
      <c r="B896" s="106"/>
      <c r="C896" s="113"/>
      <c r="D896" s="113"/>
      <c r="E896" s="106"/>
      <c r="F896" s="118"/>
      <c r="G896" s="118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</row>
    <row r="897" spans="2:85" ht="14.25" customHeight="1">
      <c r="B897" s="106"/>
      <c r="C897" s="113"/>
      <c r="D897" s="113"/>
      <c r="E897" s="106"/>
      <c r="F897" s="118"/>
      <c r="G897" s="118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</row>
    <row r="898" spans="2:85" ht="14.25" customHeight="1">
      <c r="B898" s="106"/>
      <c r="C898" s="113"/>
      <c r="D898" s="113"/>
      <c r="E898" s="106"/>
      <c r="F898" s="118"/>
      <c r="G898" s="118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</row>
    <row r="899" spans="2:85" ht="14.25" customHeight="1">
      <c r="B899" s="106"/>
      <c r="C899" s="113"/>
      <c r="D899" s="113"/>
      <c r="E899" s="106"/>
      <c r="F899" s="118"/>
      <c r="G899" s="118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</row>
    <row r="900" spans="2:85" ht="14.25" customHeight="1">
      <c r="B900" s="106"/>
      <c r="C900" s="113"/>
      <c r="D900" s="113"/>
      <c r="E900" s="106"/>
      <c r="F900" s="118"/>
      <c r="G900" s="118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</row>
    <row r="901" spans="2:85" ht="14.25" customHeight="1">
      <c r="B901" s="106"/>
      <c r="C901" s="113"/>
      <c r="D901" s="113"/>
      <c r="E901" s="106"/>
      <c r="F901" s="118"/>
      <c r="G901" s="118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</row>
    <row r="902" spans="2:85" ht="14.25" customHeight="1">
      <c r="B902" s="106"/>
      <c r="C902" s="113"/>
      <c r="D902" s="113"/>
      <c r="E902" s="106"/>
      <c r="F902" s="118"/>
      <c r="G902" s="118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</row>
    <row r="903" spans="2:85" ht="14.25" customHeight="1">
      <c r="B903" s="106"/>
      <c r="C903" s="113"/>
      <c r="D903" s="113"/>
      <c r="E903" s="106"/>
      <c r="F903" s="118"/>
      <c r="G903" s="118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</row>
    <row r="904" spans="2:85" ht="14.25" customHeight="1">
      <c r="B904" s="106"/>
      <c r="C904" s="113"/>
      <c r="D904" s="113"/>
      <c r="E904" s="106"/>
      <c r="F904" s="118"/>
      <c r="G904" s="118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</row>
    <row r="905" spans="2:85" ht="14.25" customHeight="1">
      <c r="B905" s="106"/>
      <c r="C905" s="113"/>
      <c r="D905" s="113"/>
      <c r="E905" s="106"/>
      <c r="F905" s="118"/>
      <c r="G905" s="118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</row>
    <row r="906" spans="2:85" ht="14.25" customHeight="1">
      <c r="B906" s="106"/>
      <c r="C906" s="113"/>
      <c r="D906" s="113"/>
      <c r="E906" s="106"/>
      <c r="F906" s="118"/>
      <c r="G906" s="118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</row>
    <row r="907" spans="2:85" ht="14.25" customHeight="1">
      <c r="B907" s="106"/>
      <c r="C907" s="113"/>
      <c r="D907" s="113"/>
      <c r="E907" s="106"/>
      <c r="F907" s="118"/>
      <c r="G907" s="118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</row>
    <row r="908" spans="2:85" ht="14.25" customHeight="1">
      <c r="B908" s="106"/>
      <c r="C908" s="113"/>
      <c r="D908" s="113"/>
      <c r="E908" s="106"/>
      <c r="F908" s="118"/>
      <c r="G908" s="118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</row>
    <row r="909" spans="2:85" ht="14.25" customHeight="1">
      <c r="B909" s="106"/>
      <c r="C909" s="113"/>
      <c r="D909" s="113"/>
      <c r="E909" s="106"/>
      <c r="F909" s="118"/>
      <c r="G909" s="118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</row>
    <row r="910" spans="2:85" ht="14.25" customHeight="1">
      <c r="B910" s="106"/>
      <c r="C910" s="113"/>
      <c r="D910" s="113"/>
      <c r="E910" s="106"/>
      <c r="F910" s="118"/>
      <c r="G910" s="118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</row>
    <row r="911" spans="2:85" ht="14.25" customHeight="1">
      <c r="B911" s="106"/>
      <c r="C911" s="113"/>
      <c r="D911" s="113"/>
      <c r="E911" s="106"/>
      <c r="F911" s="118"/>
      <c r="G911" s="118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</row>
    <row r="912" spans="2:85" ht="14.25" customHeight="1">
      <c r="B912" s="106"/>
      <c r="C912" s="113"/>
      <c r="D912" s="113"/>
      <c r="E912" s="106"/>
      <c r="F912" s="118"/>
      <c r="G912" s="118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</row>
    <row r="913" spans="2:85" ht="14.25" customHeight="1">
      <c r="B913" s="106"/>
      <c r="C913" s="113"/>
      <c r="D913" s="113"/>
      <c r="E913" s="106"/>
      <c r="F913" s="118"/>
      <c r="G913" s="118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</row>
    <row r="914" spans="2:85" ht="14.25" customHeight="1">
      <c r="B914" s="106"/>
      <c r="C914" s="113"/>
      <c r="D914" s="113"/>
      <c r="E914" s="106"/>
      <c r="F914" s="118"/>
      <c r="G914" s="118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</row>
    <row r="915" spans="2:85" ht="14.25" customHeight="1">
      <c r="B915" s="106"/>
      <c r="C915" s="113"/>
      <c r="D915" s="113"/>
      <c r="E915" s="106"/>
      <c r="F915" s="118"/>
      <c r="G915" s="118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</row>
    <row r="916" spans="2:85" ht="14.25" customHeight="1">
      <c r="B916" s="106"/>
      <c r="C916" s="113"/>
      <c r="D916" s="113"/>
      <c r="E916" s="106"/>
      <c r="F916" s="118"/>
      <c r="G916" s="118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</row>
    <row r="917" spans="2:85" ht="14.25" customHeight="1">
      <c r="B917" s="106"/>
      <c r="C917" s="113"/>
      <c r="D917" s="113"/>
      <c r="E917" s="106"/>
      <c r="F917" s="118"/>
      <c r="G917" s="118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</row>
    <row r="918" spans="2:85" ht="14.25" customHeight="1">
      <c r="B918" s="106"/>
      <c r="C918" s="113"/>
      <c r="D918" s="113"/>
      <c r="E918" s="106"/>
      <c r="F918" s="118"/>
      <c r="G918" s="118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</row>
    <row r="919" spans="2:85" ht="14.25" customHeight="1">
      <c r="B919" s="106"/>
      <c r="C919" s="113"/>
      <c r="D919" s="113"/>
      <c r="E919" s="106"/>
      <c r="F919" s="118"/>
      <c r="G919" s="118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</row>
    <row r="920" spans="2:85" ht="14.25" customHeight="1">
      <c r="B920" s="106"/>
      <c r="C920" s="113"/>
      <c r="D920" s="113"/>
      <c r="E920" s="106"/>
      <c r="F920" s="118"/>
      <c r="G920" s="118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</row>
    <row r="921" spans="2:85" ht="14.25" customHeight="1">
      <c r="B921" s="106"/>
      <c r="C921" s="113"/>
      <c r="D921" s="113"/>
      <c r="E921" s="106"/>
      <c r="F921" s="118"/>
      <c r="G921" s="118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</row>
    <row r="922" spans="2:85" ht="14.25" customHeight="1">
      <c r="B922" s="106"/>
      <c r="C922" s="113"/>
      <c r="D922" s="113"/>
      <c r="E922" s="106"/>
      <c r="F922" s="118"/>
      <c r="G922" s="118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</row>
    <row r="923" spans="2:85" ht="14.25" customHeight="1">
      <c r="B923" s="106"/>
      <c r="C923" s="113"/>
      <c r="D923" s="113"/>
      <c r="E923" s="106"/>
      <c r="F923" s="118"/>
      <c r="G923" s="118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</row>
    <row r="924" spans="2:85" ht="14.25" customHeight="1">
      <c r="B924" s="106"/>
      <c r="C924" s="113"/>
      <c r="D924" s="113"/>
      <c r="E924" s="106"/>
      <c r="F924" s="118"/>
      <c r="G924" s="118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</row>
    <row r="925" spans="2:85" ht="14.25" customHeight="1">
      <c r="B925" s="106"/>
      <c r="C925" s="113"/>
      <c r="D925" s="113"/>
      <c r="E925" s="106"/>
      <c r="F925" s="118"/>
      <c r="G925" s="118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</row>
    <row r="926" spans="2:85" ht="14.25" customHeight="1">
      <c r="B926" s="106"/>
      <c r="C926" s="113"/>
      <c r="D926" s="113"/>
      <c r="E926" s="106"/>
      <c r="F926" s="118"/>
      <c r="G926" s="118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</row>
    <row r="927" spans="2:85" ht="14.25" customHeight="1">
      <c r="B927" s="106"/>
      <c r="C927" s="113"/>
      <c r="D927" s="113"/>
      <c r="E927" s="106"/>
      <c r="F927" s="118"/>
      <c r="G927" s="118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</row>
    <row r="928" spans="2:85" ht="14.25" customHeight="1">
      <c r="B928" s="106"/>
      <c r="C928" s="113"/>
      <c r="D928" s="113"/>
      <c r="E928" s="106"/>
      <c r="F928" s="118"/>
      <c r="G928" s="118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</row>
    <row r="929" spans="2:85" ht="14.25" customHeight="1">
      <c r="B929" s="106"/>
      <c r="C929" s="113"/>
      <c r="D929" s="113"/>
      <c r="E929" s="106"/>
      <c r="F929" s="118"/>
      <c r="G929" s="118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</row>
    <row r="930" spans="2:85" ht="14.25" customHeight="1">
      <c r="B930" s="106"/>
      <c r="C930" s="113"/>
      <c r="D930" s="113"/>
      <c r="E930" s="106"/>
      <c r="F930" s="118"/>
      <c r="G930" s="118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</row>
    <row r="931" spans="2:85" ht="14.25" customHeight="1">
      <c r="B931" s="106"/>
      <c r="C931" s="113"/>
      <c r="D931" s="113"/>
      <c r="E931" s="106"/>
      <c r="F931" s="118"/>
      <c r="G931" s="118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</row>
    <row r="932" spans="2:85" ht="14.25" customHeight="1">
      <c r="B932" s="106"/>
      <c r="C932" s="113"/>
      <c r="D932" s="113"/>
      <c r="E932" s="106"/>
      <c r="F932" s="118"/>
      <c r="G932" s="118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</row>
    <row r="933" spans="2:85" ht="14.25" customHeight="1">
      <c r="B933" s="106"/>
      <c r="C933" s="113"/>
      <c r="D933" s="113"/>
      <c r="E933" s="106"/>
      <c r="F933" s="118"/>
      <c r="G933" s="118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</row>
    <row r="934" spans="2:85" ht="14.25" customHeight="1">
      <c r="B934" s="106"/>
      <c r="C934" s="113"/>
      <c r="D934" s="113"/>
      <c r="E934" s="106"/>
      <c r="F934" s="118"/>
      <c r="G934" s="118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</row>
    <row r="935" spans="2:85" ht="14.25" customHeight="1">
      <c r="B935" s="106"/>
      <c r="C935" s="113"/>
      <c r="D935" s="113"/>
      <c r="E935" s="106"/>
      <c r="F935" s="118"/>
      <c r="G935" s="118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</row>
    <row r="936" spans="2:85" ht="14.25" customHeight="1">
      <c r="B936" s="106"/>
      <c r="C936" s="113"/>
      <c r="D936" s="113"/>
      <c r="E936" s="106"/>
      <c r="F936" s="118"/>
      <c r="G936" s="118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</row>
    <row r="937" spans="2:85" ht="14.25" customHeight="1">
      <c r="B937" s="106"/>
      <c r="C937" s="113"/>
      <c r="D937" s="113"/>
      <c r="E937" s="106"/>
      <c r="F937" s="118"/>
      <c r="G937" s="118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</row>
    <row r="938" spans="2:85" ht="14.25" customHeight="1">
      <c r="B938" s="106"/>
      <c r="C938" s="113"/>
      <c r="D938" s="113"/>
      <c r="E938" s="106"/>
      <c r="F938" s="118"/>
      <c r="G938" s="118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</row>
    <row r="939" spans="2:85" ht="14.25" customHeight="1">
      <c r="B939" s="106"/>
      <c r="C939" s="113"/>
      <c r="D939" s="113"/>
      <c r="E939" s="106"/>
      <c r="F939" s="118"/>
      <c r="G939" s="118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</row>
    <row r="940" spans="2:85" ht="14.25" customHeight="1">
      <c r="B940" s="106"/>
      <c r="C940" s="113"/>
      <c r="D940" s="113"/>
      <c r="E940" s="106"/>
      <c r="F940" s="118"/>
      <c r="G940" s="118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</row>
    <row r="941" spans="2:85" ht="14.25" customHeight="1">
      <c r="B941" s="106"/>
      <c r="C941" s="113"/>
      <c r="D941" s="113"/>
      <c r="E941" s="106"/>
      <c r="F941" s="118"/>
      <c r="G941" s="118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</row>
    <row r="942" spans="2:85" ht="14.25" customHeight="1">
      <c r="B942" s="106"/>
      <c r="C942" s="113"/>
      <c r="D942" s="113"/>
      <c r="E942" s="106"/>
      <c r="F942" s="118"/>
      <c r="G942" s="118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</row>
    <row r="943" spans="2:85" ht="14.25" customHeight="1">
      <c r="B943" s="106"/>
      <c r="C943" s="113"/>
      <c r="D943" s="113"/>
      <c r="E943" s="106"/>
      <c r="F943" s="118"/>
      <c r="G943" s="118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</row>
    <row r="944" spans="2:85" ht="14.25" customHeight="1">
      <c r="B944" s="106"/>
      <c r="C944" s="113"/>
      <c r="D944" s="113"/>
      <c r="E944" s="106"/>
      <c r="F944" s="118"/>
      <c r="G944" s="118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</row>
    <row r="945" spans="2:85" ht="14.25" customHeight="1">
      <c r="B945" s="106"/>
      <c r="C945" s="113"/>
      <c r="D945" s="113"/>
      <c r="E945" s="106"/>
      <c r="F945" s="118"/>
      <c r="G945" s="118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</row>
    <row r="946" spans="2:85" ht="14.25" customHeight="1">
      <c r="B946" s="106"/>
      <c r="C946" s="113"/>
      <c r="D946" s="113"/>
      <c r="E946" s="106"/>
      <c r="F946" s="118"/>
      <c r="G946" s="118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</row>
    <row r="947" spans="2:85" ht="14.25" customHeight="1">
      <c r="B947" s="106"/>
      <c r="C947" s="113"/>
      <c r="D947" s="113"/>
      <c r="E947" s="106"/>
      <c r="F947" s="118"/>
      <c r="G947" s="118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</row>
    <row r="948" spans="2:85" ht="14.25" customHeight="1">
      <c r="B948" s="106"/>
      <c r="C948" s="113"/>
      <c r="D948" s="113"/>
      <c r="E948" s="106"/>
      <c r="F948" s="118"/>
      <c r="G948" s="118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</row>
    <row r="949" spans="2:85" ht="14.25" customHeight="1">
      <c r="B949" s="106"/>
      <c r="C949" s="113"/>
      <c r="D949" s="113"/>
      <c r="E949" s="106"/>
      <c r="F949" s="118"/>
      <c r="G949" s="118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</row>
    <row r="950" spans="2:85" ht="14.25" customHeight="1">
      <c r="B950" s="106"/>
      <c r="C950" s="113"/>
      <c r="D950" s="113"/>
      <c r="E950" s="106"/>
      <c r="F950" s="118"/>
      <c r="G950" s="118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</row>
    <row r="951" spans="2:85" ht="14.25" customHeight="1">
      <c r="B951" s="106"/>
      <c r="C951" s="113"/>
      <c r="D951" s="113"/>
      <c r="E951" s="106"/>
      <c r="F951" s="118"/>
      <c r="G951" s="118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</row>
    <row r="952" spans="2:85" ht="14.25" customHeight="1">
      <c r="B952" s="106"/>
      <c r="C952" s="113"/>
      <c r="D952" s="113"/>
      <c r="E952" s="106"/>
      <c r="F952" s="118"/>
      <c r="G952" s="118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</row>
    <row r="953" spans="2:85" ht="14.25" customHeight="1">
      <c r="B953" s="106"/>
      <c r="C953" s="113"/>
      <c r="D953" s="113"/>
      <c r="E953" s="106"/>
      <c r="F953" s="118"/>
      <c r="G953" s="118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</row>
    <row r="954" spans="2:85" ht="14.25" customHeight="1">
      <c r="B954" s="106"/>
      <c r="C954" s="113"/>
      <c r="D954" s="113"/>
      <c r="E954" s="106"/>
      <c r="F954" s="118"/>
      <c r="G954" s="118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</row>
    <row r="955" spans="2:85" ht="14.25" customHeight="1">
      <c r="B955" s="106"/>
      <c r="C955" s="113"/>
      <c r="D955" s="113"/>
      <c r="E955" s="106"/>
      <c r="F955" s="118"/>
      <c r="G955" s="118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</row>
    <row r="956" spans="2:85" ht="14.25" customHeight="1">
      <c r="B956" s="106"/>
      <c r="C956" s="113"/>
      <c r="D956" s="113"/>
      <c r="E956" s="106"/>
      <c r="F956" s="118"/>
      <c r="G956" s="118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</row>
    <row r="957" spans="2:85" ht="14.25" customHeight="1">
      <c r="B957" s="106"/>
      <c r="C957" s="113"/>
      <c r="D957" s="113"/>
      <c r="E957" s="106"/>
      <c r="F957" s="118"/>
      <c r="G957" s="118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</row>
    <row r="958" spans="2:85" ht="14.25" customHeight="1">
      <c r="B958" s="106"/>
      <c r="C958" s="113"/>
      <c r="D958" s="113"/>
      <c r="E958" s="106"/>
      <c r="F958" s="118"/>
      <c r="G958" s="118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</row>
    <row r="959" spans="2:85" ht="14.25" customHeight="1">
      <c r="B959" s="106"/>
      <c r="C959" s="113"/>
      <c r="D959" s="113"/>
      <c r="E959" s="106"/>
      <c r="F959" s="118"/>
      <c r="G959" s="118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</row>
    <row r="960" spans="2:85" ht="14.25" customHeight="1">
      <c r="B960" s="106"/>
      <c r="C960" s="113"/>
      <c r="D960" s="113"/>
      <c r="E960" s="106"/>
      <c r="F960" s="118"/>
      <c r="G960" s="118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</row>
    <row r="961" spans="2:85" ht="14.25" customHeight="1">
      <c r="B961" s="106"/>
      <c r="C961" s="113"/>
      <c r="D961" s="113"/>
      <c r="E961" s="106"/>
      <c r="F961" s="118"/>
      <c r="G961" s="118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</row>
    <row r="962" spans="2:85" ht="14.25" customHeight="1">
      <c r="B962" s="106"/>
      <c r="C962" s="113"/>
      <c r="D962" s="113"/>
      <c r="E962" s="106"/>
      <c r="F962" s="118"/>
      <c r="G962" s="118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</row>
    <row r="963" spans="2:85" ht="14.25" customHeight="1">
      <c r="B963" s="106"/>
      <c r="C963" s="113"/>
      <c r="D963" s="113"/>
      <c r="E963" s="106"/>
      <c r="F963" s="118"/>
      <c r="G963" s="118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</row>
    <row r="964" spans="2:85" ht="14.25" customHeight="1">
      <c r="B964" s="106"/>
      <c r="C964" s="113"/>
      <c r="D964" s="113"/>
      <c r="E964" s="106"/>
      <c r="F964" s="118"/>
      <c r="G964" s="118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</row>
    <row r="965" spans="2:85" ht="14.25" customHeight="1">
      <c r="B965" s="106"/>
      <c r="C965" s="113"/>
      <c r="D965" s="113"/>
      <c r="E965" s="106"/>
      <c r="F965" s="118"/>
      <c r="G965" s="118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</row>
    <row r="966" spans="2:85" ht="14.25" customHeight="1">
      <c r="B966" s="106"/>
      <c r="C966" s="113"/>
      <c r="D966" s="113"/>
      <c r="E966" s="106"/>
      <c r="F966" s="118"/>
      <c r="G966" s="118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</row>
    <row r="967" spans="2:85" ht="14.25" customHeight="1">
      <c r="B967" s="106"/>
      <c r="C967" s="113"/>
      <c r="D967" s="113"/>
      <c r="E967" s="106"/>
      <c r="F967" s="118"/>
      <c r="G967" s="118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</row>
    <row r="968" spans="2:85" ht="14.25" customHeight="1">
      <c r="B968" s="106"/>
      <c r="C968" s="113"/>
      <c r="D968" s="113"/>
      <c r="E968" s="106"/>
      <c r="F968" s="118"/>
      <c r="G968" s="118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</row>
    <row r="969" spans="2:85" ht="14.25" customHeight="1">
      <c r="B969" s="106"/>
      <c r="C969" s="113"/>
      <c r="D969" s="113"/>
      <c r="E969" s="106"/>
      <c r="F969" s="118"/>
      <c r="G969" s="118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</row>
    <row r="970" spans="2:85" ht="14.25" customHeight="1">
      <c r="B970" s="106"/>
      <c r="C970" s="113"/>
      <c r="D970" s="113"/>
      <c r="E970" s="106"/>
      <c r="F970" s="118"/>
      <c r="G970" s="118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</row>
    <row r="971" spans="2:85" ht="14.25" customHeight="1">
      <c r="B971" s="106"/>
      <c r="C971" s="113"/>
      <c r="D971" s="113"/>
      <c r="E971" s="106"/>
      <c r="F971" s="118"/>
      <c r="G971" s="118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</row>
    <row r="972" spans="2:85" ht="14.25" customHeight="1">
      <c r="B972" s="106"/>
      <c r="C972" s="113"/>
      <c r="D972" s="113"/>
      <c r="E972" s="106"/>
      <c r="F972" s="118"/>
      <c r="G972" s="118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</row>
    <row r="973" spans="2:85" ht="14.25" customHeight="1">
      <c r="B973" s="106"/>
      <c r="C973" s="113"/>
      <c r="D973" s="113"/>
      <c r="E973" s="106"/>
      <c r="F973" s="118"/>
      <c r="G973" s="118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</row>
    <row r="974" spans="2:85" ht="14.25" customHeight="1">
      <c r="B974" s="106"/>
      <c r="C974" s="113"/>
      <c r="D974" s="113"/>
      <c r="E974" s="106"/>
      <c r="F974" s="118"/>
      <c r="G974" s="118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</row>
    <row r="975" spans="2:85" ht="14.25" customHeight="1">
      <c r="B975" s="106"/>
      <c r="C975" s="113"/>
      <c r="D975" s="113"/>
      <c r="E975" s="106"/>
      <c r="F975" s="118"/>
      <c r="G975" s="118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</row>
    <row r="976" spans="2:85" ht="14.25" customHeight="1">
      <c r="B976" s="106"/>
      <c r="C976" s="113"/>
      <c r="D976" s="113"/>
      <c r="E976" s="106"/>
      <c r="F976" s="118"/>
      <c r="G976" s="118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</row>
    <row r="977" spans="2:85" ht="14.25" customHeight="1">
      <c r="B977" s="106"/>
      <c r="C977" s="113"/>
      <c r="D977" s="113"/>
      <c r="E977" s="106"/>
      <c r="F977" s="118"/>
      <c r="G977" s="118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</row>
    <row r="978" spans="2:85" ht="14.25" customHeight="1">
      <c r="B978" s="106"/>
      <c r="C978" s="113"/>
      <c r="D978" s="113"/>
      <c r="E978" s="106"/>
      <c r="F978" s="118"/>
      <c r="G978" s="118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</row>
    <row r="979" spans="2:85" ht="14.25" customHeight="1">
      <c r="B979" s="106"/>
      <c r="C979" s="113"/>
      <c r="D979" s="113"/>
      <c r="E979" s="106"/>
      <c r="F979" s="118"/>
      <c r="G979" s="118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</row>
    <row r="980" spans="2:85" ht="14.25" customHeight="1">
      <c r="B980" s="106"/>
      <c r="C980" s="113"/>
      <c r="D980" s="113"/>
      <c r="E980" s="106"/>
      <c r="F980" s="118"/>
      <c r="G980" s="118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</row>
    <row r="981" spans="2:85" ht="14.25" customHeight="1">
      <c r="B981" s="106"/>
      <c r="C981" s="113"/>
      <c r="D981" s="113"/>
      <c r="E981" s="106"/>
      <c r="F981" s="118"/>
      <c r="G981" s="118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</row>
    <row r="982" spans="2:85" ht="14.25" customHeight="1">
      <c r="B982" s="106"/>
      <c r="C982" s="113"/>
      <c r="D982" s="113"/>
      <c r="E982" s="106"/>
      <c r="F982" s="118"/>
      <c r="G982" s="118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</row>
    <row r="983" spans="2:85" ht="14.25" customHeight="1">
      <c r="B983" s="106"/>
      <c r="C983" s="113"/>
      <c r="D983" s="113"/>
      <c r="E983" s="106"/>
      <c r="F983" s="118"/>
      <c r="G983" s="118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</row>
    <row r="984" spans="2:85" ht="14.25" customHeight="1">
      <c r="B984" s="106"/>
      <c r="C984" s="113"/>
      <c r="D984" s="113"/>
      <c r="E984" s="106"/>
      <c r="F984" s="118"/>
      <c r="G984" s="118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</row>
    <row r="985" spans="2:85" ht="14.25" customHeight="1">
      <c r="B985" s="106"/>
      <c r="C985" s="113"/>
      <c r="D985" s="113"/>
      <c r="E985" s="106"/>
      <c r="F985" s="118"/>
      <c r="G985" s="118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</row>
    <row r="986" spans="2:85" ht="14.25" customHeight="1">
      <c r="B986" s="106"/>
      <c r="C986" s="113"/>
      <c r="D986" s="113"/>
      <c r="E986" s="106"/>
      <c r="F986" s="118"/>
      <c r="G986" s="118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</row>
    <row r="987" spans="2:85" ht="14.25" customHeight="1">
      <c r="B987" s="106"/>
      <c r="C987" s="113"/>
      <c r="D987" s="113"/>
      <c r="E987" s="106"/>
      <c r="F987" s="118"/>
      <c r="G987" s="118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</row>
    <row r="988" spans="2:85" ht="14.25" customHeight="1">
      <c r="B988" s="106"/>
      <c r="C988" s="113"/>
      <c r="D988" s="113"/>
      <c r="E988" s="106"/>
      <c r="F988" s="118"/>
      <c r="G988" s="118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</row>
    <row r="989" spans="2:85" ht="14.25" customHeight="1">
      <c r="B989" s="106"/>
      <c r="C989" s="113"/>
      <c r="D989" s="113"/>
      <c r="E989" s="106"/>
      <c r="F989" s="118"/>
      <c r="G989" s="118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</row>
    <row r="990" spans="2:85" ht="14.25" customHeight="1">
      <c r="B990" s="106"/>
      <c r="C990" s="113"/>
      <c r="D990" s="113"/>
      <c r="E990" s="106"/>
      <c r="F990" s="118"/>
      <c r="G990" s="118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</row>
    <row r="991" spans="2:85" ht="14.25" customHeight="1">
      <c r="B991" s="106"/>
      <c r="C991" s="113"/>
      <c r="D991" s="113"/>
      <c r="E991" s="106"/>
      <c r="F991" s="118"/>
      <c r="G991" s="118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</row>
    <row r="992" spans="2:85" ht="14.25" customHeight="1">
      <c r="B992" s="106"/>
      <c r="C992" s="113"/>
      <c r="D992" s="113"/>
      <c r="E992" s="106"/>
      <c r="F992" s="118"/>
      <c r="G992" s="118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</row>
    <row r="993" spans="2:85" ht="14.25" customHeight="1">
      <c r="B993" s="106"/>
      <c r="C993" s="113"/>
      <c r="D993" s="113"/>
      <c r="E993" s="106"/>
      <c r="F993" s="118"/>
      <c r="G993" s="118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</row>
    <row r="994" spans="2:85" ht="14.25" customHeight="1">
      <c r="B994" s="106"/>
      <c r="C994" s="113"/>
      <c r="D994" s="113"/>
      <c r="E994" s="106"/>
      <c r="F994" s="118"/>
      <c r="G994" s="118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</row>
    <row r="995" spans="2:85" ht="14.25" customHeight="1">
      <c r="B995" s="106"/>
      <c r="C995" s="113"/>
      <c r="D995" s="113"/>
      <c r="E995" s="106"/>
      <c r="F995" s="118"/>
      <c r="G995" s="118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</row>
    <row r="996" spans="2:85" ht="14.25" customHeight="1">
      <c r="B996" s="106"/>
      <c r="C996" s="113"/>
      <c r="D996" s="113"/>
      <c r="E996" s="106"/>
      <c r="F996" s="118"/>
      <c r="G996" s="118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</row>
    <row r="997" spans="2:85" ht="14.25" customHeight="1">
      <c r="B997" s="106"/>
      <c r="C997" s="113"/>
      <c r="D997" s="113"/>
      <c r="E997" s="106"/>
      <c r="F997" s="118"/>
      <c r="G997" s="118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</row>
    <row r="998" spans="2:85" ht="14.25" customHeight="1">
      <c r="B998" s="106"/>
      <c r="C998" s="113"/>
      <c r="D998" s="113"/>
      <c r="E998" s="106"/>
      <c r="F998" s="118"/>
      <c r="G998" s="118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</row>
    <row r="999" spans="2:85" ht="14.25" customHeight="1">
      <c r="B999" s="106"/>
      <c r="C999" s="113"/>
      <c r="D999" s="113"/>
      <c r="E999" s="106"/>
      <c r="F999" s="118"/>
      <c r="G999" s="118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</row>
    <row r="1000" spans="2:85" ht="14.25" customHeight="1">
      <c r="B1000" s="106"/>
      <c r="C1000" s="113"/>
      <c r="D1000" s="113"/>
      <c r="E1000" s="106"/>
      <c r="F1000" s="118"/>
      <c r="G1000" s="118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 filterMode="1"/>
  <dimension ref="B1:I1000"/>
  <sheetViews>
    <sheetView workbookViewId="0"/>
  </sheetViews>
  <sheetFormatPr defaultColWidth="14.44140625" defaultRowHeight="15" customHeight="1"/>
  <cols>
    <col min="1" max="1" width="8.6640625" customWidth="1"/>
    <col min="2" max="2" width="11.109375" customWidth="1"/>
    <col min="3" max="3" width="8.6640625" customWidth="1"/>
    <col min="4" max="4" width="12.5546875" customWidth="1"/>
    <col min="5" max="6" width="8.6640625" customWidth="1"/>
    <col min="7" max="7" width="11.33203125" customWidth="1"/>
    <col min="8" max="26" width="8.6640625" customWidth="1"/>
  </cols>
  <sheetData>
    <row r="1" spans="2:7" ht="14.25" customHeight="1">
      <c r="B1" s="119"/>
      <c r="C1" s="120"/>
      <c r="D1" s="121" t="s">
        <v>3117</v>
      </c>
      <c r="E1" s="119"/>
      <c r="F1" s="119">
        <v>563</v>
      </c>
    </row>
    <row r="2" spans="2:7" ht="14.25" customHeight="1">
      <c r="B2" s="122" t="s">
        <v>3118</v>
      </c>
      <c r="C2" s="122" t="s">
        <v>3119</v>
      </c>
      <c r="D2" s="122" t="s">
        <v>143</v>
      </c>
      <c r="E2" s="122" t="s">
        <v>3120</v>
      </c>
      <c r="F2" s="122" t="s">
        <v>3121</v>
      </c>
      <c r="G2" s="122" t="s">
        <v>3122</v>
      </c>
    </row>
    <row r="3" spans="2:7" ht="14.25" customHeight="1">
      <c r="B3" s="123" t="s">
        <v>677</v>
      </c>
      <c r="C3" s="123">
        <v>1</v>
      </c>
      <c r="D3" s="123" t="s">
        <v>3123</v>
      </c>
      <c r="E3" s="123" t="s">
        <v>150</v>
      </c>
      <c r="F3" s="123">
        <v>1</v>
      </c>
      <c r="G3" s="5" t="s">
        <v>3124</v>
      </c>
    </row>
    <row r="4" spans="2:7" ht="14.25" customHeight="1">
      <c r="B4" s="123" t="s">
        <v>677</v>
      </c>
      <c r="C4" s="123">
        <v>2</v>
      </c>
      <c r="D4" s="123" t="s">
        <v>3123</v>
      </c>
      <c r="E4" s="123" t="s">
        <v>99</v>
      </c>
      <c r="F4" s="123">
        <v>1</v>
      </c>
      <c r="G4" s="5" t="s">
        <v>3124</v>
      </c>
    </row>
    <row r="5" spans="2:7" ht="14.25" customHeight="1">
      <c r="B5" s="123" t="s">
        <v>677</v>
      </c>
      <c r="C5" s="123">
        <v>3</v>
      </c>
      <c r="D5" s="123" t="s">
        <v>3123</v>
      </c>
      <c r="E5" s="123" t="s">
        <v>158</v>
      </c>
      <c r="F5" s="123">
        <v>1</v>
      </c>
      <c r="G5" s="5" t="s">
        <v>3124</v>
      </c>
    </row>
    <row r="6" spans="2:7" ht="14.25" customHeight="1">
      <c r="B6" s="123" t="s">
        <v>677</v>
      </c>
      <c r="C6" s="123">
        <v>4</v>
      </c>
      <c r="D6" s="123" t="s">
        <v>3125</v>
      </c>
      <c r="E6" s="123" t="s">
        <v>162</v>
      </c>
      <c r="F6" s="123">
        <v>1</v>
      </c>
      <c r="G6" s="5" t="s">
        <v>3124</v>
      </c>
    </row>
    <row r="7" spans="2:7" ht="14.25" customHeight="1">
      <c r="B7" s="123" t="s">
        <v>677</v>
      </c>
      <c r="C7" s="123">
        <v>5</v>
      </c>
      <c r="D7" s="123" t="s">
        <v>3125</v>
      </c>
      <c r="E7" s="123" t="s">
        <v>166</v>
      </c>
      <c r="F7" s="123">
        <v>1</v>
      </c>
      <c r="G7" s="5" t="s">
        <v>3124</v>
      </c>
    </row>
    <row r="8" spans="2:7" ht="14.25" customHeight="1">
      <c r="B8" s="123" t="s">
        <v>677</v>
      </c>
      <c r="C8" s="123">
        <v>6</v>
      </c>
      <c r="D8" s="123" t="s">
        <v>3125</v>
      </c>
      <c r="E8" s="123" t="s">
        <v>170</v>
      </c>
      <c r="F8" s="123">
        <v>1</v>
      </c>
      <c r="G8" s="5" t="s">
        <v>3124</v>
      </c>
    </row>
    <row r="9" spans="2:7" ht="14.25" customHeight="1">
      <c r="B9" s="123" t="s">
        <v>677</v>
      </c>
      <c r="C9" s="123">
        <v>7</v>
      </c>
      <c r="D9" s="123" t="s">
        <v>3126</v>
      </c>
      <c r="E9" s="123" t="s">
        <v>150</v>
      </c>
      <c r="F9" s="123">
        <v>1</v>
      </c>
      <c r="G9" s="5" t="s">
        <v>3124</v>
      </c>
    </row>
    <row r="10" spans="2:7" ht="14.25" customHeight="1">
      <c r="B10" s="123" t="s">
        <v>677</v>
      </c>
      <c r="C10" s="123">
        <v>8</v>
      </c>
      <c r="D10" s="123" t="s">
        <v>3126</v>
      </c>
      <c r="E10" s="123" t="s">
        <v>99</v>
      </c>
      <c r="F10" s="123">
        <v>1</v>
      </c>
      <c r="G10" s="5" t="s">
        <v>3124</v>
      </c>
    </row>
    <row r="11" spans="2:7" ht="14.25" customHeight="1">
      <c r="B11" s="123" t="s">
        <v>677</v>
      </c>
      <c r="C11" s="123">
        <v>9</v>
      </c>
      <c r="D11" s="123" t="s">
        <v>3126</v>
      </c>
      <c r="E11" s="123" t="s">
        <v>158</v>
      </c>
      <c r="F11" s="123">
        <v>1</v>
      </c>
      <c r="G11" s="5" t="s">
        <v>3124</v>
      </c>
    </row>
    <row r="12" spans="2:7" ht="14.25" customHeight="1">
      <c r="B12" s="123" t="s">
        <v>677</v>
      </c>
      <c r="C12" s="123">
        <v>10</v>
      </c>
      <c r="D12" s="123" t="s">
        <v>3127</v>
      </c>
      <c r="E12" s="123" t="s">
        <v>162</v>
      </c>
      <c r="F12" s="123">
        <v>1</v>
      </c>
      <c r="G12" s="5" t="s">
        <v>3124</v>
      </c>
    </row>
    <row r="13" spans="2:7" ht="14.25" customHeight="1">
      <c r="B13" s="123" t="s">
        <v>677</v>
      </c>
      <c r="C13" s="123">
        <v>11</v>
      </c>
      <c r="D13" s="123" t="s">
        <v>3127</v>
      </c>
      <c r="E13" s="123" t="s">
        <v>166</v>
      </c>
      <c r="F13" s="123">
        <v>1</v>
      </c>
      <c r="G13" s="5" t="s">
        <v>3124</v>
      </c>
    </row>
    <row r="14" spans="2:7" ht="14.25" customHeight="1">
      <c r="B14" s="123" t="s">
        <v>677</v>
      </c>
      <c r="C14" s="123">
        <v>12</v>
      </c>
      <c r="D14" s="123" t="s">
        <v>3127</v>
      </c>
      <c r="E14" s="123" t="s">
        <v>170</v>
      </c>
      <c r="F14" s="123">
        <v>1</v>
      </c>
      <c r="G14" s="5" t="s">
        <v>3124</v>
      </c>
    </row>
    <row r="15" spans="2:7" ht="14.25" customHeight="1">
      <c r="B15" s="123" t="s">
        <v>677</v>
      </c>
      <c r="C15" s="123">
        <v>13</v>
      </c>
      <c r="D15" s="123" t="s">
        <v>3128</v>
      </c>
      <c r="E15" s="123" t="s">
        <v>174</v>
      </c>
      <c r="F15" s="123">
        <v>1</v>
      </c>
      <c r="G15" s="5" t="s">
        <v>3124</v>
      </c>
    </row>
    <row r="16" spans="2:7" ht="14.25" customHeight="1">
      <c r="B16" s="123" t="s">
        <v>677</v>
      </c>
      <c r="C16" s="123">
        <v>14</v>
      </c>
      <c r="D16" s="123" t="s">
        <v>3128</v>
      </c>
      <c r="E16" s="123" t="s">
        <v>178</v>
      </c>
      <c r="F16" s="123">
        <v>1</v>
      </c>
      <c r="G16" s="5" t="s">
        <v>3124</v>
      </c>
    </row>
    <row r="17" spans="2:7" ht="14.25" customHeight="1">
      <c r="B17" s="123" t="s">
        <v>677</v>
      </c>
      <c r="C17" s="123">
        <v>15</v>
      </c>
      <c r="D17" s="123" t="s">
        <v>3128</v>
      </c>
      <c r="E17" s="123" t="s">
        <v>182</v>
      </c>
      <c r="F17" s="123">
        <v>1</v>
      </c>
      <c r="G17" s="5" t="s">
        <v>3124</v>
      </c>
    </row>
    <row r="18" spans="2:7" ht="14.25" customHeight="1">
      <c r="B18" s="123" t="s">
        <v>677</v>
      </c>
      <c r="C18" s="123">
        <v>16</v>
      </c>
      <c r="D18" s="123" t="s">
        <v>3129</v>
      </c>
      <c r="E18" s="123" t="s">
        <v>150</v>
      </c>
      <c r="F18" s="123">
        <v>1</v>
      </c>
      <c r="G18" s="5" t="s">
        <v>3124</v>
      </c>
    </row>
    <row r="19" spans="2:7" ht="14.25" customHeight="1">
      <c r="B19" s="123" t="s">
        <v>677</v>
      </c>
      <c r="C19" s="123">
        <v>17</v>
      </c>
      <c r="D19" s="123" t="s">
        <v>3129</v>
      </c>
      <c r="E19" s="123" t="s">
        <v>99</v>
      </c>
      <c r="F19" s="123">
        <v>1</v>
      </c>
      <c r="G19" s="5" t="s">
        <v>3124</v>
      </c>
    </row>
    <row r="20" spans="2:7" ht="14.25" customHeight="1">
      <c r="B20" s="123" t="s">
        <v>677</v>
      </c>
      <c r="C20" s="123">
        <v>18</v>
      </c>
      <c r="D20" s="123" t="s">
        <v>3129</v>
      </c>
      <c r="E20" s="123" t="s">
        <v>158</v>
      </c>
      <c r="F20" s="123">
        <v>1</v>
      </c>
      <c r="G20" s="5" t="s">
        <v>3124</v>
      </c>
    </row>
    <row r="21" spans="2:7" ht="14.25" customHeight="1">
      <c r="B21" s="123" t="s">
        <v>677</v>
      </c>
      <c r="C21" s="123">
        <v>19</v>
      </c>
      <c r="D21" s="123" t="s">
        <v>3130</v>
      </c>
      <c r="E21" s="123" t="s">
        <v>162</v>
      </c>
      <c r="F21" s="123">
        <v>1</v>
      </c>
      <c r="G21" s="5" t="s">
        <v>3124</v>
      </c>
    </row>
    <row r="22" spans="2:7" ht="14.25" customHeight="1">
      <c r="B22" s="123" t="s">
        <v>677</v>
      </c>
      <c r="C22" s="123">
        <v>20</v>
      </c>
      <c r="D22" s="123" t="s">
        <v>3130</v>
      </c>
      <c r="E22" s="123" t="s">
        <v>166</v>
      </c>
      <c r="F22" s="123">
        <v>1</v>
      </c>
      <c r="G22" s="5" t="s">
        <v>3124</v>
      </c>
    </row>
    <row r="23" spans="2:7" ht="14.25" customHeight="1">
      <c r="B23" s="123" t="s">
        <v>677</v>
      </c>
      <c r="C23" s="123">
        <v>21</v>
      </c>
      <c r="D23" s="123" t="s">
        <v>3130</v>
      </c>
      <c r="E23" s="123" t="s">
        <v>170</v>
      </c>
      <c r="F23" s="123">
        <v>1</v>
      </c>
      <c r="G23" s="5" t="s">
        <v>3124</v>
      </c>
    </row>
    <row r="24" spans="2:7" ht="14.25" customHeight="1">
      <c r="B24" s="123" t="s">
        <v>677</v>
      </c>
      <c r="C24" s="123">
        <v>22</v>
      </c>
      <c r="D24" s="123" t="s">
        <v>3131</v>
      </c>
      <c r="E24" s="123" t="s">
        <v>174</v>
      </c>
      <c r="F24" s="123">
        <v>1</v>
      </c>
      <c r="G24" s="5" t="s">
        <v>3124</v>
      </c>
    </row>
    <row r="25" spans="2:7" ht="14.25" customHeight="1">
      <c r="B25" s="123" t="s">
        <v>677</v>
      </c>
      <c r="C25" s="123">
        <v>23</v>
      </c>
      <c r="D25" s="123" t="s">
        <v>3131</v>
      </c>
      <c r="E25" s="123" t="s">
        <v>178</v>
      </c>
      <c r="F25" s="123">
        <v>1</v>
      </c>
      <c r="G25" s="5" t="s">
        <v>3124</v>
      </c>
    </row>
    <row r="26" spans="2:7" ht="14.25" customHeight="1">
      <c r="B26" s="123" t="s">
        <v>677</v>
      </c>
      <c r="C26" s="123">
        <v>24</v>
      </c>
      <c r="D26" s="123" t="s">
        <v>3131</v>
      </c>
      <c r="E26" s="123" t="s">
        <v>182</v>
      </c>
      <c r="F26" s="123">
        <v>1</v>
      </c>
      <c r="G26" s="5" t="s">
        <v>3124</v>
      </c>
    </row>
    <row r="27" spans="2:7" ht="14.25" customHeight="1">
      <c r="B27" s="123" t="s">
        <v>677</v>
      </c>
      <c r="C27" s="123">
        <v>25</v>
      </c>
      <c r="D27" s="123" t="s">
        <v>3132</v>
      </c>
      <c r="E27" s="123" t="s">
        <v>150</v>
      </c>
      <c r="F27" s="123">
        <v>1</v>
      </c>
      <c r="G27" s="5" t="s">
        <v>3124</v>
      </c>
    </row>
    <row r="28" spans="2:7" ht="14.25" customHeight="1">
      <c r="B28" s="123" t="s">
        <v>677</v>
      </c>
      <c r="C28" s="123">
        <v>26</v>
      </c>
      <c r="D28" s="123" t="s">
        <v>3132</v>
      </c>
      <c r="E28" s="123" t="s">
        <v>99</v>
      </c>
      <c r="F28" s="123">
        <v>1</v>
      </c>
      <c r="G28" s="5" t="s">
        <v>3124</v>
      </c>
    </row>
    <row r="29" spans="2:7" ht="14.25" customHeight="1">
      <c r="B29" s="123" t="s">
        <v>677</v>
      </c>
      <c r="C29" s="123">
        <v>27</v>
      </c>
      <c r="D29" s="123" t="s">
        <v>3132</v>
      </c>
      <c r="E29" s="123" t="s">
        <v>158</v>
      </c>
      <c r="F29" s="123">
        <v>1</v>
      </c>
      <c r="G29" s="5" t="s">
        <v>3124</v>
      </c>
    </row>
    <row r="30" spans="2:7" ht="14.25" customHeight="1">
      <c r="B30" s="123" t="s">
        <v>677</v>
      </c>
      <c r="C30" s="123">
        <v>28</v>
      </c>
      <c r="D30" s="123" t="s">
        <v>3133</v>
      </c>
      <c r="E30" s="123" t="s">
        <v>150</v>
      </c>
      <c r="F30" s="123">
        <v>1</v>
      </c>
      <c r="G30" s="5" t="s">
        <v>3124</v>
      </c>
    </row>
    <row r="31" spans="2:7" ht="14.25" customHeight="1">
      <c r="B31" s="123" t="s">
        <v>677</v>
      </c>
      <c r="C31" s="123">
        <v>29</v>
      </c>
      <c r="D31" s="123" t="s">
        <v>3133</v>
      </c>
      <c r="E31" s="123" t="s">
        <v>99</v>
      </c>
      <c r="F31" s="123">
        <v>1</v>
      </c>
      <c r="G31" s="5" t="s">
        <v>3124</v>
      </c>
    </row>
    <row r="32" spans="2:7" ht="14.25" customHeight="1">
      <c r="B32" s="123" t="s">
        <v>677</v>
      </c>
      <c r="C32" s="123">
        <v>30</v>
      </c>
      <c r="D32" s="123" t="s">
        <v>3133</v>
      </c>
      <c r="E32" s="123" t="s">
        <v>158</v>
      </c>
      <c r="F32" s="123">
        <v>1</v>
      </c>
      <c r="G32" s="5" t="s">
        <v>3124</v>
      </c>
    </row>
    <row r="33" spans="2:7" ht="14.25" customHeight="1">
      <c r="B33" s="123" t="s">
        <v>677</v>
      </c>
      <c r="C33" s="123">
        <v>31</v>
      </c>
      <c r="D33" s="123" t="s">
        <v>3134</v>
      </c>
      <c r="E33" s="123" t="s">
        <v>150</v>
      </c>
      <c r="F33" s="123">
        <v>1</v>
      </c>
      <c r="G33" s="5" t="s">
        <v>3124</v>
      </c>
    </row>
    <row r="34" spans="2:7" ht="14.25" customHeight="1">
      <c r="B34" s="123" t="s">
        <v>677</v>
      </c>
      <c r="C34" s="123">
        <v>32</v>
      </c>
      <c r="D34" s="123" t="s">
        <v>3134</v>
      </c>
      <c r="E34" s="123" t="s">
        <v>99</v>
      </c>
      <c r="F34" s="123">
        <v>1</v>
      </c>
      <c r="G34" s="5" t="s">
        <v>3124</v>
      </c>
    </row>
    <row r="35" spans="2:7" ht="14.25" customHeight="1">
      <c r="B35" s="123" t="s">
        <v>677</v>
      </c>
      <c r="C35" s="123">
        <v>33</v>
      </c>
      <c r="D35" s="123" t="s">
        <v>3134</v>
      </c>
      <c r="E35" s="123" t="s">
        <v>158</v>
      </c>
      <c r="F35" s="123">
        <v>1</v>
      </c>
      <c r="G35" s="5" t="s">
        <v>3124</v>
      </c>
    </row>
    <row r="36" spans="2:7" ht="14.25" customHeight="1">
      <c r="B36" s="123" t="s">
        <v>677</v>
      </c>
      <c r="C36" s="123">
        <v>34</v>
      </c>
      <c r="D36" s="123" t="s">
        <v>3135</v>
      </c>
      <c r="E36" s="123" t="s">
        <v>150</v>
      </c>
      <c r="F36" s="123">
        <v>1</v>
      </c>
      <c r="G36" s="5" t="s">
        <v>3124</v>
      </c>
    </row>
    <row r="37" spans="2:7" ht="14.25" customHeight="1">
      <c r="B37" s="123" t="s">
        <v>677</v>
      </c>
      <c r="C37" s="123">
        <v>35</v>
      </c>
      <c r="D37" s="123" t="s">
        <v>3135</v>
      </c>
      <c r="E37" s="123" t="s">
        <v>99</v>
      </c>
      <c r="F37" s="123">
        <v>1</v>
      </c>
      <c r="G37" s="5" t="s">
        <v>3124</v>
      </c>
    </row>
    <row r="38" spans="2:7" ht="14.25" customHeight="1">
      <c r="B38" s="123" t="s">
        <v>677</v>
      </c>
      <c r="C38" s="123">
        <v>36</v>
      </c>
      <c r="D38" s="123" t="s">
        <v>3135</v>
      </c>
      <c r="E38" s="123" t="s">
        <v>158</v>
      </c>
      <c r="F38" s="123">
        <v>1</v>
      </c>
      <c r="G38" s="5" t="s">
        <v>3124</v>
      </c>
    </row>
    <row r="39" spans="2:7" ht="14.25" customHeight="1">
      <c r="B39" s="123" t="s">
        <v>677</v>
      </c>
      <c r="C39" s="123">
        <v>37</v>
      </c>
      <c r="D39" s="123" t="s">
        <v>3136</v>
      </c>
      <c r="E39" s="123" t="s">
        <v>150</v>
      </c>
      <c r="F39" s="123">
        <v>1</v>
      </c>
      <c r="G39" s="5" t="s">
        <v>3124</v>
      </c>
    </row>
    <row r="40" spans="2:7" ht="14.25" customHeight="1">
      <c r="B40" s="123" t="s">
        <v>677</v>
      </c>
      <c r="C40" s="123">
        <v>38</v>
      </c>
      <c r="D40" s="123" t="s">
        <v>3136</v>
      </c>
      <c r="E40" s="123" t="s">
        <v>99</v>
      </c>
      <c r="F40" s="123">
        <v>1</v>
      </c>
      <c r="G40" s="5" t="s">
        <v>3124</v>
      </c>
    </row>
    <row r="41" spans="2:7" ht="14.25" customHeight="1">
      <c r="B41" s="123" t="s">
        <v>677</v>
      </c>
      <c r="C41" s="123">
        <v>39</v>
      </c>
      <c r="D41" s="123" t="s">
        <v>3137</v>
      </c>
      <c r="E41" s="123" t="s">
        <v>150</v>
      </c>
      <c r="F41" s="123">
        <v>1</v>
      </c>
      <c r="G41" s="5" t="s">
        <v>3124</v>
      </c>
    </row>
    <row r="42" spans="2:7" ht="14.25" customHeight="1">
      <c r="B42" s="123" t="s">
        <v>677</v>
      </c>
      <c r="C42" s="123">
        <v>40</v>
      </c>
      <c r="D42" s="123" t="s">
        <v>3138</v>
      </c>
      <c r="E42" s="123" t="s">
        <v>150</v>
      </c>
      <c r="F42" s="123">
        <v>1</v>
      </c>
      <c r="G42" s="5" t="s">
        <v>3124</v>
      </c>
    </row>
    <row r="43" spans="2:7" ht="14.25" customHeight="1">
      <c r="B43" s="123" t="s">
        <v>677</v>
      </c>
      <c r="C43" s="123">
        <v>41</v>
      </c>
      <c r="D43" s="123" t="s">
        <v>3138</v>
      </c>
      <c r="E43" s="123" t="s">
        <v>99</v>
      </c>
      <c r="F43" s="123">
        <v>1</v>
      </c>
      <c r="G43" s="5" t="s">
        <v>3124</v>
      </c>
    </row>
    <row r="44" spans="2:7" ht="14.25" customHeight="1">
      <c r="B44" s="123" t="s">
        <v>677</v>
      </c>
      <c r="C44" s="123">
        <v>42</v>
      </c>
      <c r="D44" s="123" t="s">
        <v>3138</v>
      </c>
      <c r="E44" s="123" t="s">
        <v>158</v>
      </c>
      <c r="F44" s="123">
        <v>1</v>
      </c>
      <c r="G44" s="5" t="s">
        <v>3124</v>
      </c>
    </row>
    <row r="45" spans="2:7" ht="14.25" customHeight="1">
      <c r="B45" s="123" t="s">
        <v>677</v>
      </c>
      <c r="C45" s="123">
        <v>43</v>
      </c>
      <c r="D45" s="123" t="s">
        <v>3139</v>
      </c>
      <c r="E45" s="123" t="s">
        <v>162</v>
      </c>
      <c r="F45" s="123">
        <v>1</v>
      </c>
      <c r="G45" s="5" t="s">
        <v>3124</v>
      </c>
    </row>
    <row r="46" spans="2:7" ht="14.25" customHeight="1">
      <c r="B46" s="123" t="s">
        <v>677</v>
      </c>
      <c r="C46" s="123">
        <v>44</v>
      </c>
      <c r="D46" s="123" t="s">
        <v>3139</v>
      </c>
      <c r="E46" s="123" t="s">
        <v>166</v>
      </c>
      <c r="F46" s="123">
        <v>1</v>
      </c>
      <c r="G46" s="5" t="s">
        <v>3124</v>
      </c>
    </row>
    <row r="47" spans="2:7" ht="14.25" customHeight="1">
      <c r="B47" s="123" t="s">
        <v>677</v>
      </c>
      <c r="C47" s="123">
        <v>45</v>
      </c>
      <c r="D47" s="123" t="s">
        <v>3139</v>
      </c>
      <c r="E47" s="123" t="s">
        <v>170</v>
      </c>
      <c r="F47" s="123">
        <v>1</v>
      </c>
      <c r="G47" s="5" t="s">
        <v>3124</v>
      </c>
    </row>
    <row r="48" spans="2:7" ht="14.25" hidden="1" customHeight="1">
      <c r="B48" s="123" t="s">
        <v>677</v>
      </c>
      <c r="C48" s="123"/>
      <c r="D48" s="123" t="s">
        <v>3140</v>
      </c>
      <c r="E48" s="123"/>
      <c r="F48" s="123"/>
      <c r="G48" s="5" t="s">
        <v>694</v>
      </c>
    </row>
    <row r="49" spans="2:7" ht="14.25" hidden="1" customHeight="1">
      <c r="B49" s="123" t="s">
        <v>677</v>
      </c>
      <c r="C49" s="123"/>
      <c r="D49" s="123" t="s">
        <v>3141</v>
      </c>
      <c r="E49" s="123"/>
      <c r="F49" s="123"/>
      <c r="G49" s="5" t="s">
        <v>694</v>
      </c>
    </row>
    <row r="50" spans="2:7" ht="14.25" hidden="1" customHeight="1">
      <c r="B50" s="123" t="s">
        <v>677</v>
      </c>
      <c r="C50" s="123"/>
      <c r="D50" s="123" t="s">
        <v>3142</v>
      </c>
      <c r="E50" s="123"/>
      <c r="F50" s="123"/>
      <c r="G50" s="5" t="s">
        <v>694</v>
      </c>
    </row>
    <row r="51" spans="2:7" ht="14.25" customHeight="1">
      <c r="B51" s="123" t="s">
        <v>677</v>
      </c>
      <c r="C51" s="123">
        <v>46</v>
      </c>
      <c r="D51" s="123" t="s">
        <v>3143</v>
      </c>
      <c r="E51" s="123" t="s">
        <v>150</v>
      </c>
      <c r="F51" s="123">
        <v>1</v>
      </c>
      <c r="G51" s="5" t="s">
        <v>3124</v>
      </c>
    </row>
    <row r="52" spans="2:7" ht="14.25" customHeight="1">
      <c r="B52" s="123" t="s">
        <v>677</v>
      </c>
      <c r="C52" s="123">
        <v>47</v>
      </c>
      <c r="D52" s="123" t="s">
        <v>3143</v>
      </c>
      <c r="E52" s="123" t="s">
        <v>99</v>
      </c>
      <c r="F52" s="123">
        <v>1</v>
      </c>
      <c r="G52" s="5" t="s">
        <v>3124</v>
      </c>
    </row>
    <row r="53" spans="2:7" ht="14.25" customHeight="1">
      <c r="B53" s="123" t="s">
        <v>677</v>
      </c>
      <c r="C53" s="123">
        <v>48</v>
      </c>
      <c r="D53" s="123" t="s">
        <v>3143</v>
      </c>
      <c r="E53" s="123" t="s">
        <v>158</v>
      </c>
      <c r="F53" s="123">
        <v>1</v>
      </c>
      <c r="G53" s="5" t="s">
        <v>3124</v>
      </c>
    </row>
    <row r="54" spans="2:7" ht="14.25" customHeight="1">
      <c r="B54" s="123" t="s">
        <v>677</v>
      </c>
      <c r="C54" s="123">
        <v>49</v>
      </c>
      <c r="D54" s="123" t="s">
        <v>3144</v>
      </c>
      <c r="E54" s="123" t="s">
        <v>150</v>
      </c>
      <c r="F54" s="123">
        <v>1</v>
      </c>
      <c r="G54" s="5" t="s">
        <v>3124</v>
      </c>
    </row>
    <row r="55" spans="2:7" ht="14.25" customHeight="1">
      <c r="B55" s="123" t="s">
        <v>677</v>
      </c>
      <c r="C55" s="123">
        <v>50</v>
      </c>
      <c r="D55" s="123" t="s">
        <v>3144</v>
      </c>
      <c r="E55" s="123" t="s">
        <v>99</v>
      </c>
      <c r="F55" s="123">
        <v>1</v>
      </c>
      <c r="G55" s="5" t="s">
        <v>3124</v>
      </c>
    </row>
    <row r="56" spans="2:7" ht="14.25" customHeight="1">
      <c r="B56" s="123" t="s">
        <v>677</v>
      </c>
      <c r="C56" s="123">
        <v>51</v>
      </c>
      <c r="D56" s="123" t="s">
        <v>3144</v>
      </c>
      <c r="E56" s="123" t="s">
        <v>158</v>
      </c>
      <c r="F56" s="123">
        <v>1</v>
      </c>
      <c r="G56" s="5" t="s">
        <v>3124</v>
      </c>
    </row>
    <row r="57" spans="2:7" ht="14.25" customHeight="1">
      <c r="B57" s="123" t="s">
        <v>677</v>
      </c>
      <c r="C57" s="123">
        <v>52</v>
      </c>
      <c r="D57" s="123" t="s">
        <v>3145</v>
      </c>
      <c r="E57" s="123" t="s">
        <v>150</v>
      </c>
      <c r="F57" s="123">
        <v>1</v>
      </c>
      <c r="G57" s="5" t="s">
        <v>3124</v>
      </c>
    </row>
    <row r="58" spans="2:7" ht="14.25" customHeight="1">
      <c r="B58" s="123" t="s">
        <v>677</v>
      </c>
      <c r="C58" s="123">
        <v>53</v>
      </c>
      <c r="D58" s="123" t="s">
        <v>3145</v>
      </c>
      <c r="E58" s="123" t="s">
        <v>99</v>
      </c>
      <c r="F58" s="123">
        <v>1</v>
      </c>
      <c r="G58" s="5" t="s">
        <v>3124</v>
      </c>
    </row>
    <row r="59" spans="2:7" ht="14.25" customHeight="1">
      <c r="B59" s="123" t="s">
        <v>677</v>
      </c>
      <c r="C59" s="123">
        <v>54</v>
      </c>
      <c r="D59" s="123" t="s">
        <v>3145</v>
      </c>
      <c r="E59" s="123" t="s">
        <v>158</v>
      </c>
      <c r="F59" s="123">
        <v>1</v>
      </c>
      <c r="G59" s="5" t="s">
        <v>3124</v>
      </c>
    </row>
    <row r="60" spans="2:7" ht="14.25" customHeight="1">
      <c r="B60" s="123" t="s">
        <v>677</v>
      </c>
      <c r="C60" s="123">
        <v>55</v>
      </c>
      <c r="D60" s="123" t="s">
        <v>3146</v>
      </c>
      <c r="E60" s="123" t="s">
        <v>150</v>
      </c>
      <c r="F60" s="123">
        <v>1</v>
      </c>
      <c r="G60" s="5" t="s">
        <v>3124</v>
      </c>
    </row>
    <row r="61" spans="2:7" ht="14.25" customHeight="1">
      <c r="B61" s="123" t="s">
        <v>677</v>
      </c>
      <c r="C61" s="123">
        <v>56</v>
      </c>
      <c r="D61" s="123" t="s">
        <v>3146</v>
      </c>
      <c r="E61" s="123" t="s">
        <v>99</v>
      </c>
      <c r="F61" s="123">
        <v>1</v>
      </c>
      <c r="G61" s="5" t="s">
        <v>3124</v>
      </c>
    </row>
    <row r="62" spans="2:7" ht="14.25" customHeight="1">
      <c r="B62" s="123" t="s">
        <v>677</v>
      </c>
      <c r="C62" s="123">
        <v>57</v>
      </c>
      <c r="D62" s="123" t="s">
        <v>3147</v>
      </c>
      <c r="E62" s="123" t="s">
        <v>150</v>
      </c>
      <c r="F62" s="123">
        <v>1</v>
      </c>
      <c r="G62" s="5" t="s">
        <v>3124</v>
      </c>
    </row>
    <row r="63" spans="2:7" ht="14.25" customHeight="1">
      <c r="B63" s="123" t="s">
        <v>677</v>
      </c>
      <c r="C63" s="123">
        <v>58</v>
      </c>
      <c r="D63" s="123" t="s">
        <v>3148</v>
      </c>
      <c r="E63" s="123" t="s">
        <v>150</v>
      </c>
      <c r="F63" s="123">
        <v>1</v>
      </c>
      <c r="G63" s="5" t="s">
        <v>3124</v>
      </c>
    </row>
    <row r="64" spans="2:7" ht="14.25" customHeight="1">
      <c r="B64" s="123" t="s">
        <v>677</v>
      </c>
      <c r="C64" s="123">
        <v>59</v>
      </c>
      <c r="D64" s="123" t="s">
        <v>3148</v>
      </c>
      <c r="E64" s="123" t="s">
        <v>99</v>
      </c>
      <c r="F64" s="123">
        <v>1</v>
      </c>
      <c r="G64" s="5" t="s">
        <v>3124</v>
      </c>
    </row>
    <row r="65" spans="2:7" ht="14.25" customHeight="1">
      <c r="B65" s="123" t="s">
        <v>677</v>
      </c>
      <c r="C65" s="123">
        <v>60</v>
      </c>
      <c r="D65" s="123" t="s">
        <v>3148</v>
      </c>
      <c r="E65" s="123" t="s">
        <v>158</v>
      </c>
      <c r="F65" s="123">
        <v>1</v>
      </c>
      <c r="G65" s="5" t="s">
        <v>3124</v>
      </c>
    </row>
    <row r="66" spans="2:7" ht="14.25" customHeight="1">
      <c r="B66" s="123" t="s">
        <v>677</v>
      </c>
      <c r="C66" s="123">
        <v>61</v>
      </c>
      <c r="D66" s="123" t="s">
        <v>3149</v>
      </c>
      <c r="E66" s="123" t="s">
        <v>162</v>
      </c>
      <c r="F66" s="123">
        <v>1</v>
      </c>
      <c r="G66" s="5" t="s">
        <v>3124</v>
      </c>
    </row>
    <row r="67" spans="2:7" ht="14.25" customHeight="1">
      <c r="B67" s="123" t="s">
        <v>677</v>
      </c>
      <c r="C67" s="123">
        <v>62</v>
      </c>
      <c r="D67" s="123" t="s">
        <v>3149</v>
      </c>
      <c r="E67" s="123" t="s">
        <v>166</v>
      </c>
      <c r="F67" s="123">
        <v>1</v>
      </c>
      <c r="G67" s="5" t="s">
        <v>3124</v>
      </c>
    </row>
    <row r="68" spans="2:7" ht="14.25" customHeight="1">
      <c r="B68" s="123" t="s">
        <v>677</v>
      </c>
      <c r="C68" s="123">
        <v>63</v>
      </c>
      <c r="D68" s="123" t="s">
        <v>3149</v>
      </c>
      <c r="E68" s="123" t="s">
        <v>170</v>
      </c>
      <c r="F68" s="123">
        <v>1</v>
      </c>
      <c r="G68" s="5" t="s">
        <v>3124</v>
      </c>
    </row>
    <row r="69" spans="2:7" ht="14.25" customHeight="1">
      <c r="B69" s="123" t="s">
        <v>677</v>
      </c>
      <c r="C69" s="123">
        <v>64</v>
      </c>
      <c r="D69" s="123" t="s">
        <v>3150</v>
      </c>
      <c r="E69" s="123" t="s">
        <v>174</v>
      </c>
      <c r="F69" s="123">
        <v>1</v>
      </c>
      <c r="G69" s="5" t="s">
        <v>3124</v>
      </c>
    </row>
    <row r="70" spans="2:7" ht="14.25" customHeight="1">
      <c r="B70" s="123" t="s">
        <v>677</v>
      </c>
      <c r="C70" s="123">
        <v>65</v>
      </c>
      <c r="D70" s="123" t="s">
        <v>3150</v>
      </c>
      <c r="E70" s="123" t="s">
        <v>178</v>
      </c>
      <c r="F70" s="123">
        <v>1</v>
      </c>
      <c r="G70" s="5" t="s">
        <v>3124</v>
      </c>
    </row>
    <row r="71" spans="2:7" ht="14.25" customHeight="1">
      <c r="B71" s="123" t="s">
        <v>677</v>
      </c>
      <c r="C71" s="123">
        <v>66</v>
      </c>
      <c r="D71" s="123" t="s">
        <v>3150</v>
      </c>
      <c r="E71" s="123" t="s">
        <v>182</v>
      </c>
      <c r="F71" s="123">
        <v>1</v>
      </c>
      <c r="G71" s="5" t="s">
        <v>3124</v>
      </c>
    </row>
    <row r="72" spans="2:7" ht="14.25" customHeight="1">
      <c r="B72" s="123" t="s">
        <v>677</v>
      </c>
      <c r="C72" s="123">
        <v>67</v>
      </c>
      <c r="D72" s="123" t="s">
        <v>3151</v>
      </c>
      <c r="E72" s="123" t="s">
        <v>150</v>
      </c>
      <c r="F72" s="123">
        <v>1</v>
      </c>
      <c r="G72" s="5" t="s">
        <v>3124</v>
      </c>
    </row>
    <row r="73" spans="2:7" ht="14.25" customHeight="1">
      <c r="B73" s="123" t="s">
        <v>677</v>
      </c>
      <c r="C73" s="123">
        <v>68</v>
      </c>
      <c r="D73" s="123" t="s">
        <v>3151</v>
      </c>
      <c r="E73" s="123" t="s">
        <v>99</v>
      </c>
      <c r="F73" s="123">
        <v>1</v>
      </c>
      <c r="G73" s="5" t="s">
        <v>3124</v>
      </c>
    </row>
    <row r="74" spans="2:7" ht="14.25" customHeight="1">
      <c r="B74" s="123" t="s">
        <v>677</v>
      </c>
      <c r="C74" s="123">
        <v>69</v>
      </c>
      <c r="D74" s="123" t="s">
        <v>3151</v>
      </c>
      <c r="E74" s="123" t="s">
        <v>158</v>
      </c>
      <c r="F74" s="123">
        <v>1</v>
      </c>
      <c r="G74" s="5" t="s">
        <v>3124</v>
      </c>
    </row>
    <row r="75" spans="2:7" ht="14.25" customHeight="1">
      <c r="B75" s="123" t="s">
        <v>677</v>
      </c>
      <c r="C75" s="123">
        <v>70</v>
      </c>
      <c r="D75" s="123" t="s">
        <v>3152</v>
      </c>
      <c r="E75" s="123" t="s">
        <v>162</v>
      </c>
      <c r="F75" s="123">
        <v>1</v>
      </c>
      <c r="G75" s="5" t="s">
        <v>3124</v>
      </c>
    </row>
    <row r="76" spans="2:7" ht="14.25" customHeight="1">
      <c r="B76" s="123" t="s">
        <v>677</v>
      </c>
      <c r="C76" s="123">
        <v>71</v>
      </c>
      <c r="D76" s="123" t="s">
        <v>3152</v>
      </c>
      <c r="E76" s="123" t="s">
        <v>166</v>
      </c>
      <c r="F76" s="123">
        <v>1</v>
      </c>
      <c r="G76" s="5" t="s">
        <v>3124</v>
      </c>
    </row>
    <row r="77" spans="2:7" ht="14.25" customHeight="1">
      <c r="B77" s="123" t="s">
        <v>677</v>
      </c>
      <c r="C77" s="123">
        <v>72</v>
      </c>
      <c r="D77" s="123" t="s">
        <v>3152</v>
      </c>
      <c r="E77" s="123" t="s">
        <v>170</v>
      </c>
      <c r="F77" s="123">
        <v>1</v>
      </c>
      <c r="G77" s="5" t="s">
        <v>3124</v>
      </c>
    </row>
    <row r="78" spans="2:7" ht="14.25" customHeight="1">
      <c r="B78" s="123" t="s">
        <v>677</v>
      </c>
      <c r="C78" s="123">
        <v>73</v>
      </c>
      <c r="D78" s="123" t="s">
        <v>3153</v>
      </c>
      <c r="E78" s="123" t="s">
        <v>174</v>
      </c>
      <c r="F78" s="123">
        <v>1</v>
      </c>
      <c r="G78" s="5" t="s">
        <v>3124</v>
      </c>
    </row>
    <row r="79" spans="2:7" ht="14.25" customHeight="1">
      <c r="B79" s="123" t="s">
        <v>677</v>
      </c>
      <c r="C79" s="123">
        <v>74</v>
      </c>
      <c r="D79" s="123" t="s">
        <v>3153</v>
      </c>
      <c r="E79" s="123" t="s">
        <v>178</v>
      </c>
      <c r="F79" s="123">
        <v>1</v>
      </c>
      <c r="G79" s="5" t="s">
        <v>3124</v>
      </c>
    </row>
    <row r="80" spans="2:7" ht="14.25" customHeight="1">
      <c r="B80" s="123" t="s">
        <v>677</v>
      </c>
      <c r="C80" s="123">
        <v>75</v>
      </c>
      <c r="D80" s="123" t="s">
        <v>3153</v>
      </c>
      <c r="E80" s="123" t="s">
        <v>182</v>
      </c>
      <c r="F80" s="123">
        <v>1</v>
      </c>
      <c r="G80" s="5" t="s">
        <v>3124</v>
      </c>
    </row>
    <row r="81" spans="2:7" ht="14.25" customHeight="1">
      <c r="B81" s="123" t="s">
        <v>677</v>
      </c>
      <c r="C81" s="123">
        <v>76</v>
      </c>
      <c r="D81" s="123" t="s">
        <v>3154</v>
      </c>
      <c r="E81" s="123" t="s">
        <v>150</v>
      </c>
      <c r="F81" s="123">
        <v>1</v>
      </c>
      <c r="G81" s="5" t="s">
        <v>3124</v>
      </c>
    </row>
    <row r="82" spans="2:7" ht="14.25" customHeight="1">
      <c r="B82" s="123" t="s">
        <v>677</v>
      </c>
      <c r="C82" s="123">
        <v>77</v>
      </c>
      <c r="D82" s="123" t="s">
        <v>3154</v>
      </c>
      <c r="E82" s="123" t="s">
        <v>99</v>
      </c>
      <c r="F82" s="123">
        <v>1</v>
      </c>
      <c r="G82" s="5" t="s">
        <v>3124</v>
      </c>
    </row>
    <row r="83" spans="2:7" ht="14.25" customHeight="1">
      <c r="B83" s="123" t="s">
        <v>677</v>
      </c>
      <c r="C83" s="123">
        <v>78</v>
      </c>
      <c r="D83" s="123" t="s">
        <v>3154</v>
      </c>
      <c r="E83" s="123" t="s">
        <v>158</v>
      </c>
      <c r="F83" s="123">
        <v>1</v>
      </c>
      <c r="G83" s="5" t="s">
        <v>3124</v>
      </c>
    </row>
    <row r="84" spans="2:7" ht="14.25" customHeight="1">
      <c r="B84" s="123" t="s">
        <v>677</v>
      </c>
      <c r="C84" s="123">
        <v>79</v>
      </c>
      <c r="D84" s="123" t="s">
        <v>3155</v>
      </c>
      <c r="E84" s="123" t="s">
        <v>162</v>
      </c>
      <c r="F84" s="123">
        <v>1</v>
      </c>
      <c r="G84" s="5" t="s">
        <v>3124</v>
      </c>
    </row>
    <row r="85" spans="2:7" ht="14.25" customHeight="1">
      <c r="B85" s="123" t="s">
        <v>677</v>
      </c>
      <c r="C85" s="123">
        <v>80</v>
      </c>
      <c r="D85" s="123" t="s">
        <v>3155</v>
      </c>
      <c r="E85" s="123" t="s">
        <v>166</v>
      </c>
      <c r="F85" s="123">
        <v>1</v>
      </c>
      <c r="G85" s="5" t="s">
        <v>3124</v>
      </c>
    </row>
    <row r="86" spans="2:7" ht="14.25" customHeight="1">
      <c r="B86" s="123" t="s">
        <v>677</v>
      </c>
      <c r="C86" s="123">
        <v>81</v>
      </c>
      <c r="D86" s="123" t="s">
        <v>3155</v>
      </c>
      <c r="E86" s="123" t="s">
        <v>170</v>
      </c>
      <c r="F86" s="123">
        <v>1</v>
      </c>
      <c r="G86" s="5" t="s">
        <v>3124</v>
      </c>
    </row>
    <row r="87" spans="2:7" ht="14.25" customHeight="1">
      <c r="B87" s="123" t="s">
        <v>677</v>
      </c>
      <c r="C87" s="123">
        <v>82</v>
      </c>
      <c r="D87" s="123" t="s">
        <v>3156</v>
      </c>
      <c r="E87" s="123" t="s">
        <v>174</v>
      </c>
      <c r="F87" s="123">
        <v>1</v>
      </c>
      <c r="G87" s="5" t="s">
        <v>3124</v>
      </c>
    </row>
    <row r="88" spans="2:7" ht="14.25" customHeight="1">
      <c r="B88" s="123" t="s">
        <v>677</v>
      </c>
      <c r="C88" s="123">
        <v>83</v>
      </c>
      <c r="D88" s="123" t="s">
        <v>3156</v>
      </c>
      <c r="E88" s="123" t="s">
        <v>178</v>
      </c>
      <c r="F88" s="123">
        <v>1</v>
      </c>
      <c r="G88" s="5" t="s">
        <v>3124</v>
      </c>
    </row>
    <row r="89" spans="2:7" ht="14.25" customHeight="1">
      <c r="B89" s="123" t="s">
        <v>677</v>
      </c>
      <c r="C89" s="123">
        <v>84</v>
      </c>
      <c r="D89" s="123" t="s">
        <v>3156</v>
      </c>
      <c r="E89" s="123" t="s">
        <v>182</v>
      </c>
      <c r="F89" s="123">
        <v>1</v>
      </c>
      <c r="G89" s="5" t="s">
        <v>3124</v>
      </c>
    </row>
    <row r="90" spans="2:7" ht="14.25" customHeight="1">
      <c r="B90" s="123" t="s">
        <v>677</v>
      </c>
      <c r="C90" s="123">
        <v>85</v>
      </c>
      <c r="D90" s="123" t="s">
        <v>3157</v>
      </c>
      <c r="E90" s="123" t="s">
        <v>150</v>
      </c>
      <c r="F90" s="123">
        <v>1</v>
      </c>
      <c r="G90" s="5" t="s">
        <v>3124</v>
      </c>
    </row>
    <row r="91" spans="2:7" ht="14.25" customHeight="1">
      <c r="B91" s="123" t="s">
        <v>677</v>
      </c>
      <c r="C91" s="123">
        <v>86</v>
      </c>
      <c r="D91" s="123" t="s">
        <v>3157</v>
      </c>
      <c r="E91" s="123" t="s">
        <v>99</v>
      </c>
      <c r="F91" s="123">
        <v>1</v>
      </c>
      <c r="G91" s="5" t="s">
        <v>3124</v>
      </c>
    </row>
    <row r="92" spans="2:7" ht="14.25" customHeight="1">
      <c r="B92" s="123" t="s">
        <v>677</v>
      </c>
      <c r="C92" s="123">
        <v>87</v>
      </c>
      <c r="D92" s="123" t="s">
        <v>3157</v>
      </c>
      <c r="E92" s="123" t="s">
        <v>158</v>
      </c>
      <c r="F92" s="123">
        <v>1</v>
      </c>
      <c r="G92" s="5" t="s">
        <v>3124</v>
      </c>
    </row>
    <row r="93" spans="2:7" ht="14.25" customHeight="1">
      <c r="B93" s="123" t="s">
        <v>677</v>
      </c>
      <c r="C93" s="123">
        <v>88</v>
      </c>
      <c r="D93" s="123" t="s">
        <v>3158</v>
      </c>
      <c r="E93" s="123" t="s">
        <v>150</v>
      </c>
      <c r="F93" s="123">
        <v>1</v>
      </c>
      <c r="G93" s="5" t="s">
        <v>3124</v>
      </c>
    </row>
    <row r="94" spans="2:7" ht="14.25" customHeight="1">
      <c r="B94" s="123" t="s">
        <v>677</v>
      </c>
      <c r="C94" s="123">
        <v>89</v>
      </c>
      <c r="D94" s="123" t="s">
        <v>3158</v>
      </c>
      <c r="E94" s="123" t="s">
        <v>99</v>
      </c>
      <c r="F94" s="123">
        <v>1</v>
      </c>
      <c r="G94" s="5" t="s">
        <v>3124</v>
      </c>
    </row>
    <row r="95" spans="2:7" ht="14.25" customHeight="1">
      <c r="B95" s="123" t="s">
        <v>677</v>
      </c>
      <c r="C95" s="123">
        <v>90</v>
      </c>
      <c r="D95" s="123" t="s">
        <v>3158</v>
      </c>
      <c r="E95" s="123" t="s">
        <v>158</v>
      </c>
      <c r="F95" s="123">
        <v>1</v>
      </c>
      <c r="G95" s="5" t="s">
        <v>3124</v>
      </c>
    </row>
    <row r="96" spans="2:7" ht="14.25" customHeight="1">
      <c r="B96" s="123" t="s">
        <v>677</v>
      </c>
      <c r="C96" s="123">
        <v>91</v>
      </c>
      <c r="D96" s="123" t="s">
        <v>3159</v>
      </c>
      <c r="E96" s="123" t="s">
        <v>150</v>
      </c>
      <c r="F96" s="123">
        <v>1</v>
      </c>
      <c r="G96" s="5" t="s">
        <v>3124</v>
      </c>
    </row>
    <row r="97" spans="2:7" ht="14.25" customHeight="1">
      <c r="B97" s="123" t="s">
        <v>677</v>
      </c>
      <c r="C97" s="123">
        <v>92</v>
      </c>
      <c r="D97" s="123" t="s">
        <v>3159</v>
      </c>
      <c r="E97" s="123" t="s">
        <v>99</v>
      </c>
      <c r="F97" s="123">
        <v>1</v>
      </c>
      <c r="G97" s="5" t="s">
        <v>3124</v>
      </c>
    </row>
    <row r="98" spans="2:7" ht="14.25" customHeight="1">
      <c r="B98" s="123" t="s">
        <v>677</v>
      </c>
      <c r="C98" s="123">
        <v>93</v>
      </c>
      <c r="D98" s="123" t="s">
        <v>3159</v>
      </c>
      <c r="E98" s="123" t="s">
        <v>158</v>
      </c>
      <c r="F98" s="123">
        <v>1</v>
      </c>
      <c r="G98" s="5" t="s">
        <v>3124</v>
      </c>
    </row>
    <row r="99" spans="2:7" ht="14.25" customHeight="1">
      <c r="B99" s="123" t="s">
        <v>677</v>
      </c>
      <c r="C99" s="123">
        <v>94</v>
      </c>
      <c r="D99" s="123" t="s">
        <v>3160</v>
      </c>
      <c r="E99" s="123" t="s">
        <v>150</v>
      </c>
      <c r="F99" s="123">
        <v>1</v>
      </c>
      <c r="G99" s="5" t="s">
        <v>3124</v>
      </c>
    </row>
    <row r="100" spans="2:7" ht="14.25" customHeight="1">
      <c r="B100" s="123" t="s">
        <v>677</v>
      </c>
      <c r="C100" s="123">
        <v>95</v>
      </c>
      <c r="D100" s="123" t="s">
        <v>3160</v>
      </c>
      <c r="E100" s="123" t="s">
        <v>99</v>
      </c>
      <c r="F100" s="123">
        <v>1</v>
      </c>
      <c r="G100" s="5" t="s">
        <v>3124</v>
      </c>
    </row>
    <row r="101" spans="2:7" ht="14.25" customHeight="1">
      <c r="B101" s="123" t="s">
        <v>677</v>
      </c>
      <c r="C101" s="123">
        <v>96</v>
      </c>
      <c r="D101" s="123" t="s">
        <v>3160</v>
      </c>
      <c r="E101" s="123" t="s">
        <v>158</v>
      </c>
      <c r="F101" s="123">
        <v>1</v>
      </c>
      <c r="G101" s="5" t="s">
        <v>3124</v>
      </c>
    </row>
    <row r="102" spans="2:7" ht="14.25" customHeight="1">
      <c r="B102" s="123" t="s">
        <v>677</v>
      </c>
      <c r="C102" s="123">
        <v>97</v>
      </c>
      <c r="D102" s="123" t="s">
        <v>3161</v>
      </c>
      <c r="E102" s="123" t="s">
        <v>150</v>
      </c>
      <c r="F102" s="123">
        <v>1</v>
      </c>
      <c r="G102" s="5" t="s">
        <v>3124</v>
      </c>
    </row>
    <row r="103" spans="2:7" ht="14.25" customHeight="1">
      <c r="B103" s="123" t="s">
        <v>677</v>
      </c>
      <c r="C103" s="123">
        <v>98</v>
      </c>
      <c r="D103" s="123" t="s">
        <v>3161</v>
      </c>
      <c r="E103" s="123" t="s">
        <v>99</v>
      </c>
      <c r="F103" s="123">
        <v>1</v>
      </c>
      <c r="G103" s="5" t="s">
        <v>3124</v>
      </c>
    </row>
    <row r="104" spans="2:7" ht="14.25" customHeight="1">
      <c r="B104" s="123" t="s">
        <v>677</v>
      </c>
      <c r="C104" s="123">
        <v>99</v>
      </c>
      <c r="D104" s="123" t="s">
        <v>3161</v>
      </c>
      <c r="E104" s="123" t="s">
        <v>158</v>
      </c>
      <c r="F104" s="123">
        <v>1</v>
      </c>
      <c r="G104" s="5" t="s">
        <v>3124</v>
      </c>
    </row>
    <row r="105" spans="2:7" ht="14.25" customHeight="1">
      <c r="B105" s="123" t="s">
        <v>677</v>
      </c>
      <c r="C105" s="123">
        <v>100</v>
      </c>
      <c r="D105" s="123" t="s">
        <v>3162</v>
      </c>
      <c r="E105" s="123" t="s">
        <v>150</v>
      </c>
      <c r="F105" s="123">
        <v>1</v>
      </c>
      <c r="G105" s="5" t="s">
        <v>3124</v>
      </c>
    </row>
    <row r="106" spans="2:7" ht="14.25" customHeight="1">
      <c r="B106" s="123" t="s">
        <v>677</v>
      </c>
      <c r="C106" s="123">
        <v>101</v>
      </c>
      <c r="D106" s="123" t="s">
        <v>3162</v>
      </c>
      <c r="E106" s="123" t="s">
        <v>99</v>
      </c>
      <c r="F106" s="123">
        <v>1</v>
      </c>
      <c r="G106" s="5" t="s">
        <v>3124</v>
      </c>
    </row>
    <row r="107" spans="2:7" ht="14.25" customHeight="1">
      <c r="B107" s="123" t="s">
        <v>677</v>
      </c>
      <c r="C107" s="123">
        <v>102</v>
      </c>
      <c r="D107" s="123" t="s">
        <v>3162</v>
      </c>
      <c r="E107" s="123" t="s">
        <v>158</v>
      </c>
      <c r="F107" s="123">
        <v>1</v>
      </c>
      <c r="G107" s="5" t="s">
        <v>3124</v>
      </c>
    </row>
    <row r="108" spans="2:7" ht="14.25" customHeight="1">
      <c r="B108" s="123" t="s">
        <v>677</v>
      </c>
      <c r="C108" s="123">
        <v>103</v>
      </c>
      <c r="D108" s="123" t="s">
        <v>3163</v>
      </c>
      <c r="E108" s="123" t="s">
        <v>150</v>
      </c>
      <c r="F108" s="123">
        <v>1</v>
      </c>
      <c r="G108" s="5" t="s">
        <v>3124</v>
      </c>
    </row>
    <row r="109" spans="2:7" ht="14.25" customHeight="1">
      <c r="B109" s="123" t="s">
        <v>677</v>
      </c>
      <c r="C109" s="123">
        <v>104</v>
      </c>
      <c r="D109" s="123" t="s">
        <v>3163</v>
      </c>
      <c r="E109" s="123" t="s">
        <v>99</v>
      </c>
      <c r="F109" s="123">
        <v>1</v>
      </c>
      <c r="G109" s="5" t="s">
        <v>3124</v>
      </c>
    </row>
    <row r="110" spans="2:7" ht="14.25" customHeight="1">
      <c r="B110" s="123" t="s">
        <v>677</v>
      </c>
      <c r="C110" s="123">
        <v>105</v>
      </c>
      <c r="D110" s="123" t="s">
        <v>3163</v>
      </c>
      <c r="E110" s="123" t="s">
        <v>158</v>
      </c>
      <c r="F110" s="123">
        <v>1</v>
      </c>
      <c r="G110" s="5" t="s">
        <v>3124</v>
      </c>
    </row>
    <row r="111" spans="2:7" ht="14.25" customHeight="1">
      <c r="B111" s="123" t="s">
        <v>677</v>
      </c>
      <c r="C111" s="123">
        <v>106</v>
      </c>
      <c r="D111" s="123" t="s">
        <v>3164</v>
      </c>
      <c r="E111" s="123" t="s">
        <v>150</v>
      </c>
      <c r="F111" s="123">
        <v>1</v>
      </c>
      <c r="G111" s="5" t="s">
        <v>3124</v>
      </c>
    </row>
    <row r="112" spans="2:7" ht="14.25" customHeight="1">
      <c r="B112" s="123" t="s">
        <v>677</v>
      </c>
      <c r="C112" s="123">
        <v>107</v>
      </c>
      <c r="D112" s="123" t="s">
        <v>3164</v>
      </c>
      <c r="E112" s="123" t="s">
        <v>99</v>
      </c>
      <c r="F112" s="123">
        <v>1</v>
      </c>
      <c r="G112" s="5" t="s">
        <v>3124</v>
      </c>
    </row>
    <row r="113" spans="2:7" ht="14.25" customHeight="1">
      <c r="B113" s="123" t="s">
        <v>677</v>
      </c>
      <c r="C113" s="123">
        <v>108</v>
      </c>
      <c r="D113" s="123" t="s">
        <v>3164</v>
      </c>
      <c r="E113" s="123" t="s">
        <v>158</v>
      </c>
      <c r="F113" s="123">
        <v>1</v>
      </c>
      <c r="G113" s="5" t="s">
        <v>3124</v>
      </c>
    </row>
    <row r="114" spans="2:7" ht="14.25" customHeight="1">
      <c r="B114" s="123" t="s">
        <v>677</v>
      </c>
      <c r="C114" s="123">
        <v>109</v>
      </c>
      <c r="D114" s="123" t="s">
        <v>3165</v>
      </c>
      <c r="E114" s="123" t="s">
        <v>150</v>
      </c>
      <c r="F114" s="123">
        <v>1</v>
      </c>
      <c r="G114" s="5" t="s">
        <v>3124</v>
      </c>
    </row>
    <row r="115" spans="2:7" ht="14.25" customHeight="1">
      <c r="B115" s="123" t="s">
        <v>677</v>
      </c>
      <c r="C115" s="123">
        <v>110</v>
      </c>
      <c r="D115" s="123" t="s">
        <v>3165</v>
      </c>
      <c r="E115" s="123" t="s">
        <v>99</v>
      </c>
      <c r="F115" s="123">
        <v>1</v>
      </c>
      <c r="G115" s="5" t="s">
        <v>3124</v>
      </c>
    </row>
    <row r="116" spans="2:7" ht="14.25" customHeight="1">
      <c r="B116" s="123" t="s">
        <v>677</v>
      </c>
      <c r="C116" s="123">
        <v>111</v>
      </c>
      <c r="D116" s="123" t="s">
        <v>3165</v>
      </c>
      <c r="E116" s="123" t="s">
        <v>158</v>
      </c>
      <c r="F116" s="123">
        <v>1</v>
      </c>
      <c r="G116" s="5" t="s">
        <v>3124</v>
      </c>
    </row>
    <row r="117" spans="2:7" ht="14.25" customHeight="1">
      <c r="B117" s="123" t="s">
        <v>677</v>
      </c>
      <c r="C117" s="123">
        <v>112</v>
      </c>
      <c r="D117" s="123" t="s">
        <v>3166</v>
      </c>
      <c r="E117" s="123" t="s">
        <v>150</v>
      </c>
      <c r="F117" s="123">
        <v>1</v>
      </c>
      <c r="G117" s="5" t="s">
        <v>3124</v>
      </c>
    </row>
    <row r="118" spans="2:7" ht="14.25" customHeight="1">
      <c r="B118" s="123" t="s">
        <v>677</v>
      </c>
      <c r="C118" s="123">
        <v>113</v>
      </c>
      <c r="D118" s="123" t="s">
        <v>3166</v>
      </c>
      <c r="E118" s="123" t="s">
        <v>99</v>
      </c>
      <c r="F118" s="123">
        <v>1</v>
      </c>
      <c r="G118" s="5" t="s">
        <v>3124</v>
      </c>
    </row>
    <row r="119" spans="2:7" ht="14.25" customHeight="1">
      <c r="B119" s="123" t="s">
        <v>677</v>
      </c>
      <c r="C119" s="123">
        <v>114</v>
      </c>
      <c r="D119" s="123" t="s">
        <v>3166</v>
      </c>
      <c r="E119" s="123" t="s">
        <v>158</v>
      </c>
      <c r="F119" s="123">
        <v>1</v>
      </c>
      <c r="G119" s="5" t="s">
        <v>3124</v>
      </c>
    </row>
    <row r="120" spans="2:7" ht="14.25" customHeight="1">
      <c r="B120" s="123" t="s">
        <v>677</v>
      </c>
      <c r="C120" s="123">
        <v>115</v>
      </c>
      <c r="D120" s="123" t="s">
        <v>3167</v>
      </c>
      <c r="E120" s="123" t="s">
        <v>150</v>
      </c>
      <c r="F120" s="123">
        <v>1</v>
      </c>
      <c r="G120" s="5" t="s">
        <v>3124</v>
      </c>
    </row>
    <row r="121" spans="2:7" ht="14.25" customHeight="1">
      <c r="B121" s="123" t="s">
        <v>677</v>
      </c>
      <c r="C121" s="123">
        <v>116</v>
      </c>
      <c r="D121" s="123" t="s">
        <v>3167</v>
      </c>
      <c r="E121" s="123" t="s">
        <v>99</v>
      </c>
      <c r="F121" s="123">
        <v>1</v>
      </c>
      <c r="G121" s="5" t="s">
        <v>3124</v>
      </c>
    </row>
    <row r="122" spans="2:7" ht="14.25" customHeight="1">
      <c r="B122" s="123" t="s">
        <v>677</v>
      </c>
      <c r="C122" s="123">
        <v>117</v>
      </c>
      <c r="D122" s="123" t="s">
        <v>3167</v>
      </c>
      <c r="E122" s="123" t="s">
        <v>158</v>
      </c>
      <c r="F122" s="123">
        <v>1</v>
      </c>
      <c r="G122" s="5" t="s">
        <v>3124</v>
      </c>
    </row>
    <row r="123" spans="2:7" ht="14.25" customHeight="1">
      <c r="B123" s="123" t="s">
        <v>677</v>
      </c>
      <c r="C123" s="123">
        <v>118</v>
      </c>
      <c r="D123" s="123" t="s">
        <v>3168</v>
      </c>
      <c r="E123" s="123" t="s">
        <v>174</v>
      </c>
      <c r="F123" s="123">
        <v>1</v>
      </c>
      <c r="G123" s="5" t="s">
        <v>3124</v>
      </c>
    </row>
    <row r="124" spans="2:7" ht="14.25" customHeight="1">
      <c r="B124" s="123" t="s">
        <v>677</v>
      </c>
      <c r="C124" s="123">
        <v>119</v>
      </c>
      <c r="D124" s="123" t="s">
        <v>3168</v>
      </c>
      <c r="E124" s="123" t="s">
        <v>178</v>
      </c>
      <c r="F124" s="123">
        <v>1</v>
      </c>
      <c r="G124" s="5" t="s">
        <v>3124</v>
      </c>
    </row>
    <row r="125" spans="2:7" ht="14.25" customHeight="1">
      <c r="B125" s="123" t="s">
        <v>677</v>
      </c>
      <c r="C125" s="123">
        <v>120</v>
      </c>
      <c r="D125" s="123" t="s">
        <v>3168</v>
      </c>
      <c r="E125" s="123" t="s">
        <v>182</v>
      </c>
      <c r="F125" s="123">
        <v>1</v>
      </c>
      <c r="G125" s="5" t="s">
        <v>3124</v>
      </c>
    </row>
    <row r="126" spans="2:7" ht="14.25" customHeight="1">
      <c r="B126" s="123" t="s">
        <v>677</v>
      </c>
      <c r="C126" s="123">
        <v>121</v>
      </c>
      <c r="D126" s="123" t="s">
        <v>3169</v>
      </c>
      <c r="E126" s="123" t="s">
        <v>150</v>
      </c>
      <c r="F126" s="123">
        <v>1</v>
      </c>
      <c r="G126" s="5" t="s">
        <v>3124</v>
      </c>
    </row>
    <row r="127" spans="2:7" ht="14.25" customHeight="1">
      <c r="B127" s="123" t="s">
        <v>677</v>
      </c>
      <c r="C127" s="123">
        <v>122</v>
      </c>
      <c r="D127" s="123" t="s">
        <v>3169</v>
      </c>
      <c r="E127" s="123" t="s">
        <v>99</v>
      </c>
      <c r="F127" s="123">
        <v>1</v>
      </c>
      <c r="G127" s="5" t="s">
        <v>3124</v>
      </c>
    </row>
    <row r="128" spans="2:7" ht="14.25" customHeight="1">
      <c r="B128" s="123" t="s">
        <v>677</v>
      </c>
      <c r="C128" s="123">
        <v>123</v>
      </c>
      <c r="D128" s="123" t="s">
        <v>3169</v>
      </c>
      <c r="E128" s="123" t="s">
        <v>158</v>
      </c>
      <c r="F128" s="123">
        <v>1</v>
      </c>
      <c r="G128" s="5" t="s">
        <v>3124</v>
      </c>
    </row>
    <row r="129" spans="2:7" ht="14.25" customHeight="1">
      <c r="B129" s="123" t="s">
        <v>677</v>
      </c>
      <c r="C129" s="123">
        <v>124</v>
      </c>
      <c r="D129" s="123" t="s">
        <v>3170</v>
      </c>
      <c r="E129" s="123" t="s">
        <v>150</v>
      </c>
      <c r="F129" s="123">
        <v>1</v>
      </c>
      <c r="G129" s="5" t="s">
        <v>3124</v>
      </c>
    </row>
    <row r="130" spans="2:7" ht="14.25" customHeight="1">
      <c r="B130" s="123" t="s">
        <v>677</v>
      </c>
      <c r="C130" s="123">
        <v>125</v>
      </c>
      <c r="D130" s="123" t="s">
        <v>3170</v>
      </c>
      <c r="E130" s="123" t="s">
        <v>99</v>
      </c>
      <c r="F130" s="123">
        <v>1</v>
      </c>
      <c r="G130" s="5" t="s">
        <v>3124</v>
      </c>
    </row>
    <row r="131" spans="2:7" ht="14.25" customHeight="1">
      <c r="B131" s="123" t="s">
        <v>677</v>
      </c>
      <c r="C131" s="123">
        <v>126</v>
      </c>
      <c r="D131" s="123" t="s">
        <v>3170</v>
      </c>
      <c r="E131" s="123" t="s">
        <v>158</v>
      </c>
      <c r="F131" s="123">
        <v>1</v>
      </c>
      <c r="G131" s="5" t="s">
        <v>3124</v>
      </c>
    </row>
    <row r="132" spans="2:7" ht="14.25" customHeight="1">
      <c r="B132" s="123" t="s">
        <v>677</v>
      </c>
      <c r="C132" s="123">
        <v>127</v>
      </c>
      <c r="D132" s="123" t="s">
        <v>3171</v>
      </c>
      <c r="E132" s="123" t="s">
        <v>150</v>
      </c>
      <c r="F132" s="123">
        <v>1</v>
      </c>
      <c r="G132" s="5" t="s">
        <v>3124</v>
      </c>
    </row>
    <row r="133" spans="2:7" ht="14.25" customHeight="1">
      <c r="B133" s="123" t="s">
        <v>677</v>
      </c>
      <c r="C133" s="123">
        <v>128</v>
      </c>
      <c r="D133" s="123" t="s">
        <v>3171</v>
      </c>
      <c r="E133" s="123" t="s">
        <v>99</v>
      </c>
      <c r="F133" s="123">
        <v>1</v>
      </c>
      <c r="G133" s="5" t="s">
        <v>3124</v>
      </c>
    </row>
    <row r="134" spans="2:7" ht="14.25" customHeight="1">
      <c r="B134" s="123" t="s">
        <v>677</v>
      </c>
      <c r="C134" s="123">
        <v>129</v>
      </c>
      <c r="D134" s="123" t="s">
        <v>3171</v>
      </c>
      <c r="E134" s="123" t="s">
        <v>158</v>
      </c>
      <c r="F134" s="123">
        <v>1</v>
      </c>
      <c r="G134" s="5" t="s">
        <v>3124</v>
      </c>
    </row>
    <row r="135" spans="2:7" ht="14.25" customHeight="1">
      <c r="B135" s="123" t="s">
        <v>677</v>
      </c>
      <c r="C135" s="123">
        <v>130</v>
      </c>
      <c r="D135" s="123" t="s">
        <v>3172</v>
      </c>
      <c r="E135" s="123" t="s">
        <v>150</v>
      </c>
      <c r="F135" s="123">
        <v>1</v>
      </c>
      <c r="G135" s="5" t="s">
        <v>3124</v>
      </c>
    </row>
    <row r="136" spans="2:7" ht="14.25" customHeight="1">
      <c r="B136" s="123" t="s">
        <v>677</v>
      </c>
      <c r="C136" s="123">
        <v>131</v>
      </c>
      <c r="D136" s="123" t="s">
        <v>3172</v>
      </c>
      <c r="E136" s="123" t="s">
        <v>99</v>
      </c>
      <c r="F136" s="123">
        <v>1</v>
      </c>
      <c r="G136" s="5" t="s">
        <v>3124</v>
      </c>
    </row>
    <row r="137" spans="2:7" ht="14.25" customHeight="1">
      <c r="B137" s="123" t="s">
        <v>677</v>
      </c>
      <c r="C137" s="123">
        <v>132</v>
      </c>
      <c r="D137" s="123" t="s">
        <v>3172</v>
      </c>
      <c r="E137" s="123" t="s">
        <v>158</v>
      </c>
      <c r="F137" s="123">
        <v>1</v>
      </c>
      <c r="G137" s="5" t="s">
        <v>3124</v>
      </c>
    </row>
    <row r="138" spans="2:7" ht="14.25" customHeight="1">
      <c r="B138" s="123" t="s">
        <v>677</v>
      </c>
      <c r="C138" s="123">
        <v>133</v>
      </c>
      <c r="D138" s="123" t="s">
        <v>3173</v>
      </c>
      <c r="E138" s="123" t="s">
        <v>150</v>
      </c>
      <c r="F138" s="123">
        <v>1</v>
      </c>
      <c r="G138" s="5" t="s">
        <v>3124</v>
      </c>
    </row>
    <row r="139" spans="2:7" ht="14.25" customHeight="1">
      <c r="B139" s="123" t="s">
        <v>677</v>
      </c>
      <c r="C139" s="123">
        <v>134</v>
      </c>
      <c r="D139" s="123" t="s">
        <v>3173</v>
      </c>
      <c r="E139" s="123" t="s">
        <v>99</v>
      </c>
      <c r="F139" s="123">
        <v>1</v>
      </c>
      <c r="G139" s="5" t="s">
        <v>3124</v>
      </c>
    </row>
    <row r="140" spans="2:7" ht="14.25" customHeight="1">
      <c r="B140" s="123" t="s">
        <v>677</v>
      </c>
      <c r="C140" s="123">
        <v>135</v>
      </c>
      <c r="D140" s="123" t="s">
        <v>3173</v>
      </c>
      <c r="E140" s="123" t="s">
        <v>158</v>
      </c>
      <c r="F140" s="123">
        <v>1</v>
      </c>
      <c r="G140" s="5" t="s">
        <v>3124</v>
      </c>
    </row>
    <row r="141" spans="2:7" ht="14.25" customHeight="1">
      <c r="B141" s="123" t="s">
        <v>677</v>
      </c>
      <c r="C141" s="123">
        <v>136</v>
      </c>
      <c r="D141" s="123" t="s">
        <v>3174</v>
      </c>
      <c r="E141" s="123" t="s">
        <v>150</v>
      </c>
      <c r="F141" s="123">
        <v>1</v>
      </c>
      <c r="G141" s="5" t="s">
        <v>3124</v>
      </c>
    </row>
    <row r="142" spans="2:7" ht="14.25" customHeight="1">
      <c r="B142" s="123" t="s">
        <v>677</v>
      </c>
      <c r="C142" s="123">
        <v>137</v>
      </c>
      <c r="D142" s="123" t="s">
        <v>3174</v>
      </c>
      <c r="E142" s="123" t="s">
        <v>99</v>
      </c>
      <c r="F142" s="123">
        <v>1</v>
      </c>
      <c r="G142" s="5" t="s">
        <v>3124</v>
      </c>
    </row>
    <row r="143" spans="2:7" ht="14.25" customHeight="1">
      <c r="B143" s="123" t="s">
        <v>677</v>
      </c>
      <c r="C143" s="123">
        <v>138</v>
      </c>
      <c r="D143" s="123" t="s">
        <v>3174</v>
      </c>
      <c r="E143" s="123" t="s">
        <v>158</v>
      </c>
      <c r="F143" s="123">
        <v>1</v>
      </c>
      <c r="G143" s="5" t="s">
        <v>3124</v>
      </c>
    </row>
    <row r="144" spans="2:7" ht="14.25" customHeight="1">
      <c r="B144" s="123" t="s">
        <v>677</v>
      </c>
      <c r="C144" s="123">
        <v>139</v>
      </c>
      <c r="D144" s="123" t="s">
        <v>3175</v>
      </c>
      <c r="E144" s="123" t="s">
        <v>150</v>
      </c>
      <c r="F144" s="123">
        <v>1</v>
      </c>
      <c r="G144" s="5" t="s">
        <v>3124</v>
      </c>
    </row>
    <row r="145" spans="2:7" ht="14.25" customHeight="1">
      <c r="B145" s="123" t="s">
        <v>677</v>
      </c>
      <c r="C145" s="123">
        <v>140</v>
      </c>
      <c r="D145" s="123" t="s">
        <v>3175</v>
      </c>
      <c r="E145" s="123" t="s">
        <v>99</v>
      </c>
      <c r="F145" s="123">
        <v>1</v>
      </c>
      <c r="G145" s="5" t="s">
        <v>3124</v>
      </c>
    </row>
    <row r="146" spans="2:7" ht="14.25" customHeight="1">
      <c r="B146" s="123" t="s">
        <v>677</v>
      </c>
      <c r="C146" s="123">
        <v>141</v>
      </c>
      <c r="D146" s="123" t="s">
        <v>3175</v>
      </c>
      <c r="E146" s="123" t="s">
        <v>158</v>
      </c>
      <c r="F146" s="123">
        <v>1</v>
      </c>
      <c r="G146" s="5" t="s">
        <v>3124</v>
      </c>
    </row>
    <row r="147" spans="2:7" ht="14.25" customHeight="1">
      <c r="B147" s="123" t="s">
        <v>677</v>
      </c>
      <c r="C147" s="123">
        <v>142</v>
      </c>
      <c r="D147" s="123" t="s">
        <v>3176</v>
      </c>
      <c r="E147" s="123" t="s">
        <v>150</v>
      </c>
      <c r="F147" s="123">
        <v>1</v>
      </c>
      <c r="G147" s="5" t="s">
        <v>3124</v>
      </c>
    </row>
    <row r="148" spans="2:7" ht="14.25" customHeight="1">
      <c r="B148" s="123" t="s">
        <v>677</v>
      </c>
      <c r="C148" s="123">
        <v>143</v>
      </c>
      <c r="D148" s="123" t="s">
        <v>3176</v>
      </c>
      <c r="E148" s="123" t="s">
        <v>99</v>
      </c>
      <c r="F148" s="123">
        <v>1</v>
      </c>
      <c r="G148" s="5" t="s">
        <v>3124</v>
      </c>
    </row>
    <row r="149" spans="2:7" ht="14.25" customHeight="1">
      <c r="B149" s="123" t="s">
        <v>677</v>
      </c>
      <c r="C149" s="123">
        <v>144</v>
      </c>
      <c r="D149" s="123" t="s">
        <v>3176</v>
      </c>
      <c r="E149" s="123" t="s">
        <v>158</v>
      </c>
      <c r="F149" s="123">
        <v>1</v>
      </c>
      <c r="G149" s="5" t="s">
        <v>3124</v>
      </c>
    </row>
    <row r="150" spans="2:7" ht="14.25" customHeight="1">
      <c r="B150" s="123" t="s">
        <v>677</v>
      </c>
      <c r="C150" s="123">
        <v>145</v>
      </c>
      <c r="D150" s="123" t="s">
        <v>3177</v>
      </c>
      <c r="E150" s="123" t="s">
        <v>150</v>
      </c>
      <c r="F150" s="123">
        <v>1</v>
      </c>
      <c r="G150" s="5" t="s">
        <v>3124</v>
      </c>
    </row>
    <row r="151" spans="2:7" ht="14.25" customHeight="1">
      <c r="B151" s="123" t="s">
        <v>677</v>
      </c>
      <c r="C151" s="123">
        <v>146</v>
      </c>
      <c r="D151" s="123" t="s">
        <v>3177</v>
      </c>
      <c r="E151" s="123" t="s">
        <v>99</v>
      </c>
      <c r="F151" s="123">
        <v>1</v>
      </c>
      <c r="G151" s="5" t="s">
        <v>3124</v>
      </c>
    </row>
    <row r="152" spans="2:7" ht="14.25" customHeight="1">
      <c r="B152" s="123" t="s">
        <v>677</v>
      </c>
      <c r="C152" s="123">
        <v>147</v>
      </c>
      <c r="D152" s="123" t="s">
        <v>3177</v>
      </c>
      <c r="E152" s="123" t="s">
        <v>158</v>
      </c>
      <c r="F152" s="123">
        <v>1</v>
      </c>
      <c r="G152" s="5" t="s">
        <v>3124</v>
      </c>
    </row>
    <row r="153" spans="2:7" ht="14.25" customHeight="1">
      <c r="B153" s="123" t="s">
        <v>677</v>
      </c>
      <c r="C153" s="123">
        <v>148</v>
      </c>
      <c r="D153" s="123" t="s">
        <v>3178</v>
      </c>
      <c r="E153" s="123" t="s">
        <v>150</v>
      </c>
      <c r="F153" s="123">
        <v>1</v>
      </c>
      <c r="G153" s="5" t="s">
        <v>3124</v>
      </c>
    </row>
    <row r="154" spans="2:7" ht="14.25" customHeight="1">
      <c r="B154" s="123" t="s">
        <v>677</v>
      </c>
      <c r="C154" s="123">
        <v>149</v>
      </c>
      <c r="D154" s="123" t="s">
        <v>3178</v>
      </c>
      <c r="E154" s="123" t="s">
        <v>99</v>
      </c>
      <c r="F154" s="123">
        <v>1</v>
      </c>
      <c r="G154" s="5" t="s">
        <v>3124</v>
      </c>
    </row>
    <row r="155" spans="2:7" ht="14.25" customHeight="1">
      <c r="B155" s="123" t="s">
        <v>677</v>
      </c>
      <c r="C155" s="123">
        <v>150</v>
      </c>
      <c r="D155" s="123" t="s">
        <v>3178</v>
      </c>
      <c r="E155" s="123" t="s">
        <v>158</v>
      </c>
      <c r="F155" s="123">
        <v>1</v>
      </c>
      <c r="G155" s="5" t="s">
        <v>3124</v>
      </c>
    </row>
    <row r="156" spans="2:7" ht="14.25" customHeight="1">
      <c r="B156" s="123" t="s">
        <v>677</v>
      </c>
      <c r="C156" s="123">
        <v>151</v>
      </c>
      <c r="D156" s="123" t="s">
        <v>3179</v>
      </c>
      <c r="E156" s="123" t="s">
        <v>150</v>
      </c>
      <c r="F156" s="123">
        <v>1</v>
      </c>
      <c r="G156" s="5" t="s">
        <v>3124</v>
      </c>
    </row>
    <row r="157" spans="2:7" ht="14.25" customHeight="1">
      <c r="B157" s="123" t="s">
        <v>677</v>
      </c>
      <c r="C157" s="123">
        <v>152</v>
      </c>
      <c r="D157" s="123" t="s">
        <v>3179</v>
      </c>
      <c r="E157" s="123" t="s">
        <v>99</v>
      </c>
      <c r="F157" s="123">
        <v>1</v>
      </c>
      <c r="G157" s="5" t="s">
        <v>3124</v>
      </c>
    </row>
    <row r="158" spans="2:7" ht="14.25" customHeight="1">
      <c r="B158" s="123" t="s">
        <v>677</v>
      </c>
      <c r="C158" s="123">
        <v>153</v>
      </c>
      <c r="D158" s="123" t="s">
        <v>3179</v>
      </c>
      <c r="E158" s="123" t="s">
        <v>158</v>
      </c>
      <c r="F158" s="123">
        <v>1</v>
      </c>
      <c r="G158" s="5" t="s">
        <v>3124</v>
      </c>
    </row>
    <row r="159" spans="2:7" ht="14.25" customHeight="1">
      <c r="B159" s="123" t="s">
        <v>677</v>
      </c>
      <c r="C159" s="123">
        <v>154</v>
      </c>
      <c r="D159" s="123" t="s">
        <v>3180</v>
      </c>
      <c r="E159" s="123" t="s">
        <v>150</v>
      </c>
      <c r="F159" s="123">
        <v>1</v>
      </c>
      <c r="G159" s="5" t="s">
        <v>3124</v>
      </c>
    </row>
    <row r="160" spans="2:7" ht="14.25" customHeight="1">
      <c r="B160" s="123" t="s">
        <v>677</v>
      </c>
      <c r="C160" s="123">
        <v>155</v>
      </c>
      <c r="D160" s="123" t="s">
        <v>3180</v>
      </c>
      <c r="E160" s="123" t="s">
        <v>99</v>
      </c>
      <c r="F160" s="123">
        <v>1</v>
      </c>
      <c r="G160" s="5" t="s">
        <v>3124</v>
      </c>
    </row>
    <row r="161" spans="2:7" ht="14.25" customHeight="1">
      <c r="B161" s="123" t="s">
        <v>677</v>
      </c>
      <c r="C161" s="123">
        <v>156</v>
      </c>
      <c r="D161" s="123" t="s">
        <v>3180</v>
      </c>
      <c r="E161" s="123" t="s">
        <v>158</v>
      </c>
      <c r="F161" s="123">
        <v>1</v>
      </c>
      <c r="G161" s="5" t="s">
        <v>3124</v>
      </c>
    </row>
    <row r="162" spans="2:7" ht="14.25" customHeight="1">
      <c r="B162" s="123" t="s">
        <v>677</v>
      </c>
      <c r="C162" s="123">
        <v>157</v>
      </c>
      <c r="D162" s="123" t="s">
        <v>3181</v>
      </c>
      <c r="E162" s="123" t="s">
        <v>150</v>
      </c>
      <c r="F162" s="123">
        <v>1</v>
      </c>
      <c r="G162" s="5" t="s">
        <v>3124</v>
      </c>
    </row>
    <row r="163" spans="2:7" ht="14.25" customHeight="1">
      <c r="B163" s="123" t="s">
        <v>677</v>
      </c>
      <c r="C163" s="123">
        <v>158</v>
      </c>
      <c r="D163" s="123" t="s">
        <v>3181</v>
      </c>
      <c r="E163" s="123" t="s">
        <v>99</v>
      </c>
      <c r="F163" s="123">
        <v>1</v>
      </c>
      <c r="G163" s="5" t="s">
        <v>3124</v>
      </c>
    </row>
    <row r="164" spans="2:7" ht="14.25" customHeight="1">
      <c r="B164" s="123" t="s">
        <v>677</v>
      </c>
      <c r="C164" s="123">
        <v>159</v>
      </c>
      <c r="D164" s="123" t="s">
        <v>3181</v>
      </c>
      <c r="E164" s="123" t="s">
        <v>158</v>
      </c>
      <c r="F164" s="123">
        <v>1</v>
      </c>
      <c r="G164" s="5" t="s">
        <v>3124</v>
      </c>
    </row>
    <row r="165" spans="2:7" ht="14.25" customHeight="1">
      <c r="B165" s="123" t="s">
        <v>677</v>
      </c>
      <c r="C165" s="123">
        <v>160</v>
      </c>
      <c r="D165" s="123" t="s">
        <v>3182</v>
      </c>
      <c r="E165" s="123"/>
      <c r="F165" s="123"/>
      <c r="G165" s="5" t="s">
        <v>3124</v>
      </c>
    </row>
    <row r="166" spans="2:7" ht="14.25" customHeight="1">
      <c r="B166" s="123" t="s">
        <v>677</v>
      </c>
      <c r="C166" s="123">
        <v>161</v>
      </c>
      <c r="D166" s="123" t="s">
        <v>3182</v>
      </c>
      <c r="E166" s="123"/>
      <c r="F166" s="123"/>
      <c r="G166" s="5" t="s">
        <v>3124</v>
      </c>
    </row>
    <row r="167" spans="2:7" ht="14.25" customHeight="1">
      <c r="B167" s="123" t="s">
        <v>677</v>
      </c>
      <c r="C167" s="123">
        <v>162</v>
      </c>
      <c r="D167" s="123" t="s">
        <v>3182</v>
      </c>
      <c r="E167" s="123"/>
      <c r="F167" s="123"/>
      <c r="G167" s="5" t="s">
        <v>3124</v>
      </c>
    </row>
    <row r="168" spans="2:7" ht="14.25" customHeight="1">
      <c r="B168" s="123" t="s">
        <v>677</v>
      </c>
      <c r="C168" s="123">
        <v>163</v>
      </c>
      <c r="D168" s="123" t="s">
        <v>3183</v>
      </c>
      <c r="E168" s="123"/>
      <c r="F168" s="123"/>
      <c r="G168" s="5" t="s">
        <v>3124</v>
      </c>
    </row>
    <row r="169" spans="2:7" ht="14.25" customHeight="1">
      <c r="B169" s="123" t="s">
        <v>677</v>
      </c>
      <c r="C169" s="123">
        <v>164</v>
      </c>
      <c r="D169" s="123" t="s">
        <v>3183</v>
      </c>
      <c r="E169" s="123"/>
      <c r="F169" s="123"/>
      <c r="G169" s="5" t="s">
        <v>3124</v>
      </c>
    </row>
    <row r="170" spans="2:7" ht="14.25" customHeight="1">
      <c r="B170" s="123" t="s">
        <v>677</v>
      </c>
      <c r="C170" s="123">
        <v>165</v>
      </c>
      <c r="D170" s="123" t="s">
        <v>3183</v>
      </c>
      <c r="E170" s="123"/>
      <c r="F170" s="123"/>
      <c r="G170" s="5" t="s">
        <v>3124</v>
      </c>
    </row>
    <row r="171" spans="2:7" ht="14.25" customHeight="1">
      <c r="B171" s="123" t="s">
        <v>677</v>
      </c>
      <c r="C171" s="123">
        <v>166</v>
      </c>
      <c r="D171" s="123" t="s">
        <v>3184</v>
      </c>
      <c r="E171" s="123"/>
      <c r="F171" s="123"/>
      <c r="G171" s="5" t="s">
        <v>3124</v>
      </c>
    </row>
    <row r="172" spans="2:7" ht="14.25" customHeight="1">
      <c r="B172" s="123" t="s">
        <v>677</v>
      </c>
      <c r="C172" s="123">
        <v>167</v>
      </c>
      <c r="D172" s="123" t="s">
        <v>3184</v>
      </c>
      <c r="E172" s="123"/>
      <c r="F172" s="123"/>
      <c r="G172" s="5" t="s">
        <v>3124</v>
      </c>
    </row>
    <row r="173" spans="2:7" ht="14.25" customHeight="1">
      <c r="B173" s="123" t="s">
        <v>677</v>
      </c>
      <c r="C173" s="123">
        <v>168</v>
      </c>
      <c r="D173" s="123" t="s">
        <v>3184</v>
      </c>
      <c r="E173" s="123"/>
      <c r="F173" s="123"/>
      <c r="G173" s="5" t="s">
        <v>3124</v>
      </c>
    </row>
    <row r="174" spans="2:7" ht="14.25" customHeight="1">
      <c r="B174" s="123" t="s">
        <v>677</v>
      </c>
      <c r="C174" s="123">
        <v>169</v>
      </c>
      <c r="D174" s="123" t="s">
        <v>3185</v>
      </c>
      <c r="E174" s="123"/>
      <c r="F174" s="123"/>
      <c r="G174" s="5" t="s">
        <v>3124</v>
      </c>
    </row>
    <row r="175" spans="2:7" ht="14.25" customHeight="1">
      <c r="B175" s="123" t="s">
        <v>677</v>
      </c>
      <c r="C175" s="123">
        <v>170</v>
      </c>
      <c r="D175" s="123" t="s">
        <v>3185</v>
      </c>
      <c r="E175" s="123"/>
      <c r="F175" s="123"/>
      <c r="G175" s="5" t="s">
        <v>3124</v>
      </c>
    </row>
    <row r="176" spans="2:7" ht="14.25" customHeight="1">
      <c r="B176" s="123" t="s">
        <v>677</v>
      </c>
      <c r="C176" s="123">
        <v>171</v>
      </c>
      <c r="D176" s="123" t="s">
        <v>3185</v>
      </c>
      <c r="E176" s="123"/>
      <c r="F176" s="123"/>
      <c r="G176" s="5" t="s">
        <v>3124</v>
      </c>
    </row>
    <row r="177" spans="2:7" ht="14.25" customHeight="1">
      <c r="B177" s="123" t="s">
        <v>677</v>
      </c>
      <c r="C177" s="123">
        <v>172</v>
      </c>
      <c r="D177" s="123" t="s">
        <v>3186</v>
      </c>
      <c r="E177" s="123"/>
      <c r="F177" s="123"/>
      <c r="G177" s="5" t="s">
        <v>3124</v>
      </c>
    </row>
    <row r="178" spans="2:7" ht="14.25" customHeight="1">
      <c r="B178" s="123" t="s">
        <v>677</v>
      </c>
      <c r="C178" s="123">
        <v>173</v>
      </c>
      <c r="D178" s="123" t="s">
        <v>3186</v>
      </c>
      <c r="E178" s="123"/>
      <c r="F178" s="123"/>
      <c r="G178" s="5" t="s">
        <v>3124</v>
      </c>
    </row>
    <row r="179" spans="2:7" ht="14.25" customHeight="1">
      <c r="B179" s="123" t="s">
        <v>677</v>
      </c>
      <c r="C179" s="123">
        <v>174</v>
      </c>
      <c r="D179" s="123" t="s">
        <v>3186</v>
      </c>
      <c r="E179" s="123"/>
      <c r="F179" s="123"/>
      <c r="G179" s="5" t="s">
        <v>3124</v>
      </c>
    </row>
    <row r="180" spans="2:7" ht="14.25" customHeight="1">
      <c r="B180" s="123" t="s">
        <v>677</v>
      </c>
      <c r="C180" s="123">
        <v>175</v>
      </c>
      <c r="D180" s="123" t="s">
        <v>3187</v>
      </c>
      <c r="E180" s="123"/>
      <c r="F180" s="123"/>
      <c r="G180" s="5" t="s">
        <v>3124</v>
      </c>
    </row>
    <row r="181" spans="2:7" ht="14.25" customHeight="1">
      <c r="B181" s="123" t="s">
        <v>677</v>
      </c>
      <c r="C181" s="123">
        <v>176</v>
      </c>
      <c r="D181" s="123" t="s">
        <v>3187</v>
      </c>
      <c r="E181" s="123"/>
      <c r="F181" s="123"/>
      <c r="G181" s="5" t="s">
        <v>3124</v>
      </c>
    </row>
    <row r="182" spans="2:7" ht="14.25" customHeight="1">
      <c r="B182" s="123" t="s">
        <v>677</v>
      </c>
      <c r="C182" s="123">
        <v>177</v>
      </c>
      <c r="D182" s="123" t="s">
        <v>3187</v>
      </c>
      <c r="E182" s="123"/>
      <c r="F182" s="123"/>
      <c r="G182" s="5" t="s">
        <v>3124</v>
      </c>
    </row>
    <row r="183" spans="2:7" ht="14.25" customHeight="1">
      <c r="B183" s="123" t="s">
        <v>677</v>
      </c>
      <c r="C183" s="123">
        <v>178</v>
      </c>
      <c r="D183" s="123" t="s">
        <v>3188</v>
      </c>
      <c r="E183" s="123"/>
      <c r="F183" s="123"/>
      <c r="G183" s="5" t="s">
        <v>3124</v>
      </c>
    </row>
    <row r="184" spans="2:7" ht="14.25" customHeight="1">
      <c r="B184" s="123" t="s">
        <v>677</v>
      </c>
      <c r="C184" s="123">
        <v>179</v>
      </c>
      <c r="D184" s="123" t="s">
        <v>3188</v>
      </c>
      <c r="E184" s="123"/>
      <c r="F184" s="123"/>
      <c r="G184" s="5" t="s">
        <v>3124</v>
      </c>
    </row>
    <row r="185" spans="2:7" ht="14.25" customHeight="1">
      <c r="B185" s="123" t="s">
        <v>677</v>
      </c>
      <c r="C185" s="123">
        <v>180</v>
      </c>
      <c r="D185" s="123" t="s">
        <v>3188</v>
      </c>
      <c r="E185" s="123"/>
      <c r="F185" s="123"/>
      <c r="G185" s="5" t="s">
        <v>3124</v>
      </c>
    </row>
    <row r="186" spans="2:7" ht="14.25" customHeight="1">
      <c r="B186" s="123" t="s">
        <v>677</v>
      </c>
      <c r="C186" s="123">
        <v>181</v>
      </c>
      <c r="D186" s="123" t="s">
        <v>3189</v>
      </c>
      <c r="E186" s="123"/>
      <c r="F186" s="123"/>
      <c r="G186" s="5" t="s">
        <v>3124</v>
      </c>
    </row>
    <row r="187" spans="2:7" ht="14.25" customHeight="1">
      <c r="B187" s="123" t="s">
        <v>677</v>
      </c>
      <c r="C187" s="123">
        <v>182</v>
      </c>
      <c r="D187" s="123" t="s">
        <v>3189</v>
      </c>
      <c r="E187" s="123"/>
      <c r="F187" s="123"/>
      <c r="G187" s="5" t="s">
        <v>3124</v>
      </c>
    </row>
    <row r="188" spans="2:7" ht="14.25" customHeight="1">
      <c r="B188" s="123" t="s">
        <v>677</v>
      </c>
      <c r="C188" s="123">
        <v>183</v>
      </c>
      <c r="D188" s="123" t="s">
        <v>3189</v>
      </c>
      <c r="E188" s="123"/>
      <c r="F188" s="123"/>
      <c r="G188" s="5" t="s">
        <v>3124</v>
      </c>
    </row>
    <row r="189" spans="2:7" ht="14.25" customHeight="1">
      <c r="B189" s="123" t="s">
        <v>677</v>
      </c>
      <c r="C189" s="123">
        <v>184</v>
      </c>
      <c r="D189" s="123" t="s">
        <v>3190</v>
      </c>
      <c r="E189" s="123"/>
      <c r="F189" s="123"/>
      <c r="G189" s="5" t="s">
        <v>3124</v>
      </c>
    </row>
    <row r="190" spans="2:7" ht="14.25" customHeight="1">
      <c r="B190" s="123" t="s">
        <v>677</v>
      </c>
      <c r="C190" s="123">
        <v>185</v>
      </c>
      <c r="D190" s="123" t="s">
        <v>3190</v>
      </c>
      <c r="E190" s="123"/>
      <c r="F190" s="123"/>
      <c r="G190" s="5" t="s">
        <v>3124</v>
      </c>
    </row>
    <row r="191" spans="2:7" ht="14.25" customHeight="1">
      <c r="B191" s="123" t="s">
        <v>677</v>
      </c>
      <c r="C191" s="123">
        <v>186</v>
      </c>
      <c r="D191" s="123" t="s">
        <v>3190</v>
      </c>
      <c r="E191" s="123"/>
      <c r="F191" s="123"/>
      <c r="G191" s="5" t="s">
        <v>3124</v>
      </c>
    </row>
    <row r="192" spans="2:7" ht="14.25" customHeight="1">
      <c r="B192" s="123" t="s">
        <v>677</v>
      </c>
      <c r="C192" s="123">
        <v>187</v>
      </c>
      <c r="D192" s="123" t="s">
        <v>3191</v>
      </c>
      <c r="E192" s="123"/>
      <c r="F192" s="123"/>
      <c r="G192" s="5" t="s">
        <v>3124</v>
      </c>
    </row>
    <row r="193" spans="2:7" ht="14.25" customHeight="1">
      <c r="B193" s="123" t="s">
        <v>677</v>
      </c>
      <c r="C193" s="123">
        <v>188</v>
      </c>
      <c r="D193" s="123" t="s">
        <v>3191</v>
      </c>
      <c r="E193" s="123"/>
      <c r="F193" s="123"/>
      <c r="G193" s="5" t="s">
        <v>3124</v>
      </c>
    </row>
    <row r="194" spans="2:7" ht="14.25" customHeight="1">
      <c r="B194" s="123" t="s">
        <v>677</v>
      </c>
      <c r="C194" s="123">
        <v>189</v>
      </c>
      <c r="D194" s="123" t="s">
        <v>3191</v>
      </c>
      <c r="E194" s="123"/>
      <c r="F194" s="123"/>
      <c r="G194" s="5" t="s">
        <v>3124</v>
      </c>
    </row>
    <row r="195" spans="2:7" ht="14.25" customHeight="1">
      <c r="B195" s="123" t="s">
        <v>677</v>
      </c>
      <c r="C195" s="123">
        <v>190</v>
      </c>
      <c r="D195" s="123" t="s">
        <v>3192</v>
      </c>
      <c r="E195" s="123"/>
      <c r="F195" s="123"/>
      <c r="G195" s="5" t="s">
        <v>3124</v>
      </c>
    </row>
    <row r="196" spans="2:7" ht="14.25" customHeight="1">
      <c r="B196" s="123" t="s">
        <v>677</v>
      </c>
      <c r="C196" s="123">
        <v>191</v>
      </c>
      <c r="D196" s="123" t="s">
        <v>3192</v>
      </c>
      <c r="E196" s="123"/>
      <c r="F196" s="123"/>
      <c r="G196" s="5" t="s">
        <v>3124</v>
      </c>
    </row>
    <row r="197" spans="2:7" ht="14.25" customHeight="1">
      <c r="B197" s="123" t="s">
        <v>677</v>
      </c>
      <c r="C197" s="123">
        <v>192</v>
      </c>
      <c r="D197" s="123" t="s">
        <v>3192</v>
      </c>
      <c r="E197" s="123"/>
      <c r="F197" s="123"/>
      <c r="G197" s="5" t="s">
        <v>3124</v>
      </c>
    </row>
    <row r="198" spans="2:7" ht="14.25" customHeight="1">
      <c r="B198" s="123" t="s">
        <v>677</v>
      </c>
      <c r="C198" s="123">
        <v>193</v>
      </c>
      <c r="D198" s="123" t="s">
        <v>3193</v>
      </c>
      <c r="E198" s="123"/>
      <c r="F198" s="123"/>
      <c r="G198" s="5" t="s">
        <v>3124</v>
      </c>
    </row>
    <row r="199" spans="2:7" ht="14.25" customHeight="1">
      <c r="B199" s="123" t="s">
        <v>677</v>
      </c>
      <c r="C199" s="123">
        <v>194</v>
      </c>
      <c r="D199" s="123" t="s">
        <v>3193</v>
      </c>
      <c r="E199" s="123"/>
      <c r="F199" s="123"/>
      <c r="G199" s="5" t="s">
        <v>3124</v>
      </c>
    </row>
    <row r="200" spans="2:7" ht="14.25" customHeight="1">
      <c r="B200" s="123" t="s">
        <v>677</v>
      </c>
      <c r="C200" s="123">
        <v>195</v>
      </c>
      <c r="D200" s="123" t="s">
        <v>3193</v>
      </c>
      <c r="E200" s="123"/>
      <c r="F200" s="123"/>
      <c r="G200" s="5" t="s">
        <v>3124</v>
      </c>
    </row>
    <row r="201" spans="2:7" ht="14.25" customHeight="1">
      <c r="B201" s="123" t="s">
        <v>677</v>
      </c>
      <c r="C201" s="123">
        <v>196</v>
      </c>
      <c r="D201" s="123" t="s">
        <v>3194</v>
      </c>
      <c r="E201" s="123"/>
      <c r="F201" s="123"/>
      <c r="G201" s="5" t="s">
        <v>3124</v>
      </c>
    </row>
    <row r="202" spans="2:7" ht="14.25" customHeight="1">
      <c r="B202" s="123" t="s">
        <v>677</v>
      </c>
      <c r="C202" s="123">
        <v>197</v>
      </c>
      <c r="D202" s="123" t="s">
        <v>3194</v>
      </c>
      <c r="E202" s="123"/>
      <c r="F202" s="123"/>
      <c r="G202" s="5" t="s">
        <v>3124</v>
      </c>
    </row>
    <row r="203" spans="2:7" ht="14.25" customHeight="1">
      <c r="B203" s="123" t="s">
        <v>677</v>
      </c>
      <c r="C203" s="123">
        <v>198</v>
      </c>
      <c r="D203" s="123" t="s">
        <v>3194</v>
      </c>
      <c r="E203" s="123"/>
      <c r="F203" s="123"/>
      <c r="G203" s="5" t="s">
        <v>3124</v>
      </c>
    </row>
    <row r="204" spans="2:7" ht="14.25" customHeight="1">
      <c r="B204" s="123" t="s">
        <v>677</v>
      </c>
      <c r="C204" s="123">
        <v>199</v>
      </c>
      <c r="D204" s="123" t="s">
        <v>3195</v>
      </c>
      <c r="E204" s="123"/>
      <c r="F204" s="123"/>
      <c r="G204" s="5" t="s">
        <v>3124</v>
      </c>
    </row>
    <row r="205" spans="2:7" ht="14.25" customHeight="1">
      <c r="B205" s="123" t="s">
        <v>677</v>
      </c>
      <c r="C205" s="123">
        <v>200</v>
      </c>
      <c r="D205" s="123" t="s">
        <v>3195</v>
      </c>
      <c r="E205" s="123"/>
      <c r="F205" s="123"/>
      <c r="G205" s="5" t="s">
        <v>3124</v>
      </c>
    </row>
    <row r="206" spans="2:7" ht="14.25" customHeight="1">
      <c r="B206" s="123" t="s">
        <v>677</v>
      </c>
      <c r="C206" s="123">
        <v>201</v>
      </c>
      <c r="D206" s="123" t="s">
        <v>3195</v>
      </c>
      <c r="E206" s="123"/>
      <c r="F206" s="123"/>
      <c r="G206" s="5" t="s">
        <v>3124</v>
      </c>
    </row>
    <row r="207" spans="2:7" ht="14.25" customHeight="1">
      <c r="B207" s="123" t="s">
        <v>677</v>
      </c>
      <c r="C207" s="123">
        <v>202</v>
      </c>
      <c r="D207" s="123" t="s">
        <v>3196</v>
      </c>
      <c r="E207" s="123"/>
      <c r="F207" s="123"/>
      <c r="G207" s="5" t="s">
        <v>3124</v>
      </c>
    </row>
    <row r="208" spans="2:7" ht="14.25" customHeight="1">
      <c r="B208" s="123" t="s">
        <v>677</v>
      </c>
      <c r="C208" s="123">
        <v>203</v>
      </c>
      <c r="D208" s="123" t="s">
        <v>3196</v>
      </c>
      <c r="E208" s="123"/>
      <c r="F208" s="123"/>
      <c r="G208" s="5" t="s">
        <v>3124</v>
      </c>
    </row>
    <row r="209" spans="2:7" ht="14.25" customHeight="1">
      <c r="B209" s="123" t="s">
        <v>677</v>
      </c>
      <c r="C209" s="123">
        <v>204</v>
      </c>
      <c r="D209" s="123" t="s">
        <v>3196</v>
      </c>
      <c r="E209" s="123"/>
      <c r="F209" s="123"/>
      <c r="G209" s="5" t="s">
        <v>3124</v>
      </c>
    </row>
    <row r="210" spans="2:7" ht="14.25" customHeight="1">
      <c r="B210" s="123" t="s">
        <v>677</v>
      </c>
      <c r="C210" s="123">
        <v>205</v>
      </c>
      <c r="D210" s="123" t="s">
        <v>3197</v>
      </c>
      <c r="E210" s="123"/>
      <c r="F210" s="123"/>
      <c r="G210" s="5" t="s">
        <v>3124</v>
      </c>
    </row>
    <row r="211" spans="2:7" ht="14.25" customHeight="1">
      <c r="B211" s="123" t="s">
        <v>677</v>
      </c>
      <c r="C211" s="123">
        <v>206</v>
      </c>
      <c r="D211" s="123" t="s">
        <v>3197</v>
      </c>
      <c r="E211" s="123"/>
      <c r="F211" s="123"/>
      <c r="G211" s="5" t="s">
        <v>3124</v>
      </c>
    </row>
    <row r="212" spans="2:7" ht="14.25" customHeight="1">
      <c r="B212" s="123" t="s">
        <v>677</v>
      </c>
      <c r="C212" s="123">
        <v>207</v>
      </c>
      <c r="D212" s="123" t="s">
        <v>3197</v>
      </c>
      <c r="E212" s="123"/>
      <c r="F212" s="123"/>
      <c r="G212" s="5" t="s">
        <v>3124</v>
      </c>
    </row>
    <row r="213" spans="2:7" ht="14.25" customHeight="1">
      <c r="B213" s="123" t="s">
        <v>677</v>
      </c>
      <c r="C213" s="123">
        <v>208</v>
      </c>
      <c r="D213" s="123" t="s">
        <v>3198</v>
      </c>
      <c r="E213" s="123"/>
      <c r="F213" s="123"/>
      <c r="G213" s="5" t="s">
        <v>3124</v>
      </c>
    </row>
    <row r="214" spans="2:7" ht="14.25" customHeight="1">
      <c r="B214" s="123" t="s">
        <v>677</v>
      </c>
      <c r="C214" s="123">
        <v>209</v>
      </c>
      <c r="D214" s="123" t="s">
        <v>3198</v>
      </c>
      <c r="E214" s="123"/>
      <c r="F214" s="123"/>
      <c r="G214" s="5" t="s">
        <v>3124</v>
      </c>
    </row>
    <row r="215" spans="2:7" ht="14.25" customHeight="1">
      <c r="B215" s="123" t="s">
        <v>677</v>
      </c>
      <c r="C215" s="123">
        <v>210</v>
      </c>
      <c r="D215" s="123" t="s">
        <v>3198</v>
      </c>
      <c r="E215" s="123"/>
      <c r="F215" s="123"/>
      <c r="G215" s="5" t="s">
        <v>3124</v>
      </c>
    </row>
    <row r="216" spans="2:7" ht="14.25" customHeight="1">
      <c r="B216" s="123" t="s">
        <v>677</v>
      </c>
      <c r="C216" s="123">
        <v>211</v>
      </c>
      <c r="D216" s="123" t="s">
        <v>3199</v>
      </c>
      <c r="E216" s="123"/>
      <c r="F216" s="123"/>
      <c r="G216" s="5" t="s">
        <v>3124</v>
      </c>
    </row>
    <row r="217" spans="2:7" ht="14.25" customHeight="1">
      <c r="B217" s="123" t="s">
        <v>677</v>
      </c>
      <c r="C217" s="123">
        <v>212</v>
      </c>
      <c r="D217" s="123" t="s">
        <v>3199</v>
      </c>
      <c r="E217" s="123"/>
      <c r="F217" s="123"/>
      <c r="G217" s="5" t="s">
        <v>3124</v>
      </c>
    </row>
    <row r="218" spans="2:7" ht="14.25" customHeight="1">
      <c r="B218" s="123" t="s">
        <v>677</v>
      </c>
      <c r="C218" s="123">
        <v>213</v>
      </c>
      <c r="D218" s="123" t="s">
        <v>3199</v>
      </c>
      <c r="E218" s="123"/>
      <c r="F218" s="123"/>
      <c r="G218" s="5" t="s">
        <v>3124</v>
      </c>
    </row>
    <row r="219" spans="2:7" ht="14.25" customHeight="1">
      <c r="B219" s="123" t="s">
        <v>677</v>
      </c>
      <c r="C219" s="123">
        <v>214</v>
      </c>
      <c r="D219" s="123" t="s">
        <v>3200</v>
      </c>
      <c r="E219" s="123" t="s">
        <v>150</v>
      </c>
      <c r="F219" s="123">
        <v>1</v>
      </c>
      <c r="G219" s="5" t="s">
        <v>3124</v>
      </c>
    </row>
    <row r="220" spans="2:7" ht="14.25" customHeight="1">
      <c r="B220" s="123" t="s">
        <v>677</v>
      </c>
      <c r="C220" s="123">
        <v>215</v>
      </c>
      <c r="D220" s="123" t="s">
        <v>3200</v>
      </c>
      <c r="E220" s="123" t="s">
        <v>99</v>
      </c>
      <c r="F220" s="123">
        <v>1</v>
      </c>
      <c r="G220" s="5" t="s">
        <v>3124</v>
      </c>
    </row>
    <row r="221" spans="2:7" ht="14.25" customHeight="1">
      <c r="B221" s="123" t="s">
        <v>677</v>
      </c>
      <c r="C221" s="123">
        <v>216</v>
      </c>
      <c r="D221" s="123" t="s">
        <v>3200</v>
      </c>
      <c r="E221" s="123" t="s">
        <v>158</v>
      </c>
      <c r="F221" s="123">
        <v>1</v>
      </c>
      <c r="G221" s="5" t="s">
        <v>3124</v>
      </c>
    </row>
    <row r="222" spans="2:7" ht="14.25" customHeight="1">
      <c r="B222" s="123" t="s">
        <v>677</v>
      </c>
      <c r="C222" s="123">
        <v>217</v>
      </c>
      <c r="D222" s="123" t="s">
        <v>3201</v>
      </c>
      <c r="E222" s="123" t="s">
        <v>162</v>
      </c>
      <c r="F222" s="123">
        <v>1</v>
      </c>
      <c r="G222" s="5" t="s">
        <v>3124</v>
      </c>
    </row>
    <row r="223" spans="2:7" ht="14.25" customHeight="1">
      <c r="B223" s="123" t="s">
        <v>677</v>
      </c>
      <c r="C223" s="123">
        <v>218</v>
      </c>
      <c r="D223" s="123" t="s">
        <v>3201</v>
      </c>
      <c r="E223" s="123" t="s">
        <v>166</v>
      </c>
      <c r="F223" s="123">
        <v>1</v>
      </c>
      <c r="G223" s="5" t="s">
        <v>3124</v>
      </c>
    </row>
    <row r="224" spans="2:7" ht="14.25" customHeight="1">
      <c r="B224" s="123" t="s">
        <v>677</v>
      </c>
      <c r="C224" s="123">
        <v>219</v>
      </c>
      <c r="D224" s="123" t="s">
        <v>3201</v>
      </c>
      <c r="E224" s="123" t="s">
        <v>170</v>
      </c>
      <c r="F224" s="123">
        <v>1</v>
      </c>
      <c r="G224" s="5" t="s">
        <v>3124</v>
      </c>
    </row>
    <row r="225" spans="2:7" ht="14.25" customHeight="1">
      <c r="B225" s="123" t="s">
        <v>677</v>
      </c>
      <c r="C225" s="123">
        <v>220</v>
      </c>
      <c r="D225" s="123" t="s">
        <v>3202</v>
      </c>
      <c r="E225" s="123" t="s">
        <v>174</v>
      </c>
      <c r="F225" s="123">
        <v>1</v>
      </c>
      <c r="G225" s="5" t="s">
        <v>3124</v>
      </c>
    </row>
    <row r="226" spans="2:7" ht="14.25" customHeight="1">
      <c r="B226" s="123" t="s">
        <v>677</v>
      </c>
      <c r="C226" s="123">
        <v>221</v>
      </c>
      <c r="D226" s="123" t="s">
        <v>3202</v>
      </c>
      <c r="E226" s="123" t="s">
        <v>178</v>
      </c>
      <c r="F226" s="123">
        <v>1</v>
      </c>
      <c r="G226" s="5" t="s">
        <v>3124</v>
      </c>
    </row>
    <row r="227" spans="2:7" ht="14.25" customHeight="1">
      <c r="B227" s="123" t="s">
        <v>677</v>
      </c>
      <c r="C227" s="123">
        <v>222</v>
      </c>
      <c r="D227" s="123" t="s">
        <v>3202</v>
      </c>
      <c r="E227" s="123" t="s">
        <v>182</v>
      </c>
      <c r="F227" s="123">
        <v>1</v>
      </c>
      <c r="G227" s="5" t="s">
        <v>3124</v>
      </c>
    </row>
    <row r="228" spans="2:7" ht="14.25" customHeight="1">
      <c r="B228" s="123" t="s">
        <v>677</v>
      </c>
      <c r="C228" s="123">
        <v>223</v>
      </c>
      <c r="D228" s="123" t="s">
        <v>3203</v>
      </c>
      <c r="E228" s="123" t="s">
        <v>150</v>
      </c>
      <c r="F228" s="123">
        <v>1</v>
      </c>
      <c r="G228" s="5" t="s">
        <v>3124</v>
      </c>
    </row>
    <row r="229" spans="2:7" ht="14.25" customHeight="1">
      <c r="B229" s="123" t="s">
        <v>677</v>
      </c>
      <c r="C229" s="123">
        <v>224</v>
      </c>
      <c r="D229" s="123" t="s">
        <v>3203</v>
      </c>
      <c r="E229" s="123" t="s">
        <v>99</v>
      </c>
      <c r="F229" s="123">
        <v>1</v>
      </c>
      <c r="G229" s="5" t="s">
        <v>3124</v>
      </c>
    </row>
    <row r="230" spans="2:7" ht="14.25" customHeight="1">
      <c r="B230" s="123" t="s">
        <v>677</v>
      </c>
      <c r="C230" s="123">
        <v>225</v>
      </c>
      <c r="D230" s="123" t="s">
        <v>3203</v>
      </c>
      <c r="E230" s="123" t="s">
        <v>158</v>
      </c>
      <c r="F230" s="123">
        <v>1</v>
      </c>
      <c r="G230" s="5" t="s">
        <v>3124</v>
      </c>
    </row>
    <row r="231" spans="2:7" ht="14.25" customHeight="1">
      <c r="B231" s="123" t="s">
        <v>677</v>
      </c>
      <c r="C231" s="123">
        <v>226</v>
      </c>
      <c r="D231" s="123" t="s">
        <v>3204</v>
      </c>
      <c r="E231" s="123" t="s">
        <v>162</v>
      </c>
      <c r="F231" s="123">
        <v>1</v>
      </c>
      <c r="G231" s="5" t="s">
        <v>3124</v>
      </c>
    </row>
    <row r="232" spans="2:7" ht="14.25" customHeight="1">
      <c r="B232" s="123" t="s">
        <v>677</v>
      </c>
      <c r="C232" s="123">
        <v>227</v>
      </c>
      <c r="D232" s="123" t="s">
        <v>3204</v>
      </c>
      <c r="E232" s="123" t="s">
        <v>166</v>
      </c>
      <c r="F232" s="123">
        <v>1</v>
      </c>
      <c r="G232" s="5" t="s">
        <v>3124</v>
      </c>
    </row>
    <row r="233" spans="2:7" ht="14.25" customHeight="1">
      <c r="B233" s="123" t="s">
        <v>677</v>
      </c>
      <c r="C233" s="123">
        <v>228</v>
      </c>
      <c r="D233" s="123" t="s">
        <v>3204</v>
      </c>
      <c r="E233" s="123" t="s">
        <v>170</v>
      </c>
      <c r="F233" s="123">
        <v>1</v>
      </c>
      <c r="G233" s="5" t="s">
        <v>3124</v>
      </c>
    </row>
    <row r="234" spans="2:7" ht="14.25" customHeight="1">
      <c r="B234" s="123" t="s">
        <v>677</v>
      </c>
      <c r="C234" s="123">
        <v>229</v>
      </c>
      <c r="D234" s="123" t="s">
        <v>3205</v>
      </c>
      <c r="E234" s="123" t="s">
        <v>174</v>
      </c>
      <c r="F234" s="123">
        <v>1</v>
      </c>
      <c r="G234" s="5" t="s">
        <v>3124</v>
      </c>
    </row>
    <row r="235" spans="2:7" ht="14.25" customHeight="1">
      <c r="B235" s="123" t="s">
        <v>677</v>
      </c>
      <c r="C235" s="123">
        <v>230</v>
      </c>
      <c r="D235" s="123" t="s">
        <v>3205</v>
      </c>
      <c r="E235" s="123" t="s">
        <v>178</v>
      </c>
      <c r="F235" s="123">
        <v>1</v>
      </c>
      <c r="G235" s="5" t="s">
        <v>3124</v>
      </c>
    </row>
    <row r="236" spans="2:7" ht="14.25" customHeight="1">
      <c r="B236" s="123" t="s">
        <v>677</v>
      </c>
      <c r="C236" s="123">
        <v>231</v>
      </c>
      <c r="D236" s="123" t="s">
        <v>3205</v>
      </c>
      <c r="E236" s="123" t="s">
        <v>182</v>
      </c>
      <c r="F236" s="123">
        <v>1</v>
      </c>
      <c r="G236" s="5" t="s">
        <v>3124</v>
      </c>
    </row>
    <row r="237" spans="2:7" ht="14.25" customHeight="1">
      <c r="B237" s="123" t="s">
        <v>677</v>
      </c>
      <c r="C237" s="123">
        <v>232</v>
      </c>
      <c r="D237" s="123" t="s">
        <v>3206</v>
      </c>
      <c r="E237" s="123" t="s">
        <v>150</v>
      </c>
      <c r="F237" s="123">
        <v>1</v>
      </c>
      <c r="G237" s="5" t="s">
        <v>3124</v>
      </c>
    </row>
    <row r="238" spans="2:7" ht="14.25" customHeight="1">
      <c r="B238" s="123" t="s">
        <v>677</v>
      </c>
      <c r="C238" s="123">
        <v>233</v>
      </c>
      <c r="D238" s="123" t="s">
        <v>3206</v>
      </c>
      <c r="E238" s="123" t="s">
        <v>99</v>
      </c>
      <c r="F238" s="123">
        <v>1</v>
      </c>
      <c r="G238" s="5" t="s">
        <v>3124</v>
      </c>
    </row>
    <row r="239" spans="2:7" ht="14.25" customHeight="1">
      <c r="B239" s="123" t="s">
        <v>677</v>
      </c>
      <c r="C239" s="123">
        <v>234</v>
      </c>
      <c r="D239" s="123" t="s">
        <v>3206</v>
      </c>
      <c r="E239" s="123" t="s">
        <v>158</v>
      </c>
      <c r="F239" s="123">
        <v>1</v>
      </c>
      <c r="G239" s="5" t="s">
        <v>3124</v>
      </c>
    </row>
    <row r="240" spans="2:7" ht="14.25" customHeight="1">
      <c r="B240" s="123" t="s">
        <v>677</v>
      </c>
      <c r="C240" s="123">
        <v>235</v>
      </c>
      <c r="D240" s="123" t="s">
        <v>3207</v>
      </c>
      <c r="E240" s="123" t="s">
        <v>162</v>
      </c>
      <c r="F240" s="123">
        <v>1</v>
      </c>
      <c r="G240" s="5" t="s">
        <v>3124</v>
      </c>
    </row>
    <row r="241" spans="2:7" ht="14.25" customHeight="1">
      <c r="B241" s="123" t="s">
        <v>677</v>
      </c>
      <c r="C241" s="123">
        <v>236</v>
      </c>
      <c r="D241" s="123" t="s">
        <v>3207</v>
      </c>
      <c r="E241" s="123" t="s">
        <v>166</v>
      </c>
      <c r="F241" s="123">
        <v>1</v>
      </c>
      <c r="G241" s="5" t="s">
        <v>3124</v>
      </c>
    </row>
    <row r="242" spans="2:7" ht="14.25" customHeight="1">
      <c r="B242" s="123" t="s">
        <v>677</v>
      </c>
      <c r="C242" s="123">
        <v>237</v>
      </c>
      <c r="D242" s="123" t="s">
        <v>3207</v>
      </c>
      <c r="E242" s="123" t="s">
        <v>170</v>
      </c>
      <c r="F242" s="123">
        <v>1</v>
      </c>
      <c r="G242" s="5" t="s">
        <v>3124</v>
      </c>
    </row>
    <row r="243" spans="2:7" ht="14.25" customHeight="1">
      <c r="B243" s="123" t="s">
        <v>677</v>
      </c>
      <c r="C243" s="123">
        <v>238</v>
      </c>
      <c r="D243" s="123" t="s">
        <v>3208</v>
      </c>
      <c r="E243" s="123" t="s">
        <v>174</v>
      </c>
      <c r="F243" s="123">
        <v>1</v>
      </c>
      <c r="G243" s="5" t="s">
        <v>3124</v>
      </c>
    </row>
    <row r="244" spans="2:7" ht="14.25" customHeight="1">
      <c r="B244" s="123" t="s">
        <v>677</v>
      </c>
      <c r="C244" s="123">
        <v>239</v>
      </c>
      <c r="D244" s="123" t="s">
        <v>3208</v>
      </c>
      <c r="E244" s="123" t="s">
        <v>178</v>
      </c>
      <c r="F244" s="123">
        <v>1</v>
      </c>
      <c r="G244" s="5" t="s">
        <v>3124</v>
      </c>
    </row>
    <row r="245" spans="2:7" ht="14.25" customHeight="1">
      <c r="B245" s="123" t="s">
        <v>677</v>
      </c>
      <c r="C245" s="123">
        <v>240</v>
      </c>
      <c r="D245" s="123" t="s">
        <v>3208</v>
      </c>
      <c r="E245" s="123" t="s">
        <v>182</v>
      </c>
      <c r="F245" s="123">
        <v>1</v>
      </c>
      <c r="G245" s="5" t="s">
        <v>3124</v>
      </c>
    </row>
    <row r="246" spans="2:7" ht="14.25" customHeight="1">
      <c r="B246" s="123" t="s">
        <v>677</v>
      </c>
      <c r="C246" s="123">
        <v>241</v>
      </c>
      <c r="D246" s="123" t="s">
        <v>3209</v>
      </c>
      <c r="E246" s="123" t="s">
        <v>150</v>
      </c>
      <c r="F246" s="123">
        <v>1</v>
      </c>
      <c r="G246" s="5" t="s">
        <v>3124</v>
      </c>
    </row>
    <row r="247" spans="2:7" ht="14.25" customHeight="1">
      <c r="B247" s="123" t="s">
        <v>677</v>
      </c>
      <c r="C247" s="123">
        <v>242</v>
      </c>
      <c r="D247" s="123" t="s">
        <v>3209</v>
      </c>
      <c r="E247" s="123" t="s">
        <v>99</v>
      </c>
      <c r="F247" s="123">
        <v>1</v>
      </c>
      <c r="G247" s="5" t="s">
        <v>3124</v>
      </c>
    </row>
    <row r="248" spans="2:7" ht="14.25" customHeight="1">
      <c r="B248" s="123" t="s">
        <v>677</v>
      </c>
      <c r="C248" s="123">
        <v>243</v>
      </c>
      <c r="D248" s="123" t="s">
        <v>3209</v>
      </c>
      <c r="E248" s="123" t="s">
        <v>158</v>
      </c>
      <c r="F248" s="123">
        <v>1</v>
      </c>
      <c r="G248" s="5" t="s">
        <v>3124</v>
      </c>
    </row>
    <row r="249" spans="2:7" ht="14.25" customHeight="1">
      <c r="B249" s="123" t="s">
        <v>677</v>
      </c>
      <c r="C249" s="123">
        <v>244</v>
      </c>
      <c r="D249" s="123" t="s">
        <v>3210</v>
      </c>
      <c r="E249" s="123" t="s">
        <v>150</v>
      </c>
      <c r="F249" s="123">
        <v>1</v>
      </c>
      <c r="G249" s="5" t="s">
        <v>3124</v>
      </c>
    </row>
    <row r="250" spans="2:7" ht="14.25" customHeight="1">
      <c r="B250" s="123" t="s">
        <v>677</v>
      </c>
      <c r="C250" s="123">
        <v>245</v>
      </c>
      <c r="D250" s="123" t="s">
        <v>3210</v>
      </c>
      <c r="E250" s="123" t="s">
        <v>99</v>
      </c>
      <c r="F250" s="123">
        <v>1</v>
      </c>
      <c r="G250" s="5" t="s">
        <v>3124</v>
      </c>
    </row>
    <row r="251" spans="2:7" ht="14.25" customHeight="1">
      <c r="B251" s="123" t="s">
        <v>677</v>
      </c>
      <c r="C251" s="123">
        <v>246</v>
      </c>
      <c r="D251" s="123" t="s">
        <v>3210</v>
      </c>
      <c r="E251" s="123" t="s">
        <v>158</v>
      </c>
      <c r="F251" s="123">
        <v>1</v>
      </c>
      <c r="G251" s="5" t="s">
        <v>3124</v>
      </c>
    </row>
    <row r="252" spans="2:7" ht="14.25" customHeight="1">
      <c r="B252" s="123" t="s">
        <v>677</v>
      </c>
      <c r="C252" s="123">
        <v>247</v>
      </c>
      <c r="D252" s="123" t="s">
        <v>3211</v>
      </c>
      <c r="E252" s="123" t="s">
        <v>150</v>
      </c>
      <c r="F252" s="123">
        <v>1</v>
      </c>
      <c r="G252" s="5" t="s">
        <v>3124</v>
      </c>
    </row>
    <row r="253" spans="2:7" ht="14.25" customHeight="1">
      <c r="B253" s="123" t="s">
        <v>677</v>
      </c>
      <c r="C253" s="123">
        <v>248</v>
      </c>
      <c r="D253" s="123" t="s">
        <v>3211</v>
      </c>
      <c r="E253" s="123" t="s">
        <v>99</v>
      </c>
      <c r="F253" s="123">
        <v>1</v>
      </c>
      <c r="G253" s="5" t="s">
        <v>3124</v>
      </c>
    </row>
    <row r="254" spans="2:7" ht="14.25" customHeight="1">
      <c r="B254" s="123" t="s">
        <v>677</v>
      </c>
      <c r="C254" s="123">
        <v>249</v>
      </c>
      <c r="D254" s="123" t="s">
        <v>3211</v>
      </c>
      <c r="E254" s="123" t="s">
        <v>158</v>
      </c>
      <c r="F254" s="123">
        <v>1</v>
      </c>
      <c r="G254" s="5" t="s">
        <v>3124</v>
      </c>
    </row>
    <row r="255" spans="2:7" ht="14.25" customHeight="1">
      <c r="B255" s="123" t="s">
        <v>677</v>
      </c>
      <c r="C255" s="123">
        <v>250</v>
      </c>
      <c r="D255" s="123" t="s">
        <v>3212</v>
      </c>
      <c r="E255" s="123" t="s">
        <v>150</v>
      </c>
      <c r="F255" s="123">
        <v>1</v>
      </c>
      <c r="G255" s="5" t="s">
        <v>3124</v>
      </c>
    </row>
    <row r="256" spans="2:7" ht="14.25" customHeight="1">
      <c r="B256" s="123" t="s">
        <v>677</v>
      </c>
      <c r="C256" s="123">
        <v>251</v>
      </c>
      <c r="D256" s="123" t="s">
        <v>3212</v>
      </c>
      <c r="E256" s="123" t="s">
        <v>99</v>
      </c>
      <c r="F256" s="123">
        <v>1</v>
      </c>
      <c r="G256" s="5" t="s">
        <v>3124</v>
      </c>
    </row>
    <row r="257" spans="2:7" ht="14.25" customHeight="1">
      <c r="B257" s="123" t="s">
        <v>677</v>
      </c>
      <c r="C257" s="123">
        <v>252</v>
      </c>
      <c r="D257" s="123" t="s">
        <v>3212</v>
      </c>
      <c r="E257" s="123" t="s">
        <v>158</v>
      </c>
      <c r="F257" s="123">
        <v>1</v>
      </c>
      <c r="G257" s="5" t="s">
        <v>3124</v>
      </c>
    </row>
    <row r="258" spans="2:7" ht="14.25" customHeight="1">
      <c r="B258" s="123" t="s">
        <v>677</v>
      </c>
      <c r="C258" s="123">
        <v>253</v>
      </c>
      <c r="D258" s="123" t="s">
        <v>3213</v>
      </c>
      <c r="E258" s="123" t="s">
        <v>162</v>
      </c>
      <c r="F258" s="123">
        <v>1</v>
      </c>
      <c r="G258" s="5" t="s">
        <v>3124</v>
      </c>
    </row>
    <row r="259" spans="2:7" ht="14.25" customHeight="1">
      <c r="B259" s="123" t="s">
        <v>677</v>
      </c>
      <c r="C259" s="123">
        <v>254</v>
      </c>
      <c r="D259" s="123" t="s">
        <v>3213</v>
      </c>
      <c r="E259" s="123" t="s">
        <v>166</v>
      </c>
      <c r="F259" s="123">
        <v>1</v>
      </c>
      <c r="G259" s="5" t="s">
        <v>3124</v>
      </c>
    </row>
    <row r="260" spans="2:7" ht="14.25" customHeight="1">
      <c r="B260" s="123" t="s">
        <v>677</v>
      </c>
      <c r="C260" s="123">
        <v>255</v>
      </c>
      <c r="D260" s="123" t="s">
        <v>3213</v>
      </c>
      <c r="E260" s="123" t="s">
        <v>170</v>
      </c>
      <c r="F260" s="123">
        <v>1</v>
      </c>
      <c r="G260" s="5" t="s">
        <v>3124</v>
      </c>
    </row>
    <row r="261" spans="2:7" ht="14.25" customHeight="1">
      <c r="B261" s="123" t="s">
        <v>677</v>
      </c>
      <c r="C261" s="123">
        <v>256</v>
      </c>
      <c r="D261" s="123" t="s">
        <v>3214</v>
      </c>
      <c r="E261" s="123" t="s">
        <v>162</v>
      </c>
      <c r="F261" s="123">
        <v>1</v>
      </c>
      <c r="G261" s="5" t="s">
        <v>3124</v>
      </c>
    </row>
    <row r="262" spans="2:7" ht="14.25" customHeight="1">
      <c r="B262" s="123" t="s">
        <v>677</v>
      </c>
      <c r="C262" s="123">
        <v>257</v>
      </c>
      <c r="D262" s="123" t="s">
        <v>3214</v>
      </c>
      <c r="E262" s="123" t="s">
        <v>166</v>
      </c>
      <c r="F262" s="123">
        <v>1</v>
      </c>
      <c r="G262" s="5" t="s">
        <v>3124</v>
      </c>
    </row>
    <row r="263" spans="2:7" ht="14.25" customHeight="1">
      <c r="B263" s="123" t="s">
        <v>677</v>
      </c>
      <c r="C263" s="123">
        <v>258</v>
      </c>
      <c r="D263" s="123" t="s">
        <v>3214</v>
      </c>
      <c r="E263" s="123" t="s">
        <v>170</v>
      </c>
      <c r="F263" s="123">
        <v>1</v>
      </c>
      <c r="G263" s="5" t="s">
        <v>3124</v>
      </c>
    </row>
    <row r="264" spans="2:7" ht="14.25" customHeight="1">
      <c r="B264" s="123" t="s">
        <v>677</v>
      </c>
      <c r="C264" s="123">
        <v>259</v>
      </c>
      <c r="D264" s="123" t="s">
        <v>3215</v>
      </c>
      <c r="E264" s="123" t="s">
        <v>162</v>
      </c>
      <c r="F264" s="123">
        <v>1</v>
      </c>
      <c r="G264" s="5" t="s">
        <v>3124</v>
      </c>
    </row>
    <row r="265" spans="2:7" ht="14.25" customHeight="1">
      <c r="B265" s="123" t="s">
        <v>677</v>
      </c>
      <c r="C265" s="123">
        <v>260</v>
      </c>
      <c r="D265" s="123" t="s">
        <v>3215</v>
      </c>
      <c r="E265" s="123" t="s">
        <v>166</v>
      </c>
      <c r="F265" s="123">
        <v>1</v>
      </c>
      <c r="G265" s="5" t="s">
        <v>3124</v>
      </c>
    </row>
    <row r="266" spans="2:7" ht="14.25" customHeight="1">
      <c r="B266" s="123" t="s">
        <v>677</v>
      </c>
      <c r="C266" s="123">
        <v>261</v>
      </c>
      <c r="D266" s="123" t="s">
        <v>3215</v>
      </c>
      <c r="E266" s="123" t="s">
        <v>170</v>
      </c>
      <c r="F266" s="123">
        <v>1</v>
      </c>
      <c r="G266" s="5" t="s">
        <v>3124</v>
      </c>
    </row>
    <row r="267" spans="2:7" ht="14.25" customHeight="1">
      <c r="B267" s="123" t="s">
        <v>677</v>
      </c>
      <c r="C267" s="123">
        <v>262</v>
      </c>
      <c r="D267" s="123" t="s">
        <v>3216</v>
      </c>
      <c r="E267" s="123" t="s">
        <v>162</v>
      </c>
      <c r="F267" s="123">
        <v>1</v>
      </c>
      <c r="G267" s="5" t="s">
        <v>3124</v>
      </c>
    </row>
    <row r="268" spans="2:7" ht="14.25" customHeight="1">
      <c r="B268" s="123" t="s">
        <v>677</v>
      </c>
      <c r="C268" s="123">
        <v>263</v>
      </c>
      <c r="D268" s="123" t="s">
        <v>3216</v>
      </c>
      <c r="E268" s="123" t="s">
        <v>166</v>
      </c>
      <c r="F268" s="123">
        <v>1</v>
      </c>
      <c r="G268" s="5" t="s">
        <v>3124</v>
      </c>
    </row>
    <row r="269" spans="2:7" ht="14.25" customHeight="1">
      <c r="B269" s="123" t="s">
        <v>677</v>
      </c>
      <c r="C269" s="123">
        <v>264</v>
      </c>
      <c r="D269" s="123" t="s">
        <v>3216</v>
      </c>
      <c r="E269" s="123" t="s">
        <v>170</v>
      </c>
      <c r="F269" s="123">
        <v>1</v>
      </c>
      <c r="G269" s="5" t="s">
        <v>3124</v>
      </c>
    </row>
    <row r="270" spans="2:7" ht="14.25" customHeight="1">
      <c r="B270" s="123" t="s">
        <v>677</v>
      </c>
      <c r="C270" s="123">
        <v>265</v>
      </c>
      <c r="D270" s="123" t="s">
        <v>3217</v>
      </c>
      <c r="E270" s="123" t="s">
        <v>162</v>
      </c>
      <c r="F270" s="123">
        <v>1</v>
      </c>
      <c r="G270" s="5" t="s">
        <v>3124</v>
      </c>
    </row>
    <row r="271" spans="2:7" ht="14.25" customHeight="1">
      <c r="B271" s="123" t="s">
        <v>677</v>
      </c>
      <c r="C271" s="123">
        <v>266</v>
      </c>
      <c r="D271" s="123" t="s">
        <v>3217</v>
      </c>
      <c r="E271" s="123" t="s">
        <v>166</v>
      </c>
      <c r="F271" s="123">
        <v>1</v>
      </c>
      <c r="G271" s="5" t="s">
        <v>3124</v>
      </c>
    </row>
    <row r="272" spans="2:7" ht="14.25" customHeight="1">
      <c r="B272" s="123" t="s">
        <v>677</v>
      </c>
      <c r="C272" s="123">
        <v>267</v>
      </c>
      <c r="D272" s="123" t="s">
        <v>3217</v>
      </c>
      <c r="E272" s="123" t="s">
        <v>170</v>
      </c>
      <c r="F272" s="123">
        <v>1</v>
      </c>
      <c r="G272" s="5" t="s">
        <v>3124</v>
      </c>
    </row>
    <row r="273" spans="2:7" ht="14.25" customHeight="1">
      <c r="B273" s="123" t="s">
        <v>677</v>
      </c>
      <c r="C273" s="123">
        <v>268</v>
      </c>
      <c r="D273" s="123" t="s">
        <v>3218</v>
      </c>
      <c r="E273" s="123" t="s">
        <v>162</v>
      </c>
      <c r="F273" s="123">
        <v>1</v>
      </c>
      <c r="G273" s="5" t="s">
        <v>3124</v>
      </c>
    </row>
    <row r="274" spans="2:7" ht="14.25" customHeight="1">
      <c r="B274" s="123" t="s">
        <v>677</v>
      </c>
      <c r="C274" s="123">
        <v>269</v>
      </c>
      <c r="D274" s="123" t="s">
        <v>3218</v>
      </c>
      <c r="E274" s="123" t="s">
        <v>166</v>
      </c>
      <c r="F274" s="123">
        <v>1</v>
      </c>
      <c r="G274" s="5" t="s">
        <v>3124</v>
      </c>
    </row>
    <row r="275" spans="2:7" ht="14.25" customHeight="1">
      <c r="B275" s="123" t="s">
        <v>677</v>
      </c>
      <c r="C275" s="123">
        <v>270</v>
      </c>
      <c r="D275" s="123" t="s">
        <v>3218</v>
      </c>
      <c r="E275" s="123" t="s">
        <v>170</v>
      </c>
      <c r="F275" s="123">
        <v>1</v>
      </c>
      <c r="G275" s="5" t="s">
        <v>3124</v>
      </c>
    </row>
    <row r="276" spans="2:7" ht="14.25" customHeight="1">
      <c r="B276" s="123" t="s">
        <v>677</v>
      </c>
      <c r="C276" s="123">
        <v>271</v>
      </c>
      <c r="D276" s="123" t="s">
        <v>3219</v>
      </c>
      <c r="E276" s="123" t="s">
        <v>162</v>
      </c>
      <c r="F276" s="123">
        <v>1</v>
      </c>
      <c r="G276" s="5" t="s">
        <v>3124</v>
      </c>
    </row>
    <row r="277" spans="2:7" ht="14.25" customHeight="1">
      <c r="B277" s="123" t="s">
        <v>677</v>
      </c>
      <c r="C277" s="123">
        <v>272</v>
      </c>
      <c r="D277" s="123" t="s">
        <v>3219</v>
      </c>
      <c r="E277" s="123" t="s">
        <v>166</v>
      </c>
      <c r="F277" s="123">
        <v>1</v>
      </c>
      <c r="G277" s="5" t="s">
        <v>3124</v>
      </c>
    </row>
    <row r="278" spans="2:7" ht="14.25" customHeight="1">
      <c r="B278" s="123" t="s">
        <v>677</v>
      </c>
      <c r="C278" s="123">
        <v>273</v>
      </c>
      <c r="D278" s="123" t="s">
        <v>3219</v>
      </c>
      <c r="E278" s="123" t="s">
        <v>170</v>
      </c>
      <c r="F278" s="123">
        <v>1</v>
      </c>
      <c r="G278" s="5" t="s">
        <v>3124</v>
      </c>
    </row>
    <row r="279" spans="2:7" ht="14.25" customHeight="1">
      <c r="B279" s="123" t="s">
        <v>677</v>
      </c>
      <c r="C279" s="123">
        <v>274</v>
      </c>
      <c r="D279" s="123" t="s">
        <v>3220</v>
      </c>
      <c r="E279" s="123" t="s">
        <v>186</v>
      </c>
      <c r="F279" s="123">
        <v>1</v>
      </c>
      <c r="G279" s="5" t="s">
        <v>3124</v>
      </c>
    </row>
    <row r="280" spans="2:7" ht="14.25" customHeight="1">
      <c r="B280" s="123" t="s">
        <v>677</v>
      </c>
      <c r="C280" s="123">
        <v>275</v>
      </c>
      <c r="D280" s="123" t="s">
        <v>3220</v>
      </c>
      <c r="E280" s="123" t="s">
        <v>190</v>
      </c>
      <c r="F280" s="123">
        <v>1</v>
      </c>
      <c r="G280" s="5" t="s">
        <v>3124</v>
      </c>
    </row>
    <row r="281" spans="2:7" ht="14.25" customHeight="1">
      <c r="B281" s="123" t="s">
        <v>677</v>
      </c>
      <c r="C281" s="123">
        <v>276</v>
      </c>
      <c r="D281" s="123" t="s">
        <v>3220</v>
      </c>
      <c r="E281" s="123" t="s">
        <v>194</v>
      </c>
      <c r="F281" s="123">
        <v>1</v>
      </c>
      <c r="G281" s="5" t="s">
        <v>3124</v>
      </c>
    </row>
    <row r="282" spans="2:7" ht="14.25" customHeight="1">
      <c r="B282" s="123" t="s">
        <v>677</v>
      </c>
      <c r="C282" s="123">
        <v>277</v>
      </c>
      <c r="D282" s="123" t="s">
        <v>3221</v>
      </c>
      <c r="E282" s="123" t="s">
        <v>150</v>
      </c>
      <c r="F282" s="123">
        <v>1</v>
      </c>
      <c r="G282" s="5" t="s">
        <v>3124</v>
      </c>
    </row>
    <row r="283" spans="2:7" ht="14.25" customHeight="1">
      <c r="B283" s="123" t="s">
        <v>677</v>
      </c>
      <c r="C283" s="123">
        <v>278</v>
      </c>
      <c r="D283" s="123" t="s">
        <v>3221</v>
      </c>
      <c r="E283" s="123" t="s">
        <v>99</v>
      </c>
      <c r="F283" s="123">
        <v>1</v>
      </c>
      <c r="G283" s="5" t="s">
        <v>3124</v>
      </c>
    </row>
    <row r="284" spans="2:7" ht="14.25" customHeight="1">
      <c r="B284" s="123" t="s">
        <v>677</v>
      </c>
      <c r="C284" s="123">
        <v>279</v>
      </c>
      <c r="D284" s="123" t="s">
        <v>3221</v>
      </c>
      <c r="E284" s="123" t="s">
        <v>158</v>
      </c>
      <c r="F284" s="123">
        <v>1</v>
      </c>
      <c r="G284" s="5" t="s">
        <v>3124</v>
      </c>
    </row>
    <row r="285" spans="2:7" ht="14.25" customHeight="1">
      <c r="B285" s="123" t="s">
        <v>677</v>
      </c>
      <c r="C285" s="123">
        <v>280</v>
      </c>
      <c r="D285" s="123" t="s">
        <v>3222</v>
      </c>
      <c r="E285" s="123" t="s">
        <v>150</v>
      </c>
      <c r="F285" s="123">
        <v>1</v>
      </c>
      <c r="G285" s="5" t="s">
        <v>3124</v>
      </c>
    </row>
    <row r="286" spans="2:7" ht="14.25" customHeight="1">
      <c r="B286" s="123" t="s">
        <v>677</v>
      </c>
      <c r="C286" s="123">
        <v>281</v>
      </c>
      <c r="D286" s="123" t="s">
        <v>3222</v>
      </c>
      <c r="E286" s="123" t="s">
        <v>99</v>
      </c>
      <c r="F286" s="123">
        <v>1</v>
      </c>
      <c r="G286" s="5" t="s">
        <v>3124</v>
      </c>
    </row>
    <row r="287" spans="2:7" ht="14.25" customHeight="1">
      <c r="B287" s="123" t="s">
        <v>677</v>
      </c>
      <c r="C287" s="123">
        <v>282</v>
      </c>
      <c r="D287" s="123" t="s">
        <v>3222</v>
      </c>
      <c r="E287" s="123" t="s">
        <v>158</v>
      </c>
      <c r="F287" s="123">
        <v>1</v>
      </c>
      <c r="G287" s="5" t="s">
        <v>3124</v>
      </c>
    </row>
    <row r="288" spans="2:7" ht="14.25" customHeight="1">
      <c r="B288" s="123" t="s">
        <v>677</v>
      </c>
      <c r="C288" s="123">
        <v>283</v>
      </c>
      <c r="D288" s="123" t="s">
        <v>3223</v>
      </c>
      <c r="E288" s="123" t="s">
        <v>150</v>
      </c>
      <c r="F288" s="123">
        <v>1</v>
      </c>
      <c r="G288" s="5" t="s">
        <v>3124</v>
      </c>
    </row>
    <row r="289" spans="2:7" ht="14.25" customHeight="1">
      <c r="B289" s="123" t="s">
        <v>677</v>
      </c>
      <c r="C289" s="123">
        <v>284</v>
      </c>
      <c r="D289" s="123" t="s">
        <v>3223</v>
      </c>
      <c r="E289" s="123" t="s">
        <v>99</v>
      </c>
      <c r="F289" s="123">
        <v>1</v>
      </c>
      <c r="G289" s="5" t="s">
        <v>3124</v>
      </c>
    </row>
    <row r="290" spans="2:7" ht="14.25" customHeight="1">
      <c r="B290" s="123" t="s">
        <v>677</v>
      </c>
      <c r="C290" s="123">
        <v>285</v>
      </c>
      <c r="D290" s="123" t="s">
        <v>3223</v>
      </c>
      <c r="E290" s="123" t="s">
        <v>158</v>
      </c>
      <c r="F290" s="123">
        <v>1</v>
      </c>
      <c r="G290" s="5" t="s">
        <v>3124</v>
      </c>
    </row>
    <row r="291" spans="2:7" ht="14.25" customHeight="1">
      <c r="B291" s="123" t="s">
        <v>677</v>
      </c>
      <c r="C291" s="123">
        <v>286</v>
      </c>
      <c r="D291" s="123" t="s">
        <v>3224</v>
      </c>
      <c r="E291" s="123" t="s">
        <v>150</v>
      </c>
      <c r="F291" s="123">
        <v>1</v>
      </c>
      <c r="G291" s="5" t="s">
        <v>3124</v>
      </c>
    </row>
    <row r="292" spans="2:7" ht="14.25" customHeight="1">
      <c r="B292" s="123" t="s">
        <v>677</v>
      </c>
      <c r="C292" s="123">
        <v>287</v>
      </c>
      <c r="D292" s="123" t="s">
        <v>3224</v>
      </c>
      <c r="E292" s="123" t="s">
        <v>99</v>
      </c>
      <c r="F292" s="123">
        <v>1</v>
      </c>
      <c r="G292" s="5" t="s">
        <v>3124</v>
      </c>
    </row>
    <row r="293" spans="2:7" ht="14.25" customHeight="1">
      <c r="B293" s="123" t="s">
        <v>677</v>
      </c>
      <c r="C293" s="123">
        <v>288</v>
      </c>
      <c r="D293" s="123" t="s">
        <v>3224</v>
      </c>
      <c r="E293" s="123" t="s">
        <v>158</v>
      </c>
      <c r="F293" s="123">
        <v>1</v>
      </c>
      <c r="G293" s="5" t="s">
        <v>3124</v>
      </c>
    </row>
    <row r="294" spans="2:7" ht="14.25" customHeight="1">
      <c r="B294" s="123" t="s">
        <v>677</v>
      </c>
      <c r="C294" s="123">
        <v>289</v>
      </c>
      <c r="D294" s="123" t="s">
        <v>3225</v>
      </c>
      <c r="E294" s="123" t="s">
        <v>150</v>
      </c>
      <c r="F294" s="123">
        <v>1</v>
      </c>
      <c r="G294" s="5" t="s">
        <v>3124</v>
      </c>
    </row>
    <row r="295" spans="2:7" ht="14.25" customHeight="1">
      <c r="B295" s="123" t="s">
        <v>677</v>
      </c>
      <c r="C295" s="123">
        <v>290</v>
      </c>
      <c r="D295" s="123" t="s">
        <v>3225</v>
      </c>
      <c r="E295" s="123" t="s">
        <v>99</v>
      </c>
      <c r="F295" s="123">
        <v>1</v>
      </c>
      <c r="G295" s="5" t="s">
        <v>3124</v>
      </c>
    </row>
    <row r="296" spans="2:7" ht="14.25" customHeight="1">
      <c r="B296" s="123" t="s">
        <v>677</v>
      </c>
      <c r="C296" s="123">
        <v>291</v>
      </c>
      <c r="D296" s="123" t="s">
        <v>3225</v>
      </c>
      <c r="E296" s="123" t="s">
        <v>158</v>
      </c>
      <c r="F296" s="123">
        <v>1</v>
      </c>
      <c r="G296" s="5" t="s">
        <v>3124</v>
      </c>
    </row>
    <row r="297" spans="2:7" ht="14.25" customHeight="1">
      <c r="B297" s="123" t="s">
        <v>677</v>
      </c>
      <c r="C297" s="123">
        <v>292</v>
      </c>
      <c r="D297" s="123" t="s">
        <v>3226</v>
      </c>
      <c r="E297" s="123" t="s">
        <v>150</v>
      </c>
      <c r="F297" s="123">
        <v>1</v>
      </c>
      <c r="G297" s="5" t="s">
        <v>3124</v>
      </c>
    </row>
    <row r="298" spans="2:7" ht="14.25" customHeight="1">
      <c r="B298" s="123" t="s">
        <v>677</v>
      </c>
      <c r="C298" s="123">
        <v>293</v>
      </c>
      <c r="D298" s="123" t="s">
        <v>3226</v>
      </c>
      <c r="E298" s="123" t="s">
        <v>99</v>
      </c>
      <c r="F298" s="123">
        <v>1</v>
      </c>
      <c r="G298" s="5" t="s">
        <v>3124</v>
      </c>
    </row>
    <row r="299" spans="2:7" ht="14.25" customHeight="1">
      <c r="B299" s="123" t="s">
        <v>677</v>
      </c>
      <c r="C299" s="123">
        <v>294</v>
      </c>
      <c r="D299" s="123" t="s">
        <v>3226</v>
      </c>
      <c r="E299" s="123" t="s">
        <v>158</v>
      </c>
      <c r="F299" s="123">
        <v>1</v>
      </c>
      <c r="G299" s="5" t="s">
        <v>3124</v>
      </c>
    </row>
    <row r="300" spans="2:7" ht="14.25" customHeight="1">
      <c r="B300" s="123" t="s">
        <v>677</v>
      </c>
      <c r="C300" s="123">
        <v>295</v>
      </c>
      <c r="D300" s="123" t="s">
        <v>3227</v>
      </c>
      <c r="E300" s="123" t="s">
        <v>150</v>
      </c>
      <c r="F300" s="123">
        <v>1</v>
      </c>
      <c r="G300" s="5" t="s">
        <v>3124</v>
      </c>
    </row>
    <row r="301" spans="2:7" ht="14.25" customHeight="1">
      <c r="B301" s="123" t="s">
        <v>677</v>
      </c>
      <c r="C301" s="123">
        <v>296</v>
      </c>
      <c r="D301" s="123" t="s">
        <v>3227</v>
      </c>
      <c r="E301" s="123" t="s">
        <v>99</v>
      </c>
      <c r="F301" s="123">
        <v>1</v>
      </c>
      <c r="G301" s="5" t="s">
        <v>3124</v>
      </c>
    </row>
    <row r="302" spans="2:7" ht="14.25" customHeight="1">
      <c r="B302" s="123" t="s">
        <v>677</v>
      </c>
      <c r="C302" s="123">
        <v>297</v>
      </c>
      <c r="D302" s="123" t="s">
        <v>3227</v>
      </c>
      <c r="E302" s="123" t="s">
        <v>158</v>
      </c>
      <c r="F302" s="123">
        <v>1</v>
      </c>
      <c r="G302" s="5" t="s">
        <v>3124</v>
      </c>
    </row>
    <row r="303" spans="2:7" ht="14.25" customHeight="1">
      <c r="B303" s="123" t="s">
        <v>677</v>
      </c>
      <c r="C303" s="123">
        <v>298</v>
      </c>
      <c r="D303" s="123" t="s">
        <v>3228</v>
      </c>
      <c r="E303" s="123" t="s">
        <v>150</v>
      </c>
      <c r="F303" s="123">
        <v>1</v>
      </c>
      <c r="G303" s="5" t="s">
        <v>3124</v>
      </c>
    </row>
    <row r="304" spans="2:7" ht="14.25" customHeight="1">
      <c r="B304" s="123" t="s">
        <v>677</v>
      </c>
      <c r="C304" s="123">
        <v>299</v>
      </c>
      <c r="D304" s="123" t="s">
        <v>3228</v>
      </c>
      <c r="E304" s="123" t="s">
        <v>99</v>
      </c>
      <c r="F304" s="123">
        <v>1</v>
      </c>
      <c r="G304" s="5" t="s">
        <v>3124</v>
      </c>
    </row>
    <row r="305" spans="2:7" ht="14.25" customHeight="1">
      <c r="B305" s="123" t="s">
        <v>677</v>
      </c>
      <c r="C305" s="123">
        <v>300</v>
      </c>
      <c r="D305" s="123" t="s">
        <v>3228</v>
      </c>
      <c r="E305" s="123" t="s">
        <v>158</v>
      </c>
      <c r="F305" s="123">
        <v>1</v>
      </c>
      <c r="G305" s="5" t="s">
        <v>3124</v>
      </c>
    </row>
    <row r="306" spans="2:7" ht="14.25" customHeight="1">
      <c r="B306" s="123" t="s">
        <v>677</v>
      </c>
      <c r="C306" s="123">
        <v>301</v>
      </c>
      <c r="D306" s="123" t="s">
        <v>3229</v>
      </c>
      <c r="E306" s="123" t="s">
        <v>150</v>
      </c>
      <c r="F306" s="123">
        <v>1</v>
      </c>
      <c r="G306" s="5" t="s">
        <v>3124</v>
      </c>
    </row>
    <row r="307" spans="2:7" ht="14.25" customHeight="1">
      <c r="B307" s="123" t="s">
        <v>677</v>
      </c>
      <c r="C307" s="123">
        <v>302</v>
      </c>
      <c r="D307" s="123" t="s">
        <v>3229</v>
      </c>
      <c r="E307" s="123" t="s">
        <v>99</v>
      </c>
      <c r="F307" s="123">
        <v>1</v>
      </c>
      <c r="G307" s="5" t="s">
        <v>3124</v>
      </c>
    </row>
    <row r="308" spans="2:7" ht="14.25" customHeight="1">
      <c r="B308" s="123" t="s">
        <v>677</v>
      </c>
      <c r="C308" s="123">
        <v>303</v>
      </c>
      <c r="D308" s="123" t="s">
        <v>3229</v>
      </c>
      <c r="E308" s="123" t="s">
        <v>158</v>
      </c>
      <c r="F308" s="123">
        <v>1</v>
      </c>
      <c r="G308" s="5" t="s">
        <v>3124</v>
      </c>
    </row>
    <row r="309" spans="2:7" ht="14.25" customHeight="1">
      <c r="B309" s="123" t="s">
        <v>677</v>
      </c>
      <c r="C309" s="123">
        <v>304</v>
      </c>
      <c r="D309" s="123" t="s">
        <v>3230</v>
      </c>
      <c r="E309" s="123" t="s">
        <v>150</v>
      </c>
      <c r="F309" s="123">
        <v>1</v>
      </c>
      <c r="G309" s="5" t="s">
        <v>3124</v>
      </c>
    </row>
    <row r="310" spans="2:7" ht="14.25" customHeight="1">
      <c r="B310" s="123" t="s">
        <v>677</v>
      </c>
      <c r="C310" s="123">
        <v>305</v>
      </c>
      <c r="D310" s="123" t="s">
        <v>3230</v>
      </c>
      <c r="E310" s="123" t="s">
        <v>99</v>
      </c>
      <c r="F310" s="123">
        <v>1</v>
      </c>
      <c r="G310" s="5" t="s">
        <v>3124</v>
      </c>
    </row>
    <row r="311" spans="2:7" ht="14.25" customHeight="1">
      <c r="B311" s="123" t="s">
        <v>677</v>
      </c>
      <c r="C311" s="123">
        <v>306</v>
      </c>
      <c r="D311" s="123" t="s">
        <v>3230</v>
      </c>
      <c r="E311" s="123" t="s">
        <v>158</v>
      </c>
      <c r="F311" s="123">
        <v>1</v>
      </c>
      <c r="G311" s="5" t="s">
        <v>3124</v>
      </c>
    </row>
    <row r="312" spans="2:7" ht="14.25" customHeight="1">
      <c r="B312" s="123" t="s">
        <v>677</v>
      </c>
      <c r="C312" s="123">
        <v>307</v>
      </c>
      <c r="D312" s="123" t="s">
        <v>3231</v>
      </c>
      <c r="E312" s="123" t="s">
        <v>150</v>
      </c>
      <c r="F312" s="123">
        <v>1</v>
      </c>
      <c r="G312" s="5" t="s">
        <v>3124</v>
      </c>
    </row>
    <row r="313" spans="2:7" ht="14.25" customHeight="1">
      <c r="B313" s="123" t="s">
        <v>677</v>
      </c>
      <c r="C313" s="123">
        <v>308</v>
      </c>
      <c r="D313" s="123" t="s">
        <v>3231</v>
      </c>
      <c r="E313" s="123" t="s">
        <v>99</v>
      </c>
      <c r="F313" s="123">
        <v>1</v>
      </c>
      <c r="G313" s="5" t="s">
        <v>3124</v>
      </c>
    </row>
    <row r="314" spans="2:7" ht="14.25" customHeight="1">
      <c r="B314" s="123" t="s">
        <v>677</v>
      </c>
      <c r="C314" s="123">
        <v>309</v>
      </c>
      <c r="D314" s="123" t="s">
        <v>3231</v>
      </c>
      <c r="E314" s="123" t="s">
        <v>158</v>
      </c>
      <c r="F314" s="123">
        <v>1</v>
      </c>
      <c r="G314" s="5" t="s">
        <v>3124</v>
      </c>
    </row>
    <row r="315" spans="2:7" ht="14.25" customHeight="1">
      <c r="B315" s="123" t="s">
        <v>677</v>
      </c>
      <c r="C315" s="123">
        <v>310</v>
      </c>
      <c r="D315" s="123" t="s">
        <v>3232</v>
      </c>
      <c r="E315" s="123" t="s">
        <v>150</v>
      </c>
      <c r="F315" s="123">
        <v>1</v>
      </c>
      <c r="G315" s="5" t="s">
        <v>3124</v>
      </c>
    </row>
    <row r="316" spans="2:7" ht="14.25" customHeight="1">
      <c r="B316" s="123" t="s">
        <v>677</v>
      </c>
      <c r="C316" s="123">
        <v>311</v>
      </c>
      <c r="D316" s="123" t="s">
        <v>3232</v>
      </c>
      <c r="E316" s="123" t="s">
        <v>99</v>
      </c>
      <c r="F316" s="123">
        <v>1</v>
      </c>
      <c r="G316" s="5" t="s">
        <v>3124</v>
      </c>
    </row>
    <row r="317" spans="2:7" ht="14.25" customHeight="1">
      <c r="B317" s="123" t="s">
        <v>677</v>
      </c>
      <c r="C317" s="123">
        <v>312</v>
      </c>
      <c r="D317" s="123" t="s">
        <v>3232</v>
      </c>
      <c r="E317" s="123" t="s">
        <v>158</v>
      </c>
      <c r="F317" s="123">
        <v>1</v>
      </c>
      <c r="G317" s="5" t="s">
        <v>3124</v>
      </c>
    </row>
    <row r="318" spans="2:7" ht="14.25" customHeight="1">
      <c r="B318" s="123" t="s">
        <v>677</v>
      </c>
      <c r="C318" s="123">
        <v>313</v>
      </c>
      <c r="D318" s="123" t="s">
        <v>3233</v>
      </c>
      <c r="E318" s="123" t="s">
        <v>150</v>
      </c>
      <c r="F318" s="123">
        <v>1</v>
      </c>
      <c r="G318" s="5" t="s">
        <v>3124</v>
      </c>
    </row>
    <row r="319" spans="2:7" ht="14.25" customHeight="1">
      <c r="B319" s="123" t="s">
        <v>677</v>
      </c>
      <c r="C319" s="123">
        <v>314</v>
      </c>
      <c r="D319" s="123" t="s">
        <v>3233</v>
      </c>
      <c r="E319" s="123" t="s">
        <v>99</v>
      </c>
      <c r="F319" s="123">
        <v>1</v>
      </c>
      <c r="G319" s="5" t="s">
        <v>3124</v>
      </c>
    </row>
    <row r="320" spans="2:7" ht="14.25" customHeight="1">
      <c r="B320" s="123" t="s">
        <v>677</v>
      </c>
      <c r="C320" s="123">
        <v>315</v>
      </c>
      <c r="D320" s="123" t="s">
        <v>3233</v>
      </c>
      <c r="E320" s="123" t="s">
        <v>158</v>
      </c>
      <c r="F320" s="123">
        <v>1</v>
      </c>
      <c r="G320" s="5" t="s">
        <v>3124</v>
      </c>
    </row>
    <row r="321" spans="2:7" ht="14.25" customHeight="1">
      <c r="B321" s="123" t="s">
        <v>677</v>
      </c>
      <c r="C321" s="123">
        <v>316</v>
      </c>
      <c r="D321" s="123" t="s">
        <v>3234</v>
      </c>
      <c r="E321" s="123" t="s">
        <v>150</v>
      </c>
      <c r="F321" s="123">
        <v>1</v>
      </c>
      <c r="G321" s="5" t="s">
        <v>3124</v>
      </c>
    </row>
    <row r="322" spans="2:7" ht="14.25" customHeight="1">
      <c r="B322" s="123" t="s">
        <v>677</v>
      </c>
      <c r="C322" s="123">
        <v>317</v>
      </c>
      <c r="D322" s="123" t="s">
        <v>3234</v>
      </c>
      <c r="E322" s="123" t="s">
        <v>150</v>
      </c>
      <c r="F322" s="123">
        <v>1</v>
      </c>
      <c r="G322" s="5" t="s">
        <v>3124</v>
      </c>
    </row>
    <row r="323" spans="2:7" ht="14.25" customHeight="1">
      <c r="B323" s="123" t="s">
        <v>677</v>
      </c>
      <c r="C323" s="123">
        <v>318</v>
      </c>
      <c r="D323" s="123" t="s">
        <v>3234</v>
      </c>
      <c r="E323" s="123" t="s">
        <v>150</v>
      </c>
      <c r="F323" s="123">
        <v>1</v>
      </c>
      <c r="G323" s="5" t="s">
        <v>3124</v>
      </c>
    </row>
    <row r="324" spans="2:7" ht="14.25" customHeight="1">
      <c r="B324" s="123" t="s">
        <v>677</v>
      </c>
      <c r="C324" s="123">
        <v>319</v>
      </c>
      <c r="D324" s="123" t="s">
        <v>3234</v>
      </c>
      <c r="E324" s="123" t="s">
        <v>150</v>
      </c>
      <c r="F324" s="123">
        <v>1</v>
      </c>
      <c r="G324" s="5" t="s">
        <v>3124</v>
      </c>
    </row>
    <row r="325" spans="2:7" ht="14.25" customHeight="1">
      <c r="B325" s="123" t="s">
        <v>677</v>
      </c>
      <c r="C325" s="123">
        <v>320</v>
      </c>
      <c r="D325" s="123" t="s">
        <v>3234</v>
      </c>
      <c r="E325" s="123" t="s">
        <v>150</v>
      </c>
      <c r="F325" s="123">
        <v>1</v>
      </c>
      <c r="G325" s="5" t="s">
        <v>3124</v>
      </c>
    </row>
    <row r="326" spans="2:7" ht="14.25" customHeight="1">
      <c r="B326" s="123" t="s">
        <v>677</v>
      </c>
      <c r="C326" s="123">
        <v>321</v>
      </c>
      <c r="D326" s="123" t="s">
        <v>69</v>
      </c>
      <c r="E326" s="123" t="s">
        <v>99</v>
      </c>
      <c r="F326" s="123">
        <v>1</v>
      </c>
      <c r="G326" s="5" t="s">
        <v>3124</v>
      </c>
    </row>
    <row r="327" spans="2:7" ht="14.25" customHeight="1">
      <c r="B327" s="123" t="s">
        <v>677</v>
      </c>
      <c r="C327" s="123">
        <v>322</v>
      </c>
      <c r="D327" s="123" t="s">
        <v>69</v>
      </c>
      <c r="E327" s="123" t="s">
        <v>99</v>
      </c>
      <c r="F327" s="123">
        <v>1</v>
      </c>
      <c r="G327" s="5" t="s">
        <v>3124</v>
      </c>
    </row>
    <row r="328" spans="2:7" ht="14.25" customHeight="1">
      <c r="B328" s="123" t="s">
        <v>677</v>
      </c>
      <c r="C328" s="123">
        <v>323</v>
      </c>
      <c r="D328" s="123" t="s">
        <v>69</v>
      </c>
      <c r="E328" s="123" t="s">
        <v>99</v>
      </c>
      <c r="F328" s="123">
        <v>1</v>
      </c>
      <c r="G328" s="5" t="s">
        <v>3124</v>
      </c>
    </row>
    <row r="329" spans="2:7" ht="14.25" customHeight="1">
      <c r="B329" s="123" t="s">
        <v>677</v>
      </c>
      <c r="C329" s="123">
        <v>324</v>
      </c>
      <c r="D329" s="123" t="s">
        <v>69</v>
      </c>
      <c r="E329" s="123" t="s">
        <v>99</v>
      </c>
      <c r="F329" s="123">
        <v>1</v>
      </c>
      <c r="G329" s="5" t="s">
        <v>3124</v>
      </c>
    </row>
    <row r="330" spans="2:7" ht="14.25" customHeight="1">
      <c r="B330" s="123" t="s">
        <v>677</v>
      </c>
      <c r="C330" s="123">
        <v>325</v>
      </c>
      <c r="D330" s="123" t="s">
        <v>69</v>
      </c>
      <c r="E330" s="123" t="s">
        <v>99</v>
      </c>
      <c r="F330" s="123">
        <v>1</v>
      </c>
      <c r="G330" s="5" t="s">
        <v>3124</v>
      </c>
    </row>
    <row r="331" spans="2:7" ht="14.25" customHeight="1">
      <c r="B331" s="123" t="s">
        <v>677</v>
      </c>
      <c r="C331" s="123">
        <v>326</v>
      </c>
      <c r="D331" s="123" t="s">
        <v>3235</v>
      </c>
      <c r="E331" s="123" t="s">
        <v>150</v>
      </c>
      <c r="F331" s="123">
        <v>1</v>
      </c>
      <c r="G331" s="5" t="s">
        <v>3124</v>
      </c>
    </row>
    <row r="332" spans="2:7" ht="14.25" customHeight="1">
      <c r="B332" s="123" t="s">
        <v>677</v>
      </c>
      <c r="C332" s="123">
        <v>327</v>
      </c>
      <c r="D332" s="123" t="s">
        <v>3235</v>
      </c>
      <c r="E332" s="123" t="s">
        <v>150</v>
      </c>
      <c r="F332" s="123">
        <v>1</v>
      </c>
      <c r="G332" s="5" t="s">
        <v>3124</v>
      </c>
    </row>
    <row r="333" spans="2:7" ht="14.25" customHeight="1">
      <c r="B333" s="123" t="s">
        <v>677</v>
      </c>
      <c r="C333" s="123">
        <v>328</v>
      </c>
      <c r="D333" s="123" t="s">
        <v>3235</v>
      </c>
      <c r="E333" s="123" t="s">
        <v>150</v>
      </c>
      <c r="F333" s="123">
        <v>1</v>
      </c>
      <c r="G333" s="5" t="s">
        <v>3124</v>
      </c>
    </row>
    <row r="334" spans="2:7" ht="14.25" customHeight="1">
      <c r="B334" s="123" t="s">
        <v>677</v>
      </c>
      <c r="C334" s="123">
        <v>329</v>
      </c>
      <c r="D334" s="123" t="s">
        <v>3235</v>
      </c>
      <c r="E334" s="123" t="s">
        <v>150</v>
      </c>
      <c r="F334" s="123">
        <v>1</v>
      </c>
      <c r="G334" s="5" t="s">
        <v>3124</v>
      </c>
    </row>
    <row r="335" spans="2:7" ht="14.25" customHeight="1">
      <c r="B335" s="123" t="s">
        <v>677</v>
      </c>
      <c r="C335" s="123">
        <v>330</v>
      </c>
      <c r="D335" s="123" t="s">
        <v>3235</v>
      </c>
      <c r="E335" s="123" t="s">
        <v>150</v>
      </c>
      <c r="F335" s="123">
        <v>1</v>
      </c>
      <c r="G335" s="5" t="s">
        <v>3124</v>
      </c>
    </row>
    <row r="336" spans="2:7" ht="14.25" customHeight="1">
      <c r="B336" s="123" t="s">
        <v>677</v>
      </c>
      <c r="C336" s="123">
        <v>331</v>
      </c>
      <c r="D336" s="123" t="s">
        <v>3236</v>
      </c>
      <c r="E336" s="123" t="s">
        <v>150</v>
      </c>
      <c r="F336" s="123">
        <v>1</v>
      </c>
      <c r="G336" s="5" t="s">
        <v>3124</v>
      </c>
    </row>
    <row r="337" spans="2:7" ht="14.25" customHeight="1">
      <c r="B337" s="123" t="s">
        <v>677</v>
      </c>
      <c r="C337" s="123">
        <v>332</v>
      </c>
      <c r="D337" s="123" t="s">
        <v>3236</v>
      </c>
      <c r="E337" s="123" t="s">
        <v>150</v>
      </c>
      <c r="F337" s="123">
        <v>1</v>
      </c>
      <c r="G337" s="5" t="s">
        <v>3124</v>
      </c>
    </row>
    <row r="338" spans="2:7" ht="14.25" customHeight="1">
      <c r="B338" s="123" t="s">
        <v>677</v>
      </c>
      <c r="C338" s="123">
        <v>333</v>
      </c>
      <c r="D338" s="123" t="s">
        <v>3236</v>
      </c>
      <c r="E338" s="123" t="s">
        <v>150</v>
      </c>
      <c r="F338" s="123">
        <v>1</v>
      </c>
      <c r="G338" s="5" t="s">
        <v>3124</v>
      </c>
    </row>
    <row r="339" spans="2:7" ht="14.25" customHeight="1">
      <c r="B339" s="123" t="s">
        <v>677</v>
      </c>
      <c r="C339" s="123">
        <v>334</v>
      </c>
      <c r="D339" s="123" t="s">
        <v>3236</v>
      </c>
      <c r="E339" s="123" t="s">
        <v>150</v>
      </c>
      <c r="F339" s="123">
        <v>1</v>
      </c>
      <c r="G339" s="5" t="s">
        <v>3124</v>
      </c>
    </row>
    <row r="340" spans="2:7" ht="14.25" customHeight="1">
      <c r="B340" s="123" t="s">
        <v>677</v>
      </c>
      <c r="C340" s="123">
        <v>335</v>
      </c>
      <c r="D340" s="123" t="s">
        <v>3236</v>
      </c>
      <c r="E340" s="123" t="s">
        <v>150</v>
      </c>
      <c r="F340" s="123">
        <v>1</v>
      </c>
      <c r="G340" s="5" t="s">
        <v>3124</v>
      </c>
    </row>
    <row r="341" spans="2:7" ht="14.25" customHeight="1">
      <c r="B341" s="123" t="s">
        <v>677</v>
      </c>
      <c r="C341" s="123">
        <v>336</v>
      </c>
      <c r="D341" s="123" t="s">
        <v>3237</v>
      </c>
      <c r="E341" s="123" t="s">
        <v>99</v>
      </c>
      <c r="F341" s="123">
        <v>1</v>
      </c>
      <c r="G341" s="5" t="s">
        <v>3124</v>
      </c>
    </row>
    <row r="342" spans="2:7" ht="14.25" customHeight="1">
      <c r="B342" s="123" t="s">
        <v>677</v>
      </c>
      <c r="C342" s="123">
        <v>337</v>
      </c>
      <c r="D342" s="123" t="s">
        <v>3237</v>
      </c>
      <c r="E342" s="123" t="s">
        <v>99</v>
      </c>
      <c r="F342" s="123">
        <v>1</v>
      </c>
      <c r="G342" s="5" t="s">
        <v>3124</v>
      </c>
    </row>
    <row r="343" spans="2:7" ht="14.25" customHeight="1">
      <c r="B343" s="123" t="s">
        <v>677</v>
      </c>
      <c r="C343" s="123">
        <v>338</v>
      </c>
      <c r="D343" s="123" t="s">
        <v>3237</v>
      </c>
      <c r="E343" s="123" t="s">
        <v>99</v>
      </c>
      <c r="F343" s="123">
        <v>1</v>
      </c>
      <c r="G343" s="5" t="s">
        <v>3124</v>
      </c>
    </row>
    <row r="344" spans="2:7" ht="14.25" customHeight="1">
      <c r="B344" s="123" t="s">
        <v>677</v>
      </c>
      <c r="C344" s="123">
        <v>339</v>
      </c>
      <c r="D344" s="123" t="s">
        <v>3237</v>
      </c>
      <c r="E344" s="123" t="s">
        <v>99</v>
      </c>
      <c r="F344" s="123">
        <v>1</v>
      </c>
      <c r="G344" s="5" t="s">
        <v>3124</v>
      </c>
    </row>
    <row r="345" spans="2:7" ht="14.25" customHeight="1">
      <c r="B345" s="123" t="s">
        <v>677</v>
      </c>
      <c r="C345" s="123">
        <v>340</v>
      </c>
      <c r="D345" s="123" t="s">
        <v>3237</v>
      </c>
      <c r="E345" s="123" t="s">
        <v>99</v>
      </c>
      <c r="F345" s="123">
        <v>1</v>
      </c>
      <c r="G345" s="5" t="s">
        <v>3124</v>
      </c>
    </row>
    <row r="346" spans="2:7" ht="14.25" customHeight="1">
      <c r="B346" s="123" t="s">
        <v>677</v>
      </c>
      <c r="C346" s="123">
        <v>341</v>
      </c>
      <c r="D346" s="123" t="s">
        <v>3238</v>
      </c>
      <c r="E346" s="123" t="s">
        <v>99</v>
      </c>
      <c r="F346" s="123">
        <v>1</v>
      </c>
      <c r="G346" s="5" t="s">
        <v>3124</v>
      </c>
    </row>
    <row r="347" spans="2:7" ht="14.25" customHeight="1">
      <c r="B347" s="123" t="s">
        <v>677</v>
      </c>
      <c r="C347" s="123">
        <v>342</v>
      </c>
      <c r="D347" s="123" t="s">
        <v>3238</v>
      </c>
      <c r="E347" s="123" t="s">
        <v>99</v>
      </c>
      <c r="F347" s="123">
        <v>1</v>
      </c>
      <c r="G347" s="5" t="s">
        <v>3124</v>
      </c>
    </row>
    <row r="348" spans="2:7" ht="14.25" customHeight="1">
      <c r="B348" s="123" t="s">
        <v>677</v>
      </c>
      <c r="C348" s="123">
        <v>343</v>
      </c>
      <c r="D348" s="123" t="s">
        <v>3238</v>
      </c>
      <c r="E348" s="123" t="s">
        <v>99</v>
      </c>
      <c r="F348" s="123">
        <v>1</v>
      </c>
      <c r="G348" s="5" t="s">
        <v>3124</v>
      </c>
    </row>
    <row r="349" spans="2:7" ht="14.25" customHeight="1">
      <c r="B349" s="123" t="s">
        <v>677</v>
      </c>
      <c r="C349" s="123">
        <v>344</v>
      </c>
      <c r="D349" s="123" t="s">
        <v>3238</v>
      </c>
      <c r="E349" s="123" t="s">
        <v>99</v>
      </c>
      <c r="F349" s="123">
        <v>1</v>
      </c>
      <c r="G349" s="5" t="s">
        <v>3124</v>
      </c>
    </row>
    <row r="350" spans="2:7" ht="14.25" customHeight="1">
      <c r="B350" s="123" t="s">
        <v>677</v>
      </c>
      <c r="C350" s="123">
        <v>345</v>
      </c>
      <c r="D350" s="123" t="s">
        <v>3238</v>
      </c>
      <c r="E350" s="123" t="s">
        <v>99</v>
      </c>
      <c r="F350" s="123">
        <v>1</v>
      </c>
      <c r="G350" s="5" t="s">
        <v>3124</v>
      </c>
    </row>
    <row r="351" spans="2:7" ht="14.25" customHeight="1">
      <c r="B351" s="123" t="s">
        <v>677</v>
      </c>
      <c r="C351" s="123">
        <v>346</v>
      </c>
      <c r="D351" s="123" t="s">
        <v>3239</v>
      </c>
      <c r="E351" s="123" t="s">
        <v>150</v>
      </c>
      <c r="F351" s="123">
        <v>1</v>
      </c>
      <c r="G351" s="5" t="s">
        <v>3124</v>
      </c>
    </row>
    <row r="352" spans="2:7" ht="14.25" customHeight="1">
      <c r="B352" s="123" t="s">
        <v>677</v>
      </c>
      <c r="C352" s="123">
        <v>347</v>
      </c>
      <c r="D352" s="123" t="s">
        <v>3239</v>
      </c>
      <c r="E352" s="123" t="s">
        <v>150</v>
      </c>
      <c r="F352" s="123">
        <v>1</v>
      </c>
      <c r="G352" s="5" t="s">
        <v>3124</v>
      </c>
    </row>
    <row r="353" spans="2:7" ht="14.25" customHeight="1">
      <c r="B353" s="123" t="s">
        <v>677</v>
      </c>
      <c r="C353" s="123">
        <v>348</v>
      </c>
      <c r="D353" s="123" t="s">
        <v>3239</v>
      </c>
      <c r="E353" s="123" t="s">
        <v>150</v>
      </c>
      <c r="F353" s="123">
        <v>1</v>
      </c>
      <c r="G353" s="5" t="s">
        <v>3124</v>
      </c>
    </row>
    <row r="354" spans="2:7" ht="14.25" customHeight="1">
      <c r="B354" s="123" t="s">
        <v>677</v>
      </c>
      <c r="C354" s="123">
        <v>349</v>
      </c>
      <c r="D354" s="123" t="s">
        <v>3239</v>
      </c>
      <c r="E354" s="123" t="s">
        <v>150</v>
      </c>
      <c r="F354" s="123">
        <v>1</v>
      </c>
      <c r="G354" s="5" t="s">
        <v>3124</v>
      </c>
    </row>
    <row r="355" spans="2:7" ht="14.25" customHeight="1">
      <c r="B355" s="123" t="s">
        <v>677</v>
      </c>
      <c r="C355" s="123">
        <v>350</v>
      </c>
      <c r="D355" s="123" t="s">
        <v>3239</v>
      </c>
      <c r="E355" s="123" t="s">
        <v>150</v>
      </c>
      <c r="F355" s="123">
        <v>1</v>
      </c>
      <c r="G355" s="5" t="s">
        <v>3124</v>
      </c>
    </row>
    <row r="356" spans="2:7" ht="14.25" customHeight="1">
      <c r="B356" s="123" t="s">
        <v>677</v>
      </c>
      <c r="C356" s="123">
        <v>351</v>
      </c>
      <c r="D356" s="123" t="s">
        <v>3240</v>
      </c>
      <c r="E356" s="123" t="s">
        <v>150</v>
      </c>
      <c r="F356" s="123">
        <v>1</v>
      </c>
      <c r="G356" s="5" t="s">
        <v>3124</v>
      </c>
    </row>
    <row r="357" spans="2:7" ht="14.25" customHeight="1">
      <c r="B357" s="123" t="s">
        <v>677</v>
      </c>
      <c r="C357" s="123">
        <v>352</v>
      </c>
      <c r="D357" s="123" t="s">
        <v>3240</v>
      </c>
      <c r="E357" s="123" t="s">
        <v>150</v>
      </c>
      <c r="F357" s="123">
        <v>1</v>
      </c>
      <c r="G357" s="5" t="s">
        <v>3124</v>
      </c>
    </row>
    <row r="358" spans="2:7" ht="14.25" customHeight="1">
      <c r="B358" s="123" t="s">
        <v>677</v>
      </c>
      <c r="C358" s="123">
        <v>353</v>
      </c>
      <c r="D358" s="123" t="s">
        <v>3240</v>
      </c>
      <c r="E358" s="123" t="s">
        <v>150</v>
      </c>
      <c r="F358" s="123">
        <v>1</v>
      </c>
      <c r="G358" s="5" t="s">
        <v>3124</v>
      </c>
    </row>
    <row r="359" spans="2:7" ht="14.25" customHeight="1">
      <c r="B359" s="123" t="s">
        <v>677</v>
      </c>
      <c r="C359" s="123">
        <v>354</v>
      </c>
      <c r="D359" s="123" t="s">
        <v>3240</v>
      </c>
      <c r="E359" s="123" t="s">
        <v>150</v>
      </c>
      <c r="F359" s="123">
        <v>1</v>
      </c>
      <c r="G359" s="5" t="s">
        <v>3124</v>
      </c>
    </row>
    <row r="360" spans="2:7" ht="14.25" customHeight="1">
      <c r="B360" s="123" t="s">
        <v>677</v>
      </c>
      <c r="C360" s="123">
        <v>355</v>
      </c>
      <c r="D360" s="123" t="s">
        <v>3240</v>
      </c>
      <c r="E360" s="123" t="s">
        <v>150</v>
      </c>
      <c r="F360" s="123">
        <v>1</v>
      </c>
      <c r="G360" s="5" t="s">
        <v>3124</v>
      </c>
    </row>
    <row r="361" spans="2:7" ht="14.25" customHeight="1">
      <c r="B361" s="123" t="s">
        <v>677</v>
      </c>
      <c r="C361" s="123">
        <v>356</v>
      </c>
      <c r="D361" s="123" t="s">
        <v>3241</v>
      </c>
      <c r="E361" s="123" t="s">
        <v>99</v>
      </c>
      <c r="F361" s="123">
        <v>1</v>
      </c>
      <c r="G361" s="5" t="s">
        <v>3124</v>
      </c>
    </row>
    <row r="362" spans="2:7" ht="14.25" customHeight="1">
      <c r="B362" s="123" t="s">
        <v>677</v>
      </c>
      <c r="C362" s="123">
        <v>357</v>
      </c>
      <c r="D362" s="123" t="s">
        <v>3241</v>
      </c>
      <c r="E362" s="123" t="s">
        <v>99</v>
      </c>
      <c r="F362" s="123">
        <v>1</v>
      </c>
      <c r="G362" s="5" t="s">
        <v>3124</v>
      </c>
    </row>
    <row r="363" spans="2:7" ht="14.25" customHeight="1">
      <c r="B363" s="123" t="s">
        <v>677</v>
      </c>
      <c r="C363" s="123">
        <v>358</v>
      </c>
      <c r="D363" s="123" t="s">
        <v>3241</v>
      </c>
      <c r="E363" s="123" t="s">
        <v>99</v>
      </c>
      <c r="F363" s="123">
        <v>1</v>
      </c>
      <c r="G363" s="5" t="s">
        <v>3124</v>
      </c>
    </row>
    <row r="364" spans="2:7" ht="14.25" customHeight="1">
      <c r="B364" s="123" t="s">
        <v>677</v>
      </c>
      <c r="C364" s="123">
        <v>359</v>
      </c>
      <c r="D364" s="123" t="s">
        <v>3241</v>
      </c>
      <c r="E364" s="123" t="s">
        <v>99</v>
      </c>
      <c r="F364" s="123">
        <v>1</v>
      </c>
      <c r="G364" s="5" t="s">
        <v>3124</v>
      </c>
    </row>
    <row r="365" spans="2:7" ht="14.25" customHeight="1">
      <c r="B365" s="123" t="s">
        <v>677</v>
      </c>
      <c r="C365" s="123">
        <v>360</v>
      </c>
      <c r="D365" s="123" t="s">
        <v>3241</v>
      </c>
      <c r="E365" s="123" t="s">
        <v>99</v>
      </c>
      <c r="F365" s="123">
        <v>1</v>
      </c>
      <c r="G365" s="5" t="s">
        <v>3124</v>
      </c>
    </row>
    <row r="366" spans="2:7" ht="14.25" customHeight="1">
      <c r="B366" s="123" t="s">
        <v>677</v>
      </c>
      <c r="C366" s="123">
        <v>361</v>
      </c>
      <c r="D366" s="123" t="s">
        <v>3242</v>
      </c>
      <c r="E366" s="123" t="s">
        <v>99</v>
      </c>
      <c r="F366" s="123">
        <v>1</v>
      </c>
      <c r="G366" s="5" t="s">
        <v>3124</v>
      </c>
    </row>
    <row r="367" spans="2:7" ht="14.25" customHeight="1">
      <c r="B367" s="123" t="s">
        <v>677</v>
      </c>
      <c r="C367" s="123">
        <v>362</v>
      </c>
      <c r="D367" s="123" t="s">
        <v>3242</v>
      </c>
      <c r="E367" s="123" t="s">
        <v>99</v>
      </c>
      <c r="F367" s="123">
        <v>1</v>
      </c>
      <c r="G367" s="5" t="s">
        <v>3124</v>
      </c>
    </row>
    <row r="368" spans="2:7" ht="14.25" customHeight="1">
      <c r="B368" s="123" t="s">
        <v>677</v>
      </c>
      <c r="C368" s="123">
        <v>363</v>
      </c>
      <c r="D368" s="123" t="s">
        <v>3242</v>
      </c>
      <c r="E368" s="123" t="s">
        <v>99</v>
      </c>
      <c r="F368" s="123">
        <v>1</v>
      </c>
      <c r="G368" s="5" t="s">
        <v>3124</v>
      </c>
    </row>
    <row r="369" spans="2:7" ht="14.25" customHeight="1">
      <c r="B369" s="123" t="s">
        <v>677</v>
      </c>
      <c r="C369" s="123">
        <v>364</v>
      </c>
      <c r="D369" s="123" t="s">
        <v>3242</v>
      </c>
      <c r="E369" s="123" t="s">
        <v>99</v>
      </c>
      <c r="F369" s="123">
        <v>1</v>
      </c>
      <c r="G369" s="5" t="s">
        <v>3124</v>
      </c>
    </row>
    <row r="370" spans="2:7" ht="14.25" customHeight="1">
      <c r="B370" s="123" t="s">
        <v>677</v>
      </c>
      <c r="C370" s="123">
        <v>365</v>
      </c>
      <c r="D370" s="123" t="s">
        <v>3242</v>
      </c>
      <c r="E370" s="123" t="s">
        <v>99</v>
      </c>
      <c r="F370" s="123">
        <v>1</v>
      </c>
      <c r="G370" s="5" t="s">
        <v>3124</v>
      </c>
    </row>
    <row r="371" spans="2:7" ht="14.25" customHeight="1">
      <c r="B371" s="123" t="s">
        <v>677</v>
      </c>
      <c r="C371" s="123">
        <v>366</v>
      </c>
      <c r="D371" s="123" t="s">
        <v>3243</v>
      </c>
      <c r="E371" s="123" t="s">
        <v>150</v>
      </c>
      <c r="F371" s="123">
        <v>1</v>
      </c>
      <c r="G371" s="5" t="s">
        <v>3124</v>
      </c>
    </row>
    <row r="372" spans="2:7" ht="14.25" customHeight="1">
      <c r="B372" s="123" t="s">
        <v>677</v>
      </c>
      <c r="C372" s="123">
        <v>367</v>
      </c>
      <c r="D372" s="123" t="s">
        <v>3243</v>
      </c>
      <c r="E372" s="123" t="s">
        <v>150</v>
      </c>
      <c r="F372" s="123">
        <v>1</v>
      </c>
      <c r="G372" s="5" t="s">
        <v>3124</v>
      </c>
    </row>
    <row r="373" spans="2:7" ht="14.25" customHeight="1">
      <c r="B373" s="123" t="s">
        <v>677</v>
      </c>
      <c r="C373" s="123">
        <v>368</v>
      </c>
      <c r="D373" s="123" t="s">
        <v>3243</v>
      </c>
      <c r="E373" s="123" t="s">
        <v>150</v>
      </c>
      <c r="F373" s="123">
        <v>1</v>
      </c>
      <c r="G373" s="5" t="s">
        <v>3124</v>
      </c>
    </row>
    <row r="374" spans="2:7" ht="14.25" customHeight="1">
      <c r="B374" s="123" t="s">
        <v>677</v>
      </c>
      <c r="C374" s="123">
        <v>369</v>
      </c>
      <c r="D374" s="123" t="s">
        <v>3243</v>
      </c>
      <c r="E374" s="123" t="s">
        <v>150</v>
      </c>
      <c r="F374" s="123">
        <v>1</v>
      </c>
      <c r="G374" s="5" t="s">
        <v>3124</v>
      </c>
    </row>
    <row r="375" spans="2:7" ht="14.25" customHeight="1">
      <c r="B375" s="123" t="s">
        <v>677</v>
      </c>
      <c r="C375" s="123">
        <v>370</v>
      </c>
      <c r="D375" s="123" t="s">
        <v>3243</v>
      </c>
      <c r="E375" s="123" t="s">
        <v>150</v>
      </c>
      <c r="F375" s="123">
        <v>1</v>
      </c>
      <c r="G375" s="5" t="s">
        <v>3124</v>
      </c>
    </row>
    <row r="376" spans="2:7" ht="14.25" customHeight="1">
      <c r="B376" s="123" t="s">
        <v>677</v>
      </c>
      <c r="C376" s="123">
        <v>371</v>
      </c>
      <c r="D376" s="123" t="s">
        <v>3244</v>
      </c>
      <c r="E376" s="123" t="s">
        <v>150</v>
      </c>
      <c r="F376" s="123">
        <v>1</v>
      </c>
      <c r="G376" s="5" t="s">
        <v>3124</v>
      </c>
    </row>
    <row r="377" spans="2:7" ht="14.25" customHeight="1">
      <c r="B377" s="123" t="s">
        <v>677</v>
      </c>
      <c r="C377" s="123">
        <v>372</v>
      </c>
      <c r="D377" s="123" t="s">
        <v>3244</v>
      </c>
      <c r="E377" s="123" t="s">
        <v>150</v>
      </c>
      <c r="F377" s="123">
        <v>1</v>
      </c>
      <c r="G377" s="5" t="s">
        <v>3124</v>
      </c>
    </row>
    <row r="378" spans="2:7" ht="14.25" customHeight="1">
      <c r="B378" s="123" t="s">
        <v>677</v>
      </c>
      <c r="C378" s="123">
        <v>373</v>
      </c>
      <c r="D378" s="123" t="s">
        <v>3244</v>
      </c>
      <c r="E378" s="123" t="s">
        <v>150</v>
      </c>
      <c r="F378" s="123">
        <v>1</v>
      </c>
      <c r="G378" s="5" t="s">
        <v>3124</v>
      </c>
    </row>
    <row r="379" spans="2:7" ht="14.25" customHeight="1">
      <c r="B379" s="123" t="s">
        <v>677</v>
      </c>
      <c r="C379" s="123">
        <v>374</v>
      </c>
      <c r="D379" s="123" t="s">
        <v>3244</v>
      </c>
      <c r="E379" s="123" t="s">
        <v>150</v>
      </c>
      <c r="F379" s="123">
        <v>1</v>
      </c>
      <c r="G379" s="5" t="s">
        <v>3124</v>
      </c>
    </row>
    <row r="380" spans="2:7" ht="14.25" customHeight="1">
      <c r="B380" s="123" t="s">
        <v>677</v>
      </c>
      <c r="C380" s="123">
        <v>375</v>
      </c>
      <c r="D380" s="123" t="s">
        <v>3244</v>
      </c>
      <c r="E380" s="123" t="s">
        <v>150</v>
      </c>
      <c r="F380" s="123">
        <v>1</v>
      </c>
      <c r="G380" s="5" t="s">
        <v>3124</v>
      </c>
    </row>
    <row r="381" spans="2:7" ht="14.25" customHeight="1">
      <c r="B381" s="123" t="s">
        <v>677</v>
      </c>
      <c r="C381" s="123">
        <v>376</v>
      </c>
      <c r="D381" s="123" t="s">
        <v>3245</v>
      </c>
      <c r="E381" s="123" t="s">
        <v>99</v>
      </c>
      <c r="F381" s="123">
        <v>1</v>
      </c>
      <c r="G381" s="5" t="s">
        <v>3124</v>
      </c>
    </row>
    <row r="382" spans="2:7" ht="14.25" customHeight="1">
      <c r="B382" s="123" t="s">
        <v>677</v>
      </c>
      <c r="C382" s="123">
        <v>377</v>
      </c>
      <c r="D382" s="123" t="s">
        <v>3245</v>
      </c>
      <c r="E382" s="123" t="s">
        <v>99</v>
      </c>
      <c r="F382" s="123">
        <v>1</v>
      </c>
      <c r="G382" s="5" t="s">
        <v>3124</v>
      </c>
    </row>
    <row r="383" spans="2:7" ht="14.25" customHeight="1">
      <c r="B383" s="123" t="s">
        <v>677</v>
      </c>
      <c r="C383" s="123">
        <v>378</v>
      </c>
      <c r="D383" s="123" t="s">
        <v>3245</v>
      </c>
      <c r="E383" s="123" t="s">
        <v>99</v>
      </c>
      <c r="F383" s="123">
        <v>1</v>
      </c>
      <c r="G383" s="5" t="s">
        <v>3124</v>
      </c>
    </row>
    <row r="384" spans="2:7" ht="14.25" customHeight="1">
      <c r="B384" s="123" t="s">
        <v>677</v>
      </c>
      <c r="C384" s="123">
        <v>379</v>
      </c>
      <c r="D384" s="123" t="s">
        <v>3245</v>
      </c>
      <c r="E384" s="123" t="s">
        <v>99</v>
      </c>
      <c r="F384" s="123">
        <v>1</v>
      </c>
      <c r="G384" s="5" t="s">
        <v>3124</v>
      </c>
    </row>
    <row r="385" spans="2:7" ht="14.25" customHeight="1">
      <c r="B385" s="123" t="s">
        <v>677</v>
      </c>
      <c r="C385" s="123">
        <v>380</v>
      </c>
      <c r="D385" s="123" t="s">
        <v>3245</v>
      </c>
      <c r="E385" s="123" t="s">
        <v>99</v>
      </c>
      <c r="F385" s="123">
        <v>1</v>
      </c>
      <c r="G385" s="5" t="s">
        <v>3124</v>
      </c>
    </row>
    <row r="386" spans="2:7" ht="14.25" customHeight="1">
      <c r="B386" s="123" t="s">
        <v>677</v>
      </c>
      <c r="C386" s="123">
        <v>381</v>
      </c>
      <c r="D386" s="123" t="s">
        <v>3246</v>
      </c>
      <c r="E386" s="123" t="s">
        <v>99</v>
      </c>
      <c r="F386" s="123">
        <v>1</v>
      </c>
      <c r="G386" s="5" t="s">
        <v>3124</v>
      </c>
    </row>
    <row r="387" spans="2:7" ht="14.25" customHeight="1">
      <c r="B387" s="123" t="s">
        <v>677</v>
      </c>
      <c r="C387" s="123">
        <v>382</v>
      </c>
      <c r="D387" s="123" t="s">
        <v>3246</v>
      </c>
      <c r="E387" s="123" t="s">
        <v>99</v>
      </c>
      <c r="F387" s="123">
        <v>1</v>
      </c>
      <c r="G387" s="5" t="s">
        <v>3124</v>
      </c>
    </row>
    <row r="388" spans="2:7" ht="14.25" customHeight="1">
      <c r="B388" s="123" t="s">
        <v>677</v>
      </c>
      <c r="C388" s="123">
        <v>383</v>
      </c>
      <c r="D388" s="123" t="s">
        <v>3246</v>
      </c>
      <c r="E388" s="123" t="s">
        <v>99</v>
      </c>
      <c r="F388" s="123">
        <v>1</v>
      </c>
      <c r="G388" s="5" t="s">
        <v>3124</v>
      </c>
    </row>
    <row r="389" spans="2:7" ht="14.25" customHeight="1">
      <c r="B389" s="123" t="s">
        <v>677</v>
      </c>
      <c r="C389" s="123">
        <v>384</v>
      </c>
      <c r="D389" s="123" t="s">
        <v>3246</v>
      </c>
      <c r="E389" s="123" t="s">
        <v>99</v>
      </c>
      <c r="F389" s="123">
        <v>1</v>
      </c>
      <c r="G389" s="5" t="s">
        <v>3124</v>
      </c>
    </row>
    <row r="390" spans="2:7" ht="14.25" customHeight="1">
      <c r="B390" s="123" t="s">
        <v>677</v>
      </c>
      <c r="C390" s="123">
        <v>385</v>
      </c>
      <c r="D390" s="123" t="s">
        <v>3246</v>
      </c>
      <c r="E390" s="123" t="s">
        <v>99</v>
      </c>
      <c r="F390" s="123">
        <v>1</v>
      </c>
      <c r="G390" s="5" t="s">
        <v>3124</v>
      </c>
    </row>
    <row r="391" spans="2:7" ht="14.25" customHeight="1">
      <c r="B391" s="123" t="s">
        <v>677</v>
      </c>
      <c r="C391" s="123">
        <v>386</v>
      </c>
      <c r="D391" s="123" t="s">
        <v>3247</v>
      </c>
      <c r="E391" s="123" t="s">
        <v>158</v>
      </c>
      <c r="F391" s="123">
        <v>1</v>
      </c>
      <c r="G391" s="5" t="s">
        <v>3124</v>
      </c>
    </row>
    <row r="392" spans="2:7" ht="14.25" customHeight="1">
      <c r="B392" s="123" t="s">
        <v>677</v>
      </c>
      <c r="C392" s="123">
        <v>387</v>
      </c>
      <c r="D392" s="123" t="s">
        <v>3247</v>
      </c>
      <c r="E392" s="123" t="s">
        <v>158</v>
      </c>
      <c r="F392" s="123">
        <v>1</v>
      </c>
      <c r="G392" s="5" t="s">
        <v>3124</v>
      </c>
    </row>
    <row r="393" spans="2:7" ht="14.25" customHeight="1">
      <c r="B393" s="123" t="s">
        <v>677</v>
      </c>
      <c r="C393" s="123">
        <v>388</v>
      </c>
      <c r="D393" s="123" t="s">
        <v>3247</v>
      </c>
      <c r="E393" s="123" t="s">
        <v>158</v>
      </c>
      <c r="F393" s="123">
        <v>1</v>
      </c>
      <c r="G393" s="5" t="s">
        <v>3124</v>
      </c>
    </row>
    <row r="394" spans="2:7" ht="14.25" customHeight="1">
      <c r="B394" s="123" t="s">
        <v>677</v>
      </c>
      <c r="C394" s="123">
        <v>389</v>
      </c>
      <c r="D394" s="123" t="s">
        <v>3247</v>
      </c>
      <c r="E394" s="123" t="s">
        <v>158</v>
      </c>
      <c r="F394" s="123">
        <v>1</v>
      </c>
      <c r="G394" s="5" t="s">
        <v>3124</v>
      </c>
    </row>
    <row r="395" spans="2:7" ht="14.25" customHeight="1">
      <c r="B395" s="123" t="s">
        <v>677</v>
      </c>
      <c r="C395" s="123">
        <v>390</v>
      </c>
      <c r="D395" s="123" t="s">
        <v>3247</v>
      </c>
      <c r="E395" s="123" t="s">
        <v>158</v>
      </c>
      <c r="F395" s="123">
        <v>1</v>
      </c>
      <c r="G395" s="5" t="s">
        <v>3124</v>
      </c>
    </row>
    <row r="396" spans="2:7" ht="14.25" customHeight="1">
      <c r="B396" s="123" t="s">
        <v>677</v>
      </c>
      <c r="C396" s="123">
        <v>391</v>
      </c>
      <c r="D396" s="123" t="s">
        <v>3248</v>
      </c>
      <c r="E396" s="123" t="s">
        <v>150</v>
      </c>
      <c r="F396" s="123">
        <v>1</v>
      </c>
      <c r="G396" s="5" t="s">
        <v>3124</v>
      </c>
    </row>
    <row r="397" spans="2:7" ht="14.25" customHeight="1">
      <c r="B397" s="123" t="s">
        <v>677</v>
      </c>
      <c r="C397" s="123">
        <v>392</v>
      </c>
      <c r="D397" s="123" t="s">
        <v>3248</v>
      </c>
      <c r="E397" s="123" t="s">
        <v>150</v>
      </c>
      <c r="F397" s="123">
        <v>1</v>
      </c>
      <c r="G397" s="5" t="s">
        <v>3124</v>
      </c>
    </row>
    <row r="398" spans="2:7" ht="14.25" customHeight="1">
      <c r="B398" s="123" t="s">
        <v>677</v>
      </c>
      <c r="C398" s="123">
        <v>393</v>
      </c>
      <c r="D398" s="123" t="s">
        <v>3248</v>
      </c>
      <c r="E398" s="123" t="s">
        <v>150</v>
      </c>
      <c r="F398" s="123">
        <v>1</v>
      </c>
      <c r="G398" s="5" t="s">
        <v>3124</v>
      </c>
    </row>
    <row r="399" spans="2:7" ht="14.25" customHeight="1">
      <c r="B399" s="123" t="s">
        <v>677</v>
      </c>
      <c r="C399" s="123">
        <v>394</v>
      </c>
      <c r="D399" s="123" t="s">
        <v>3248</v>
      </c>
      <c r="E399" s="123" t="s">
        <v>150</v>
      </c>
      <c r="F399" s="123">
        <v>1</v>
      </c>
      <c r="G399" s="5" t="s">
        <v>3124</v>
      </c>
    </row>
    <row r="400" spans="2:7" ht="14.25" customHeight="1">
      <c r="B400" s="123" t="s">
        <v>677</v>
      </c>
      <c r="C400" s="123">
        <v>395</v>
      </c>
      <c r="D400" s="123" t="s">
        <v>3248</v>
      </c>
      <c r="E400" s="123" t="s">
        <v>150</v>
      </c>
      <c r="F400" s="123">
        <v>1</v>
      </c>
      <c r="G400" s="5" t="s">
        <v>3124</v>
      </c>
    </row>
    <row r="401" spans="2:8" ht="14.25" customHeight="1">
      <c r="B401" s="123" t="s">
        <v>677</v>
      </c>
      <c r="C401" s="123">
        <v>396</v>
      </c>
      <c r="D401" s="123" t="s">
        <v>3249</v>
      </c>
      <c r="E401" s="123" t="s">
        <v>99</v>
      </c>
      <c r="F401" s="123">
        <v>1</v>
      </c>
      <c r="G401" s="5" t="s">
        <v>3124</v>
      </c>
    </row>
    <row r="402" spans="2:8" ht="14.25" customHeight="1">
      <c r="B402" s="123" t="s">
        <v>677</v>
      </c>
      <c r="C402" s="123">
        <v>397</v>
      </c>
      <c r="D402" s="123" t="s">
        <v>3249</v>
      </c>
      <c r="E402" s="123" t="s">
        <v>99</v>
      </c>
      <c r="F402" s="123">
        <v>1</v>
      </c>
      <c r="G402" s="5" t="s">
        <v>3124</v>
      </c>
    </row>
    <row r="403" spans="2:8" ht="14.25" customHeight="1">
      <c r="B403" s="123" t="s">
        <v>677</v>
      </c>
      <c r="C403" s="123">
        <v>398</v>
      </c>
      <c r="D403" s="123" t="s">
        <v>3249</v>
      </c>
      <c r="E403" s="123" t="s">
        <v>99</v>
      </c>
      <c r="F403" s="123">
        <v>1</v>
      </c>
      <c r="G403" s="5" t="s">
        <v>3124</v>
      </c>
    </row>
    <row r="404" spans="2:8" ht="14.25" customHeight="1">
      <c r="B404" s="123" t="s">
        <v>677</v>
      </c>
      <c r="C404" s="123">
        <v>399</v>
      </c>
      <c r="D404" s="123" t="s">
        <v>3249</v>
      </c>
      <c r="E404" s="123" t="s">
        <v>99</v>
      </c>
      <c r="F404" s="123">
        <v>1</v>
      </c>
      <c r="G404" s="5" t="s">
        <v>3124</v>
      </c>
    </row>
    <row r="405" spans="2:8" ht="14.25" customHeight="1">
      <c r="B405" s="123" t="s">
        <v>677</v>
      </c>
      <c r="C405" s="123">
        <v>400</v>
      </c>
      <c r="D405" s="123" t="s">
        <v>3249</v>
      </c>
      <c r="E405" s="123" t="s">
        <v>99</v>
      </c>
      <c r="F405" s="123">
        <v>1</v>
      </c>
      <c r="G405" s="5" t="s">
        <v>3124</v>
      </c>
    </row>
    <row r="406" spans="2:8" ht="14.25" customHeight="1">
      <c r="B406" s="123" t="s">
        <v>677</v>
      </c>
      <c r="C406" s="123">
        <v>401</v>
      </c>
      <c r="D406" s="123" t="s">
        <v>3250</v>
      </c>
      <c r="E406" s="123" t="s">
        <v>158</v>
      </c>
      <c r="F406" s="123">
        <v>1</v>
      </c>
      <c r="G406" s="5" t="s">
        <v>3124</v>
      </c>
    </row>
    <row r="407" spans="2:8" ht="14.25" customHeight="1">
      <c r="B407" s="123" t="s">
        <v>677</v>
      </c>
      <c r="C407" s="123">
        <v>402</v>
      </c>
      <c r="D407" s="123" t="s">
        <v>3250</v>
      </c>
      <c r="E407" s="123" t="s">
        <v>158</v>
      </c>
      <c r="F407" s="123">
        <v>1</v>
      </c>
      <c r="G407" s="5" t="s">
        <v>3124</v>
      </c>
    </row>
    <row r="408" spans="2:8" ht="14.25" customHeight="1">
      <c r="B408" s="123" t="s">
        <v>677</v>
      </c>
      <c r="C408" s="123">
        <v>403</v>
      </c>
      <c r="D408" s="123" t="s">
        <v>3250</v>
      </c>
      <c r="E408" s="123" t="s">
        <v>158</v>
      </c>
      <c r="F408" s="123">
        <v>1</v>
      </c>
      <c r="G408" s="5" t="s">
        <v>3124</v>
      </c>
    </row>
    <row r="409" spans="2:8" ht="14.25" customHeight="1">
      <c r="B409" s="123" t="s">
        <v>677</v>
      </c>
      <c r="C409" s="123">
        <v>404</v>
      </c>
      <c r="D409" s="123" t="s">
        <v>3250</v>
      </c>
      <c r="E409" s="123" t="s">
        <v>158</v>
      </c>
      <c r="F409" s="123">
        <v>1</v>
      </c>
      <c r="G409" s="5" t="s">
        <v>3124</v>
      </c>
    </row>
    <row r="410" spans="2:8" ht="14.25" customHeight="1">
      <c r="B410" s="123" t="s">
        <v>677</v>
      </c>
      <c r="C410" s="123">
        <v>405</v>
      </c>
      <c r="D410" s="123" t="s">
        <v>3250</v>
      </c>
      <c r="E410" s="123" t="s">
        <v>158</v>
      </c>
      <c r="F410" s="123">
        <v>1</v>
      </c>
      <c r="G410" s="5" t="s">
        <v>3124</v>
      </c>
    </row>
    <row r="411" spans="2:8" ht="14.25" hidden="1" customHeight="1">
      <c r="B411" s="123" t="s">
        <v>61</v>
      </c>
      <c r="C411" s="123"/>
      <c r="D411" s="124" t="s">
        <v>3251</v>
      </c>
      <c r="E411" s="123"/>
      <c r="F411" s="123"/>
      <c r="G411" s="5" t="s">
        <v>694</v>
      </c>
      <c r="H411" s="14"/>
    </row>
    <row r="412" spans="2:8" ht="14.25" hidden="1" customHeight="1">
      <c r="B412" s="123" t="s">
        <v>61</v>
      </c>
      <c r="C412" s="123"/>
      <c r="D412" s="124" t="s">
        <v>3252</v>
      </c>
      <c r="E412" s="123"/>
      <c r="F412" s="123"/>
      <c r="G412" s="5" t="s">
        <v>694</v>
      </c>
      <c r="H412" s="14"/>
    </row>
    <row r="413" spans="2:8" ht="14.25" hidden="1" customHeight="1">
      <c r="B413" s="123" t="s">
        <v>61</v>
      </c>
      <c r="C413" s="123"/>
      <c r="D413" s="124" t="s">
        <v>3253</v>
      </c>
      <c r="E413" s="123"/>
      <c r="F413" s="123"/>
      <c r="G413" s="5" t="s">
        <v>694</v>
      </c>
      <c r="H413" s="14"/>
    </row>
    <row r="414" spans="2:8" ht="14.25" hidden="1" customHeight="1">
      <c r="B414" s="123" t="s">
        <v>61</v>
      </c>
      <c r="C414" s="123"/>
      <c r="D414" s="124" t="s">
        <v>3254</v>
      </c>
      <c r="E414" s="123"/>
      <c r="F414" s="123"/>
      <c r="G414" s="5" t="s">
        <v>694</v>
      </c>
      <c r="H414" s="14"/>
    </row>
    <row r="415" spans="2:8" ht="14.25" customHeight="1">
      <c r="B415" s="123" t="s">
        <v>61</v>
      </c>
      <c r="C415" s="123">
        <v>406</v>
      </c>
      <c r="D415" s="123" t="s">
        <v>3255</v>
      </c>
      <c r="E415" s="123" t="s">
        <v>150</v>
      </c>
      <c r="F415" s="123">
        <v>1</v>
      </c>
      <c r="G415" s="5" t="s">
        <v>3124</v>
      </c>
    </row>
    <row r="416" spans="2:8" ht="14.25" customHeight="1">
      <c r="B416" s="123" t="s">
        <v>61</v>
      </c>
      <c r="C416" s="123">
        <v>407</v>
      </c>
      <c r="D416" s="123" t="s">
        <v>3255</v>
      </c>
      <c r="E416" s="123" t="s">
        <v>150</v>
      </c>
      <c r="F416" s="123">
        <v>1</v>
      </c>
      <c r="G416" s="5" t="s">
        <v>3124</v>
      </c>
    </row>
    <row r="417" spans="2:7" ht="14.25" customHeight="1">
      <c r="B417" s="123" t="s">
        <v>61</v>
      </c>
      <c r="C417" s="123">
        <v>408</v>
      </c>
      <c r="D417" s="123" t="s">
        <v>3255</v>
      </c>
      <c r="E417" s="123" t="s">
        <v>150</v>
      </c>
      <c r="F417" s="123">
        <v>1</v>
      </c>
      <c r="G417" s="5" t="s">
        <v>3124</v>
      </c>
    </row>
    <row r="418" spans="2:7" ht="14.25" customHeight="1">
      <c r="B418" s="123" t="s">
        <v>61</v>
      </c>
      <c r="C418" s="123">
        <v>409</v>
      </c>
      <c r="D418" s="123" t="s">
        <v>3256</v>
      </c>
      <c r="E418" s="123" t="s">
        <v>99</v>
      </c>
      <c r="F418" s="123">
        <v>1</v>
      </c>
      <c r="G418" s="5" t="s">
        <v>3124</v>
      </c>
    </row>
    <row r="419" spans="2:7" ht="14.25" customHeight="1">
      <c r="B419" s="123" t="s">
        <v>61</v>
      </c>
      <c r="C419" s="123">
        <v>410</v>
      </c>
      <c r="D419" s="123" t="s">
        <v>3256</v>
      </c>
      <c r="E419" s="123" t="s">
        <v>99</v>
      </c>
      <c r="F419" s="123">
        <v>1</v>
      </c>
      <c r="G419" s="5" t="s">
        <v>3124</v>
      </c>
    </row>
    <row r="420" spans="2:7" ht="14.25" customHeight="1">
      <c r="B420" s="123" t="s">
        <v>61</v>
      </c>
      <c r="C420" s="123">
        <v>411</v>
      </c>
      <c r="D420" s="123" t="s">
        <v>3256</v>
      </c>
      <c r="E420" s="123" t="s">
        <v>99</v>
      </c>
      <c r="F420" s="123">
        <v>1</v>
      </c>
      <c r="G420" s="5" t="s">
        <v>3124</v>
      </c>
    </row>
    <row r="421" spans="2:7" ht="14.25" customHeight="1">
      <c r="B421" s="123" t="s">
        <v>61</v>
      </c>
      <c r="C421" s="123">
        <v>412</v>
      </c>
      <c r="D421" s="123" t="s">
        <v>3257</v>
      </c>
      <c r="E421" s="123" t="s">
        <v>150</v>
      </c>
      <c r="F421" s="123">
        <v>1</v>
      </c>
      <c r="G421" s="5" t="s">
        <v>3124</v>
      </c>
    </row>
    <row r="422" spans="2:7" ht="14.25" customHeight="1">
      <c r="B422" s="123" t="s">
        <v>61</v>
      </c>
      <c r="C422" s="123">
        <v>413</v>
      </c>
      <c r="D422" s="123" t="s">
        <v>3257</v>
      </c>
      <c r="E422" s="123" t="s">
        <v>150</v>
      </c>
      <c r="F422" s="123">
        <v>1</v>
      </c>
      <c r="G422" s="5" t="s">
        <v>3124</v>
      </c>
    </row>
    <row r="423" spans="2:7" ht="14.25" customHeight="1">
      <c r="B423" s="123" t="s">
        <v>61</v>
      </c>
      <c r="C423" s="123">
        <v>414</v>
      </c>
      <c r="D423" s="123" t="s">
        <v>3257</v>
      </c>
      <c r="E423" s="123" t="s">
        <v>150</v>
      </c>
      <c r="F423" s="123">
        <v>1</v>
      </c>
      <c r="G423" s="5" t="s">
        <v>3124</v>
      </c>
    </row>
    <row r="424" spans="2:7" ht="14.25" customHeight="1">
      <c r="B424" s="123" t="s">
        <v>61</v>
      </c>
      <c r="C424" s="123">
        <v>415</v>
      </c>
      <c r="D424" s="123" t="s">
        <v>3258</v>
      </c>
      <c r="E424" s="123" t="s">
        <v>150</v>
      </c>
      <c r="F424" s="123">
        <v>1</v>
      </c>
      <c r="G424" s="5" t="s">
        <v>3124</v>
      </c>
    </row>
    <row r="425" spans="2:7" ht="14.25" customHeight="1">
      <c r="B425" s="123" t="s">
        <v>61</v>
      </c>
      <c r="C425" s="123">
        <v>416</v>
      </c>
      <c r="D425" s="123" t="s">
        <v>3258</v>
      </c>
      <c r="E425" s="123" t="s">
        <v>150</v>
      </c>
      <c r="F425" s="123">
        <v>1</v>
      </c>
      <c r="G425" s="5" t="s">
        <v>3124</v>
      </c>
    </row>
    <row r="426" spans="2:7" ht="14.25" customHeight="1">
      <c r="B426" s="123" t="s">
        <v>61</v>
      </c>
      <c r="C426" s="123">
        <v>417</v>
      </c>
      <c r="D426" s="123" t="s">
        <v>3259</v>
      </c>
      <c r="E426" s="123" t="s">
        <v>99</v>
      </c>
      <c r="F426" s="123">
        <v>1</v>
      </c>
      <c r="G426" s="5" t="s">
        <v>3124</v>
      </c>
    </row>
    <row r="427" spans="2:7" ht="14.25" customHeight="1">
      <c r="B427" s="123" t="s">
        <v>61</v>
      </c>
      <c r="C427" s="123">
        <v>418</v>
      </c>
      <c r="D427" s="123" t="s">
        <v>3259</v>
      </c>
      <c r="E427" s="123" t="s">
        <v>99</v>
      </c>
      <c r="F427" s="123">
        <v>1</v>
      </c>
      <c r="G427" s="5" t="s">
        <v>3124</v>
      </c>
    </row>
    <row r="428" spans="2:7" ht="14.25" customHeight="1">
      <c r="B428" s="123" t="s">
        <v>61</v>
      </c>
      <c r="C428" s="123">
        <v>419</v>
      </c>
      <c r="D428" s="123" t="s">
        <v>3260</v>
      </c>
      <c r="E428" s="123" t="s">
        <v>150</v>
      </c>
      <c r="F428" s="123">
        <v>1</v>
      </c>
      <c r="G428" s="5" t="s">
        <v>3124</v>
      </c>
    </row>
    <row r="429" spans="2:7" ht="14.25" customHeight="1">
      <c r="B429" s="123" t="s">
        <v>61</v>
      </c>
      <c r="C429" s="123">
        <v>420</v>
      </c>
      <c r="D429" s="123" t="s">
        <v>3261</v>
      </c>
      <c r="E429" s="123" t="s">
        <v>150</v>
      </c>
      <c r="F429" s="123">
        <v>1</v>
      </c>
      <c r="G429" s="5" t="s">
        <v>3124</v>
      </c>
    </row>
    <row r="430" spans="2:7" ht="14.25" customHeight="1">
      <c r="B430" s="123" t="s">
        <v>61</v>
      </c>
      <c r="C430" s="123">
        <v>421</v>
      </c>
      <c r="D430" s="123" t="s">
        <v>3262</v>
      </c>
      <c r="E430" s="123" t="s">
        <v>150</v>
      </c>
      <c r="F430" s="123">
        <v>1</v>
      </c>
      <c r="G430" s="5" t="s">
        <v>3124</v>
      </c>
    </row>
    <row r="431" spans="2:7" ht="14.25" customHeight="1">
      <c r="B431" s="123" t="s">
        <v>61</v>
      </c>
      <c r="C431" s="123">
        <v>422</v>
      </c>
      <c r="D431" s="123" t="s">
        <v>3263</v>
      </c>
      <c r="E431" s="123" t="s">
        <v>150</v>
      </c>
      <c r="F431" s="123">
        <v>1</v>
      </c>
      <c r="G431" s="5" t="s">
        <v>3124</v>
      </c>
    </row>
    <row r="432" spans="2:7" ht="14.25" customHeight="1">
      <c r="B432" s="123" t="s">
        <v>61</v>
      </c>
      <c r="C432" s="123">
        <v>423</v>
      </c>
      <c r="D432" s="123" t="s">
        <v>3263</v>
      </c>
      <c r="E432" s="123" t="s">
        <v>99</v>
      </c>
      <c r="F432" s="123">
        <v>1</v>
      </c>
      <c r="G432" s="5" t="s">
        <v>3124</v>
      </c>
    </row>
    <row r="433" spans="2:7" ht="14.25" customHeight="1">
      <c r="B433" s="123" t="s">
        <v>61</v>
      </c>
      <c r="C433" s="123">
        <v>424</v>
      </c>
      <c r="D433" s="123" t="s">
        <v>3263</v>
      </c>
      <c r="E433" s="123" t="s">
        <v>158</v>
      </c>
      <c r="F433" s="123">
        <v>1</v>
      </c>
      <c r="G433" s="5" t="s">
        <v>3124</v>
      </c>
    </row>
    <row r="434" spans="2:7" ht="14.25" customHeight="1">
      <c r="B434" s="123" t="s">
        <v>61</v>
      </c>
      <c r="C434" s="123">
        <v>425</v>
      </c>
      <c r="D434" s="123" t="s">
        <v>3264</v>
      </c>
      <c r="E434" s="123" t="s">
        <v>162</v>
      </c>
      <c r="F434" s="123">
        <v>1</v>
      </c>
      <c r="G434" s="5" t="s">
        <v>3124</v>
      </c>
    </row>
    <row r="435" spans="2:7" ht="14.25" customHeight="1">
      <c r="B435" s="123" t="s">
        <v>61</v>
      </c>
      <c r="C435" s="123">
        <v>426</v>
      </c>
      <c r="D435" s="123" t="s">
        <v>3264</v>
      </c>
      <c r="E435" s="123" t="s">
        <v>166</v>
      </c>
      <c r="F435" s="123">
        <v>1</v>
      </c>
      <c r="G435" s="5" t="s">
        <v>3124</v>
      </c>
    </row>
    <row r="436" spans="2:7" ht="14.25" customHeight="1">
      <c r="B436" s="123" t="s">
        <v>61</v>
      </c>
      <c r="C436" s="123">
        <v>427</v>
      </c>
      <c r="D436" s="123" t="s">
        <v>3264</v>
      </c>
      <c r="E436" s="123" t="s">
        <v>170</v>
      </c>
      <c r="F436" s="123">
        <v>1</v>
      </c>
      <c r="G436" s="5" t="s">
        <v>3124</v>
      </c>
    </row>
    <row r="437" spans="2:7" ht="14.25" customHeight="1">
      <c r="B437" s="123" t="s">
        <v>61</v>
      </c>
      <c r="C437" s="123">
        <v>428</v>
      </c>
      <c r="D437" s="123" t="s">
        <v>3265</v>
      </c>
      <c r="E437" s="123" t="s">
        <v>174</v>
      </c>
      <c r="F437" s="123">
        <v>1</v>
      </c>
      <c r="G437" s="5" t="s">
        <v>3124</v>
      </c>
    </row>
    <row r="438" spans="2:7" ht="14.25" customHeight="1">
      <c r="B438" s="123" t="s">
        <v>61</v>
      </c>
      <c r="C438" s="123">
        <v>429</v>
      </c>
      <c r="D438" s="123" t="s">
        <v>3265</v>
      </c>
      <c r="E438" s="123" t="s">
        <v>178</v>
      </c>
      <c r="F438" s="123">
        <v>1</v>
      </c>
      <c r="G438" s="5" t="s">
        <v>3124</v>
      </c>
    </row>
    <row r="439" spans="2:7" ht="14.25" customHeight="1">
      <c r="B439" s="123" t="s">
        <v>61</v>
      </c>
      <c r="C439" s="123">
        <v>430</v>
      </c>
      <c r="D439" s="123" t="s">
        <v>3265</v>
      </c>
      <c r="E439" s="123" t="s">
        <v>182</v>
      </c>
      <c r="F439" s="123">
        <v>1</v>
      </c>
      <c r="G439" s="5" t="s">
        <v>3124</v>
      </c>
    </row>
    <row r="440" spans="2:7" ht="14.25" customHeight="1">
      <c r="B440" s="123" t="s">
        <v>61</v>
      </c>
      <c r="C440" s="123">
        <v>431</v>
      </c>
      <c r="D440" s="123" t="s">
        <v>3266</v>
      </c>
      <c r="E440" s="123" t="s">
        <v>150</v>
      </c>
      <c r="F440" s="123">
        <v>1</v>
      </c>
      <c r="G440" s="5" t="s">
        <v>3124</v>
      </c>
    </row>
    <row r="441" spans="2:7" ht="14.25" customHeight="1">
      <c r="B441" s="123" t="s">
        <v>61</v>
      </c>
      <c r="C441" s="123">
        <v>432</v>
      </c>
      <c r="D441" s="123" t="s">
        <v>3266</v>
      </c>
      <c r="E441" s="123" t="s">
        <v>150</v>
      </c>
      <c r="F441" s="123">
        <v>1</v>
      </c>
      <c r="G441" s="5" t="s">
        <v>3124</v>
      </c>
    </row>
    <row r="442" spans="2:7" ht="14.25" customHeight="1">
      <c r="B442" s="123" t="s">
        <v>61</v>
      </c>
      <c r="C442" s="123">
        <v>433</v>
      </c>
      <c r="D442" s="123" t="s">
        <v>3266</v>
      </c>
      <c r="E442" s="123" t="s">
        <v>150</v>
      </c>
      <c r="F442" s="123">
        <v>1</v>
      </c>
      <c r="G442" s="5" t="s">
        <v>3124</v>
      </c>
    </row>
    <row r="443" spans="2:7" ht="14.25" customHeight="1">
      <c r="B443" s="123" t="s">
        <v>61</v>
      </c>
      <c r="C443" s="123">
        <v>434</v>
      </c>
      <c r="D443" s="123" t="s">
        <v>3267</v>
      </c>
      <c r="E443" s="123" t="s">
        <v>99</v>
      </c>
      <c r="F443" s="123">
        <v>1</v>
      </c>
      <c r="G443" s="5" t="s">
        <v>3124</v>
      </c>
    </row>
    <row r="444" spans="2:7" ht="14.25" customHeight="1">
      <c r="B444" s="123" t="s">
        <v>61</v>
      </c>
      <c r="C444" s="123">
        <v>435</v>
      </c>
      <c r="D444" s="123" t="s">
        <v>3267</v>
      </c>
      <c r="E444" s="123" t="s">
        <v>99</v>
      </c>
      <c r="F444" s="123">
        <v>1</v>
      </c>
      <c r="G444" s="5" t="s">
        <v>3124</v>
      </c>
    </row>
    <row r="445" spans="2:7" ht="14.25" customHeight="1">
      <c r="B445" s="123" t="s">
        <v>61</v>
      </c>
      <c r="C445" s="123">
        <v>436</v>
      </c>
      <c r="D445" s="123" t="s">
        <v>3267</v>
      </c>
      <c r="E445" s="123" t="s">
        <v>99</v>
      </c>
      <c r="F445" s="123">
        <v>1</v>
      </c>
      <c r="G445" s="5" t="s">
        <v>3124</v>
      </c>
    </row>
    <row r="446" spans="2:7" ht="14.25" customHeight="1">
      <c r="B446" s="123" t="s">
        <v>61</v>
      </c>
      <c r="C446" s="123">
        <v>437</v>
      </c>
      <c r="D446" s="123" t="s">
        <v>3268</v>
      </c>
      <c r="E446" s="123" t="s">
        <v>150</v>
      </c>
      <c r="F446" s="123">
        <v>1</v>
      </c>
      <c r="G446" s="5" t="s">
        <v>3124</v>
      </c>
    </row>
    <row r="447" spans="2:7" ht="14.25" customHeight="1">
      <c r="B447" s="123" t="s">
        <v>61</v>
      </c>
      <c r="C447" s="123">
        <v>438</v>
      </c>
      <c r="D447" s="123" t="s">
        <v>3268</v>
      </c>
      <c r="E447" s="123" t="s">
        <v>150</v>
      </c>
      <c r="F447" s="123">
        <v>1</v>
      </c>
      <c r="G447" s="5" t="s">
        <v>3124</v>
      </c>
    </row>
    <row r="448" spans="2:7" ht="14.25" customHeight="1">
      <c r="B448" s="123" t="s">
        <v>61</v>
      </c>
      <c r="C448" s="123">
        <v>439</v>
      </c>
      <c r="D448" s="123" t="s">
        <v>3268</v>
      </c>
      <c r="E448" s="123" t="s">
        <v>150</v>
      </c>
      <c r="F448" s="123">
        <v>1</v>
      </c>
      <c r="G448" s="5" t="s">
        <v>3124</v>
      </c>
    </row>
    <row r="449" spans="2:7" ht="14.25" customHeight="1">
      <c r="B449" s="123" t="s">
        <v>61</v>
      </c>
      <c r="C449" s="123">
        <v>440</v>
      </c>
      <c r="D449" s="123" t="s">
        <v>3269</v>
      </c>
      <c r="E449" s="123" t="s">
        <v>150</v>
      </c>
      <c r="F449" s="123">
        <v>1</v>
      </c>
      <c r="G449" s="5" t="s">
        <v>3124</v>
      </c>
    </row>
    <row r="450" spans="2:7" ht="14.25" customHeight="1">
      <c r="B450" s="123" t="s">
        <v>61</v>
      </c>
      <c r="C450" s="123">
        <v>441</v>
      </c>
      <c r="D450" s="123" t="s">
        <v>3269</v>
      </c>
      <c r="E450" s="123" t="s">
        <v>150</v>
      </c>
      <c r="F450" s="123">
        <v>1</v>
      </c>
      <c r="G450" s="5" t="s">
        <v>3124</v>
      </c>
    </row>
    <row r="451" spans="2:7" ht="14.25" customHeight="1">
      <c r="B451" s="123" t="s">
        <v>61</v>
      </c>
      <c r="C451" s="123">
        <v>442</v>
      </c>
      <c r="D451" s="123" t="s">
        <v>3269</v>
      </c>
      <c r="E451" s="123" t="s">
        <v>150</v>
      </c>
      <c r="F451" s="123">
        <v>1</v>
      </c>
      <c r="G451" s="5" t="s">
        <v>3124</v>
      </c>
    </row>
    <row r="452" spans="2:7" ht="14.25" customHeight="1">
      <c r="B452" s="123" t="s">
        <v>61</v>
      </c>
      <c r="C452" s="123">
        <v>443</v>
      </c>
      <c r="D452" s="123" t="s">
        <v>3270</v>
      </c>
      <c r="E452" s="123" t="s">
        <v>99</v>
      </c>
      <c r="F452" s="123">
        <v>1</v>
      </c>
      <c r="G452" s="5" t="s">
        <v>3124</v>
      </c>
    </row>
    <row r="453" spans="2:7" ht="14.25" customHeight="1">
      <c r="B453" s="123" t="s">
        <v>61</v>
      </c>
      <c r="C453" s="123">
        <v>444</v>
      </c>
      <c r="D453" s="123" t="s">
        <v>3270</v>
      </c>
      <c r="E453" s="123" t="s">
        <v>99</v>
      </c>
      <c r="F453" s="123">
        <v>1</v>
      </c>
      <c r="G453" s="5" t="s">
        <v>3124</v>
      </c>
    </row>
    <row r="454" spans="2:7" ht="14.25" customHeight="1">
      <c r="B454" s="123" t="s">
        <v>61</v>
      </c>
      <c r="C454" s="123">
        <v>445</v>
      </c>
      <c r="D454" s="123" t="s">
        <v>3270</v>
      </c>
      <c r="E454" s="123" t="s">
        <v>99</v>
      </c>
      <c r="F454" s="123">
        <v>1</v>
      </c>
      <c r="G454" s="5" t="s">
        <v>3124</v>
      </c>
    </row>
    <row r="455" spans="2:7" ht="14.25" customHeight="1">
      <c r="B455" s="123" t="s">
        <v>61</v>
      </c>
      <c r="C455" s="123">
        <v>446</v>
      </c>
      <c r="D455" s="123" t="s">
        <v>3271</v>
      </c>
      <c r="E455" s="123" t="s">
        <v>150</v>
      </c>
      <c r="F455" s="123">
        <v>1</v>
      </c>
      <c r="G455" s="5" t="s">
        <v>3124</v>
      </c>
    </row>
    <row r="456" spans="2:7" ht="14.25" customHeight="1">
      <c r="B456" s="123" t="s">
        <v>61</v>
      </c>
      <c r="C456" s="123">
        <v>447</v>
      </c>
      <c r="D456" s="123" t="s">
        <v>3271</v>
      </c>
      <c r="E456" s="123" t="s">
        <v>150</v>
      </c>
      <c r="F456" s="123">
        <v>1</v>
      </c>
      <c r="G456" s="5" t="s">
        <v>3124</v>
      </c>
    </row>
    <row r="457" spans="2:7" ht="14.25" customHeight="1">
      <c r="B457" s="123" t="s">
        <v>61</v>
      </c>
      <c r="C457" s="123">
        <v>448</v>
      </c>
      <c r="D457" s="123" t="s">
        <v>3271</v>
      </c>
      <c r="E457" s="123" t="s">
        <v>150</v>
      </c>
      <c r="F457" s="123">
        <v>1</v>
      </c>
      <c r="G457" s="5" t="s">
        <v>3124</v>
      </c>
    </row>
    <row r="458" spans="2:7" ht="14.25" customHeight="1">
      <c r="B458" s="123" t="s">
        <v>61</v>
      </c>
      <c r="C458" s="123">
        <v>449</v>
      </c>
      <c r="D458" s="123" t="s">
        <v>3272</v>
      </c>
      <c r="E458" s="123" t="s">
        <v>150</v>
      </c>
      <c r="F458" s="123">
        <v>1</v>
      </c>
      <c r="G458" s="5" t="s">
        <v>3124</v>
      </c>
    </row>
    <row r="459" spans="2:7" ht="14.25" customHeight="1">
      <c r="B459" s="123" t="s">
        <v>61</v>
      </c>
      <c r="C459" s="123">
        <v>450</v>
      </c>
      <c r="D459" s="123" t="s">
        <v>3272</v>
      </c>
      <c r="E459" s="123" t="s">
        <v>150</v>
      </c>
      <c r="F459" s="123">
        <v>1</v>
      </c>
      <c r="G459" s="5" t="s">
        <v>3124</v>
      </c>
    </row>
    <row r="460" spans="2:7" ht="14.25" customHeight="1">
      <c r="B460" s="123" t="s">
        <v>61</v>
      </c>
      <c r="C460" s="123">
        <v>451</v>
      </c>
      <c r="D460" s="123" t="s">
        <v>3273</v>
      </c>
      <c r="E460" s="123" t="s">
        <v>99</v>
      </c>
      <c r="F460" s="123">
        <v>1</v>
      </c>
      <c r="G460" s="5" t="s">
        <v>3124</v>
      </c>
    </row>
    <row r="461" spans="2:7" ht="14.25" customHeight="1">
      <c r="B461" s="123" t="s">
        <v>61</v>
      </c>
      <c r="C461" s="123">
        <v>452</v>
      </c>
      <c r="D461" s="123" t="s">
        <v>3273</v>
      </c>
      <c r="E461" s="123" t="s">
        <v>99</v>
      </c>
      <c r="F461" s="123">
        <v>1</v>
      </c>
      <c r="G461" s="5" t="s">
        <v>3124</v>
      </c>
    </row>
    <row r="462" spans="2:7" ht="14.25" customHeight="1">
      <c r="B462" s="123" t="s">
        <v>61</v>
      </c>
      <c r="C462" s="123">
        <v>453</v>
      </c>
      <c r="D462" s="123" t="s">
        <v>3274</v>
      </c>
      <c r="E462" s="123" t="s">
        <v>150</v>
      </c>
      <c r="F462" s="123">
        <v>1</v>
      </c>
      <c r="G462" s="5" t="s">
        <v>3124</v>
      </c>
    </row>
    <row r="463" spans="2:7" ht="14.25" customHeight="1">
      <c r="B463" s="123" t="s">
        <v>61</v>
      </c>
      <c r="C463" s="123">
        <v>454</v>
      </c>
      <c r="D463" s="123" t="s">
        <v>3275</v>
      </c>
      <c r="E463" s="123" t="s">
        <v>150</v>
      </c>
      <c r="F463" s="123">
        <v>1</v>
      </c>
      <c r="G463" s="5" t="s">
        <v>3124</v>
      </c>
    </row>
    <row r="464" spans="2:7" ht="14.25" customHeight="1">
      <c r="B464" s="123" t="s">
        <v>61</v>
      </c>
      <c r="C464" s="123">
        <v>455</v>
      </c>
      <c r="D464" s="123" t="s">
        <v>3276</v>
      </c>
      <c r="E464" s="123" t="s">
        <v>150</v>
      </c>
      <c r="F464" s="123">
        <v>1</v>
      </c>
      <c r="G464" s="5" t="s">
        <v>3124</v>
      </c>
    </row>
    <row r="465" spans="2:7" ht="14.25" hidden="1" customHeight="1">
      <c r="B465" s="123" t="s">
        <v>61</v>
      </c>
      <c r="C465" s="123"/>
      <c r="D465" s="123" t="s">
        <v>3277</v>
      </c>
      <c r="E465" s="123"/>
      <c r="F465" s="123"/>
      <c r="G465" s="5" t="s">
        <v>694</v>
      </c>
    </row>
    <row r="466" spans="2:7" ht="14.25" hidden="1" customHeight="1">
      <c r="B466" s="123" t="s">
        <v>61</v>
      </c>
      <c r="C466" s="123"/>
      <c r="D466" s="123" t="s">
        <v>3278</v>
      </c>
      <c r="E466" s="123"/>
      <c r="F466" s="123"/>
      <c r="G466" s="5" t="s">
        <v>694</v>
      </c>
    </row>
    <row r="467" spans="2:7" ht="14.25" hidden="1" customHeight="1">
      <c r="B467" s="123" t="s">
        <v>61</v>
      </c>
      <c r="C467" s="123"/>
      <c r="D467" s="123" t="s">
        <v>3279</v>
      </c>
      <c r="E467" s="123"/>
      <c r="F467" s="123"/>
      <c r="G467" s="5" t="s">
        <v>694</v>
      </c>
    </row>
    <row r="468" spans="2:7" ht="14.25" hidden="1" customHeight="1">
      <c r="B468" s="123" t="s">
        <v>61</v>
      </c>
      <c r="C468" s="123"/>
      <c r="D468" s="123" t="s">
        <v>3280</v>
      </c>
      <c r="E468" s="123"/>
      <c r="F468" s="123"/>
      <c r="G468" s="5" t="s">
        <v>694</v>
      </c>
    </row>
    <row r="469" spans="2:7" ht="14.25" hidden="1" customHeight="1">
      <c r="B469" s="123" t="s">
        <v>61</v>
      </c>
      <c r="C469" s="123"/>
      <c r="D469" s="123" t="s">
        <v>3281</v>
      </c>
      <c r="E469" s="123"/>
      <c r="F469" s="123"/>
      <c r="G469" s="5" t="s">
        <v>694</v>
      </c>
    </row>
    <row r="470" spans="2:7" ht="14.25" hidden="1" customHeight="1">
      <c r="B470" s="123" t="s">
        <v>61</v>
      </c>
      <c r="C470" s="123"/>
      <c r="D470" s="123" t="s">
        <v>3282</v>
      </c>
      <c r="E470" s="123"/>
      <c r="F470" s="123"/>
      <c r="G470" s="5" t="s">
        <v>694</v>
      </c>
    </row>
    <row r="471" spans="2:7" ht="14.25" hidden="1" customHeight="1">
      <c r="B471" s="123" t="s">
        <v>61</v>
      </c>
      <c r="C471" s="123"/>
      <c r="D471" s="123" t="s">
        <v>3283</v>
      </c>
      <c r="E471" s="123"/>
      <c r="F471" s="123"/>
      <c r="G471" s="5" t="s">
        <v>694</v>
      </c>
    </row>
    <row r="472" spans="2:7" ht="14.25" hidden="1" customHeight="1">
      <c r="B472" s="123" t="s">
        <v>61</v>
      </c>
      <c r="C472" s="123"/>
      <c r="D472" s="123" t="s">
        <v>3284</v>
      </c>
      <c r="E472" s="123"/>
      <c r="F472" s="123"/>
      <c r="G472" s="5" t="s">
        <v>694</v>
      </c>
    </row>
    <row r="473" spans="2:7" ht="14.25" hidden="1" customHeight="1">
      <c r="B473" s="123" t="s">
        <v>61</v>
      </c>
      <c r="C473" s="123"/>
      <c r="D473" s="123" t="s">
        <v>3285</v>
      </c>
      <c r="E473" s="123"/>
      <c r="F473" s="123"/>
      <c r="G473" s="5" t="s">
        <v>3286</v>
      </c>
    </row>
    <row r="474" spans="2:7" ht="14.25" customHeight="1">
      <c r="B474" s="123" t="s">
        <v>61</v>
      </c>
      <c r="C474" s="123">
        <v>456</v>
      </c>
      <c r="D474" s="123" t="s">
        <v>3287</v>
      </c>
      <c r="E474" s="123" t="s">
        <v>150</v>
      </c>
      <c r="F474" s="123">
        <v>1</v>
      </c>
      <c r="G474" s="5" t="s">
        <v>3124</v>
      </c>
    </row>
    <row r="475" spans="2:7" ht="14.25" customHeight="1">
      <c r="B475" s="123" t="s">
        <v>61</v>
      </c>
      <c r="C475" s="123">
        <v>457</v>
      </c>
      <c r="D475" s="123" t="s">
        <v>3287</v>
      </c>
      <c r="E475" s="123" t="s">
        <v>150</v>
      </c>
      <c r="F475" s="123">
        <v>1</v>
      </c>
      <c r="G475" s="5" t="s">
        <v>3124</v>
      </c>
    </row>
    <row r="476" spans="2:7" ht="14.25" customHeight="1">
      <c r="B476" s="123" t="s">
        <v>61</v>
      </c>
      <c r="C476" s="123">
        <v>458</v>
      </c>
      <c r="D476" s="123" t="s">
        <v>3287</v>
      </c>
      <c r="E476" s="123" t="s">
        <v>150</v>
      </c>
      <c r="F476" s="123">
        <v>1</v>
      </c>
      <c r="G476" s="5" t="s">
        <v>3124</v>
      </c>
    </row>
    <row r="477" spans="2:7" ht="14.25" customHeight="1">
      <c r="B477" s="123" t="s">
        <v>61</v>
      </c>
      <c r="C477" s="123">
        <v>459</v>
      </c>
      <c r="D477" s="123" t="s">
        <v>3288</v>
      </c>
      <c r="E477" s="123" t="s">
        <v>150</v>
      </c>
      <c r="F477" s="123">
        <v>1</v>
      </c>
      <c r="G477" s="5" t="s">
        <v>3124</v>
      </c>
    </row>
    <row r="478" spans="2:7" ht="14.25" customHeight="1">
      <c r="B478" s="123" t="s">
        <v>61</v>
      </c>
      <c r="C478" s="123">
        <v>460</v>
      </c>
      <c r="D478" s="123" t="s">
        <v>3288</v>
      </c>
      <c r="E478" s="123" t="s">
        <v>150</v>
      </c>
      <c r="F478" s="123">
        <v>1</v>
      </c>
      <c r="G478" s="5" t="s">
        <v>3124</v>
      </c>
    </row>
    <row r="479" spans="2:7" ht="14.25" customHeight="1">
      <c r="B479" s="123" t="s">
        <v>61</v>
      </c>
      <c r="C479" s="123">
        <v>461</v>
      </c>
      <c r="D479" s="123" t="s">
        <v>3288</v>
      </c>
      <c r="E479" s="123" t="s">
        <v>150</v>
      </c>
      <c r="F479" s="123">
        <v>1</v>
      </c>
      <c r="G479" s="5" t="s">
        <v>3124</v>
      </c>
    </row>
    <row r="480" spans="2:7" ht="14.25" customHeight="1">
      <c r="B480" s="123" t="s">
        <v>61</v>
      </c>
      <c r="C480" s="123">
        <v>462</v>
      </c>
      <c r="D480" s="123" t="s">
        <v>3289</v>
      </c>
      <c r="E480" s="123" t="s">
        <v>150</v>
      </c>
      <c r="F480" s="123">
        <v>1</v>
      </c>
      <c r="G480" s="5" t="s">
        <v>3124</v>
      </c>
    </row>
    <row r="481" spans="2:7" ht="14.25" customHeight="1">
      <c r="B481" s="123" t="s">
        <v>61</v>
      </c>
      <c r="C481" s="123">
        <v>463</v>
      </c>
      <c r="D481" s="123" t="s">
        <v>3289</v>
      </c>
      <c r="E481" s="123" t="s">
        <v>150</v>
      </c>
      <c r="F481" s="123">
        <v>1</v>
      </c>
      <c r="G481" s="5" t="s">
        <v>3124</v>
      </c>
    </row>
    <row r="482" spans="2:7" ht="14.25" customHeight="1">
      <c r="B482" s="123" t="s">
        <v>61</v>
      </c>
      <c r="C482" s="123">
        <v>464</v>
      </c>
      <c r="D482" s="123" t="s">
        <v>3289</v>
      </c>
      <c r="E482" s="123" t="s">
        <v>150</v>
      </c>
      <c r="F482" s="123">
        <v>1</v>
      </c>
      <c r="G482" s="5" t="s">
        <v>3124</v>
      </c>
    </row>
    <row r="483" spans="2:7" ht="14.25" customHeight="1">
      <c r="B483" s="123" t="s">
        <v>61</v>
      </c>
      <c r="C483" s="123">
        <v>465</v>
      </c>
      <c r="D483" s="123" t="s">
        <v>3290</v>
      </c>
      <c r="E483" s="123" t="s">
        <v>99</v>
      </c>
      <c r="F483" s="123">
        <v>1</v>
      </c>
      <c r="G483" s="5" t="s">
        <v>3124</v>
      </c>
    </row>
    <row r="484" spans="2:7" ht="14.25" customHeight="1">
      <c r="B484" s="123" t="s">
        <v>61</v>
      </c>
      <c r="C484" s="123">
        <v>466</v>
      </c>
      <c r="D484" s="123" t="s">
        <v>3290</v>
      </c>
      <c r="E484" s="123" t="s">
        <v>99</v>
      </c>
      <c r="F484" s="123">
        <v>1</v>
      </c>
      <c r="G484" s="5" t="s">
        <v>3124</v>
      </c>
    </row>
    <row r="485" spans="2:7" ht="14.25" customHeight="1">
      <c r="B485" s="123" t="s">
        <v>61</v>
      </c>
      <c r="C485" s="123">
        <v>467</v>
      </c>
      <c r="D485" s="123" t="s">
        <v>3290</v>
      </c>
      <c r="E485" s="123" t="s">
        <v>99</v>
      </c>
      <c r="F485" s="123">
        <v>1</v>
      </c>
      <c r="G485" s="5" t="s">
        <v>3124</v>
      </c>
    </row>
    <row r="486" spans="2:7" ht="14.25" customHeight="1">
      <c r="B486" s="123" t="s">
        <v>61</v>
      </c>
      <c r="C486" s="123">
        <v>468</v>
      </c>
      <c r="D486" s="123" t="s">
        <v>3291</v>
      </c>
      <c r="E486" s="123" t="s">
        <v>150</v>
      </c>
      <c r="F486" s="123">
        <v>1</v>
      </c>
      <c r="G486" s="5" t="s">
        <v>3124</v>
      </c>
    </row>
    <row r="487" spans="2:7" ht="14.25" customHeight="1">
      <c r="B487" s="123" t="s">
        <v>61</v>
      </c>
      <c r="C487" s="123">
        <v>469</v>
      </c>
      <c r="D487" s="123" t="s">
        <v>3291</v>
      </c>
      <c r="E487" s="123" t="s">
        <v>150</v>
      </c>
      <c r="F487" s="123">
        <v>1</v>
      </c>
      <c r="G487" s="5" t="s">
        <v>3124</v>
      </c>
    </row>
    <row r="488" spans="2:7" ht="14.25" customHeight="1">
      <c r="B488" s="123" t="s">
        <v>61</v>
      </c>
      <c r="C488" s="123">
        <v>470</v>
      </c>
      <c r="D488" s="123" t="s">
        <v>3291</v>
      </c>
      <c r="E488" s="123" t="s">
        <v>150</v>
      </c>
      <c r="F488" s="123">
        <v>1</v>
      </c>
      <c r="G488" s="5" t="s">
        <v>3124</v>
      </c>
    </row>
    <row r="489" spans="2:7" ht="14.25" customHeight="1">
      <c r="B489" s="123" t="s">
        <v>61</v>
      </c>
      <c r="C489" s="123">
        <v>471</v>
      </c>
      <c r="D489" s="123" t="s">
        <v>3292</v>
      </c>
      <c r="E489" s="123" t="s">
        <v>150</v>
      </c>
      <c r="F489" s="123">
        <v>1</v>
      </c>
      <c r="G489" s="5" t="s">
        <v>3124</v>
      </c>
    </row>
    <row r="490" spans="2:7" ht="14.25" customHeight="1">
      <c r="B490" s="123" t="s">
        <v>61</v>
      </c>
      <c r="C490" s="123">
        <v>472</v>
      </c>
      <c r="D490" s="123" t="s">
        <v>3292</v>
      </c>
      <c r="E490" s="123" t="s">
        <v>150</v>
      </c>
      <c r="F490" s="123">
        <v>1</v>
      </c>
      <c r="G490" s="5" t="s">
        <v>3124</v>
      </c>
    </row>
    <row r="491" spans="2:7" ht="14.25" customHeight="1">
      <c r="B491" s="123" t="s">
        <v>61</v>
      </c>
      <c r="C491" s="123">
        <v>473</v>
      </c>
      <c r="D491" s="123" t="s">
        <v>3292</v>
      </c>
      <c r="E491" s="123" t="s">
        <v>150</v>
      </c>
      <c r="F491" s="123">
        <v>1</v>
      </c>
      <c r="G491" s="5" t="s">
        <v>3124</v>
      </c>
    </row>
    <row r="492" spans="2:7" ht="14.25" customHeight="1">
      <c r="B492" s="123" t="s">
        <v>61</v>
      </c>
      <c r="C492" s="123">
        <v>474</v>
      </c>
      <c r="D492" s="123" t="s">
        <v>3293</v>
      </c>
      <c r="E492" s="123" t="s">
        <v>99</v>
      </c>
      <c r="F492" s="123">
        <v>1</v>
      </c>
      <c r="G492" s="5" t="s">
        <v>3124</v>
      </c>
    </row>
    <row r="493" spans="2:7" ht="14.25" customHeight="1">
      <c r="B493" s="123" t="s">
        <v>61</v>
      </c>
      <c r="C493" s="123">
        <v>475</v>
      </c>
      <c r="D493" s="123" t="s">
        <v>3293</v>
      </c>
      <c r="E493" s="123" t="s">
        <v>99</v>
      </c>
      <c r="F493" s="123">
        <v>1</v>
      </c>
      <c r="G493" s="5" t="s">
        <v>3124</v>
      </c>
    </row>
    <row r="494" spans="2:7" ht="14.25" customHeight="1">
      <c r="B494" s="123" t="s">
        <v>61</v>
      </c>
      <c r="C494" s="123">
        <v>476</v>
      </c>
      <c r="D494" s="123" t="s">
        <v>3293</v>
      </c>
      <c r="E494" s="123" t="s">
        <v>99</v>
      </c>
      <c r="F494" s="123">
        <v>1</v>
      </c>
      <c r="G494" s="5" t="s">
        <v>3124</v>
      </c>
    </row>
    <row r="495" spans="2:7" ht="14.25" customHeight="1">
      <c r="B495" s="123" t="s">
        <v>61</v>
      </c>
      <c r="C495" s="123">
        <v>477</v>
      </c>
      <c r="D495" s="123" t="s">
        <v>3294</v>
      </c>
      <c r="E495" s="123" t="s">
        <v>150</v>
      </c>
      <c r="F495" s="123">
        <v>1</v>
      </c>
      <c r="G495" s="5" t="s">
        <v>3124</v>
      </c>
    </row>
    <row r="496" spans="2:7" ht="14.25" customHeight="1">
      <c r="B496" s="123" t="s">
        <v>61</v>
      </c>
      <c r="C496" s="123">
        <v>478</v>
      </c>
      <c r="D496" s="123" t="s">
        <v>3294</v>
      </c>
      <c r="E496" s="123" t="s">
        <v>150</v>
      </c>
      <c r="F496" s="123">
        <v>1</v>
      </c>
      <c r="G496" s="5" t="s">
        <v>3124</v>
      </c>
    </row>
    <row r="497" spans="2:7" ht="14.25" customHeight="1">
      <c r="B497" s="123" t="s">
        <v>61</v>
      </c>
      <c r="C497" s="123">
        <v>479</v>
      </c>
      <c r="D497" s="123" t="s">
        <v>3294</v>
      </c>
      <c r="E497" s="123" t="s">
        <v>150</v>
      </c>
      <c r="F497" s="123">
        <v>1</v>
      </c>
      <c r="G497" s="5" t="s">
        <v>3124</v>
      </c>
    </row>
    <row r="498" spans="2:7" ht="14.25" customHeight="1">
      <c r="B498" s="123" t="s">
        <v>61</v>
      </c>
      <c r="C498" s="123">
        <v>480</v>
      </c>
      <c r="D498" s="123" t="s">
        <v>3295</v>
      </c>
      <c r="E498" s="123" t="s">
        <v>150</v>
      </c>
      <c r="F498" s="123">
        <v>1</v>
      </c>
      <c r="G498" s="5" t="s">
        <v>3124</v>
      </c>
    </row>
    <row r="499" spans="2:7" ht="14.25" customHeight="1">
      <c r="B499" s="123" t="s">
        <v>61</v>
      </c>
      <c r="C499" s="123">
        <v>481</v>
      </c>
      <c r="D499" s="123" t="s">
        <v>3295</v>
      </c>
      <c r="E499" s="123" t="s">
        <v>150</v>
      </c>
      <c r="F499" s="123">
        <v>1</v>
      </c>
      <c r="G499" s="5" t="s">
        <v>3124</v>
      </c>
    </row>
    <row r="500" spans="2:7" ht="14.25" customHeight="1">
      <c r="B500" s="123" t="s">
        <v>61</v>
      </c>
      <c r="C500" s="123">
        <v>482</v>
      </c>
      <c r="D500" s="123" t="s">
        <v>3295</v>
      </c>
      <c r="E500" s="123" t="s">
        <v>150</v>
      </c>
      <c r="F500" s="123">
        <v>1</v>
      </c>
      <c r="G500" s="5" t="s">
        <v>3124</v>
      </c>
    </row>
    <row r="501" spans="2:7" ht="14.25" customHeight="1">
      <c r="B501" s="123" t="s">
        <v>61</v>
      </c>
      <c r="C501" s="123">
        <v>483</v>
      </c>
      <c r="D501" s="123" t="s">
        <v>3296</v>
      </c>
      <c r="E501" s="123" t="s">
        <v>150</v>
      </c>
      <c r="F501" s="123">
        <v>1</v>
      </c>
      <c r="G501" s="5" t="s">
        <v>3124</v>
      </c>
    </row>
    <row r="502" spans="2:7" ht="14.25" customHeight="1">
      <c r="B502" s="123" t="s">
        <v>61</v>
      </c>
      <c r="C502" s="123">
        <v>484</v>
      </c>
      <c r="D502" s="123" t="s">
        <v>3296</v>
      </c>
      <c r="E502" s="123" t="s">
        <v>150</v>
      </c>
      <c r="F502" s="123">
        <v>1</v>
      </c>
      <c r="G502" s="5" t="s">
        <v>3124</v>
      </c>
    </row>
    <row r="503" spans="2:7" ht="14.25" customHeight="1">
      <c r="B503" s="123" t="s">
        <v>61</v>
      </c>
      <c r="C503" s="123">
        <v>485</v>
      </c>
      <c r="D503" s="123" t="s">
        <v>3296</v>
      </c>
      <c r="E503" s="123" t="s">
        <v>150</v>
      </c>
      <c r="F503" s="123">
        <v>1</v>
      </c>
      <c r="G503" s="5" t="s">
        <v>3124</v>
      </c>
    </row>
    <row r="504" spans="2:7" ht="14.25" customHeight="1">
      <c r="B504" s="123" t="s">
        <v>61</v>
      </c>
      <c r="C504" s="123">
        <v>486</v>
      </c>
      <c r="D504" s="123" t="s">
        <v>3297</v>
      </c>
      <c r="E504" s="123" t="s">
        <v>150</v>
      </c>
      <c r="F504" s="123">
        <v>1</v>
      </c>
      <c r="G504" s="5" t="s">
        <v>3124</v>
      </c>
    </row>
    <row r="505" spans="2:7" ht="14.25" customHeight="1">
      <c r="B505" s="123" t="s">
        <v>61</v>
      </c>
      <c r="C505" s="123">
        <v>487</v>
      </c>
      <c r="D505" s="123" t="s">
        <v>3297</v>
      </c>
      <c r="E505" s="123" t="s">
        <v>99</v>
      </c>
      <c r="F505" s="123">
        <v>1</v>
      </c>
      <c r="G505" s="5" t="s">
        <v>3124</v>
      </c>
    </row>
    <row r="506" spans="2:7" ht="14.25" customHeight="1">
      <c r="B506" s="123" t="s">
        <v>61</v>
      </c>
      <c r="C506" s="123">
        <v>488</v>
      </c>
      <c r="D506" s="123" t="s">
        <v>3297</v>
      </c>
      <c r="E506" s="123" t="s">
        <v>158</v>
      </c>
      <c r="F506" s="123">
        <v>1</v>
      </c>
      <c r="G506" s="5" t="s">
        <v>3124</v>
      </c>
    </row>
    <row r="507" spans="2:7" ht="14.25" customHeight="1">
      <c r="B507" s="123" t="s">
        <v>61</v>
      </c>
      <c r="C507" s="123">
        <v>489</v>
      </c>
      <c r="D507" s="123" t="s">
        <v>3298</v>
      </c>
      <c r="E507" s="123" t="s">
        <v>174</v>
      </c>
      <c r="F507" s="123">
        <v>1</v>
      </c>
      <c r="G507" s="5" t="s">
        <v>3124</v>
      </c>
    </row>
    <row r="508" spans="2:7" ht="14.25" customHeight="1">
      <c r="B508" s="123" t="s">
        <v>61</v>
      </c>
      <c r="C508" s="123">
        <v>490</v>
      </c>
      <c r="D508" s="123" t="s">
        <v>3298</v>
      </c>
      <c r="E508" s="123" t="s">
        <v>178</v>
      </c>
      <c r="F508" s="123">
        <v>1</v>
      </c>
      <c r="G508" s="5" t="s">
        <v>3124</v>
      </c>
    </row>
    <row r="509" spans="2:7" ht="14.25" customHeight="1">
      <c r="B509" s="123" t="s">
        <v>61</v>
      </c>
      <c r="C509" s="123">
        <v>491</v>
      </c>
      <c r="D509" s="123" t="s">
        <v>3298</v>
      </c>
      <c r="E509" s="123" t="s">
        <v>182</v>
      </c>
      <c r="F509" s="123">
        <v>1</v>
      </c>
      <c r="G509" s="5" t="s">
        <v>3124</v>
      </c>
    </row>
    <row r="510" spans="2:7" ht="14.25" customHeight="1">
      <c r="B510" s="123" t="s">
        <v>61</v>
      </c>
      <c r="C510" s="123">
        <v>492</v>
      </c>
      <c r="D510" s="123" t="s">
        <v>3299</v>
      </c>
      <c r="E510" s="123" t="s">
        <v>198</v>
      </c>
      <c r="F510" s="123">
        <v>1</v>
      </c>
      <c r="G510" s="5" t="s">
        <v>3124</v>
      </c>
    </row>
    <row r="511" spans="2:7" ht="14.25" customHeight="1">
      <c r="B511" s="123" t="s">
        <v>61</v>
      </c>
      <c r="C511" s="123">
        <v>493</v>
      </c>
      <c r="D511" s="123" t="s">
        <v>3299</v>
      </c>
      <c r="E511" s="123" t="s">
        <v>202</v>
      </c>
      <c r="F511" s="123">
        <v>1</v>
      </c>
      <c r="G511" s="5" t="s">
        <v>3124</v>
      </c>
    </row>
    <row r="512" spans="2:7" ht="14.25" customHeight="1">
      <c r="B512" s="123" t="s">
        <v>61</v>
      </c>
      <c r="C512" s="123">
        <v>494</v>
      </c>
      <c r="D512" s="123" t="s">
        <v>3299</v>
      </c>
      <c r="E512" s="123" t="s">
        <v>206</v>
      </c>
      <c r="F512" s="123">
        <v>1</v>
      </c>
      <c r="G512" s="5" t="s">
        <v>3124</v>
      </c>
    </row>
    <row r="513" spans="2:7" ht="14.25" customHeight="1">
      <c r="B513" s="123" t="s">
        <v>61</v>
      </c>
      <c r="C513" s="123">
        <v>495</v>
      </c>
      <c r="D513" s="123" t="s">
        <v>3300</v>
      </c>
      <c r="E513" s="123" t="s">
        <v>222</v>
      </c>
      <c r="F513" s="123">
        <v>1</v>
      </c>
      <c r="G513" s="5" t="s">
        <v>3124</v>
      </c>
    </row>
    <row r="514" spans="2:7" ht="14.25" customHeight="1">
      <c r="B514" s="123" t="s">
        <v>61</v>
      </c>
      <c r="C514" s="123">
        <v>496</v>
      </c>
      <c r="D514" s="123" t="s">
        <v>3300</v>
      </c>
      <c r="E514" s="123" t="s">
        <v>226</v>
      </c>
      <c r="F514" s="123">
        <v>1</v>
      </c>
      <c r="G514" s="5" t="s">
        <v>3124</v>
      </c>
    </row>
    <row r="515" spans="2:7" ht="14.25" customHeight="1">
      <c r="B515" s="123" t="s">
        <v>61</v>
      </c>
      <c r="C515" s="123">
        <v>497</v>
      </c>
      <c r="D515" s="123" t="s">
        <v>3300</v>
      </c>
      <c r="E515" s="123" t="s">
        <v>230</v>
      </c>
      <c r="F515" s="123">
        <v>1</v>
      </c>
      <c r="G515" s="5" t="s">
        <v>3124</v>
      </c>
    </row>
    <row r="516" spans="2:7" ht="14.25" customHeight="1">
      <c r="B516" s="123" t="s">
        <v>61</v>
      </c>
      <c r="C516" s="123">
        <v>498</v>
      </c>
      <c r="D516" s="123" t="s">
        <v>3301</v>
      </c>
      <c r="E516" s="123" t="s">
        <v>150</v>
      </c>
      <c r="F516" s="123">
        <v>1</v>
      </c>
      <c r="G516" s="5" t="s">
        <v>3124</v>
      </c>
    </row>
    <row r="517" spans="2:7" ht="14.25" customHeight="1">
      <c r="B517" s="123" t="s">
        <v>61</v>
      </c>
      <c r="C517" s="123">
        <v>499</v>
      </c>
      <c r="D517" s="123" t="s">
        <v>3301</v>
      </c>
      <c r="E517" s="123" t="s">
        <v>99</v>
      </c>
      <c r="F517" s="123">
        <v>1</v>
      </c>
      <c r="G517" s="5" t="s">
        <v>3124</v>
      </c>
    </row>
    <row r="518" spans="2:7" ht="14.25" customHeight="1">
      <c r="B518" s="123" t="s">
        <v>61</v>
      </c>
      <c r="C518" s="123">
        <v>500</v>
      </c>
      <c r="D518" s="123" t="s">
        <v>3301</v>
      </c>
      <c r="E518" s="123" t="s">
        <v>158</v>
      </c>
      <c r="F518" s="123">
        <v>1</v>
      </c>
      <c r="G518" s="5" t="s">
        <v>3124</v>
      </c>
    </row>
    <row r="519" spans="2:7" ht="14.25" customHeight="1">
      <c r="B519" s="123" t="s">
        <v>61</v>
      </c>
      <c r="C519" s="123">
        <v>501</v>
      </c>
      <c r="D519" s="123" t="s">
        <v>3302</v>
      </c>
      <c r="E519" s="123" t="s">
        <v>174</v>
      </c>
      <c r="F519" s="123">
        <v>1</v>
      </c>
      <c r="G519" s="5" t="s">
        <v>3124</v>
      </c>
    </row>
    <row r="520" spans="2:7" ht="14.25" customHeight="1">
      <c r="B520" s="123" t="s">
        <v>61</v>
      </c>
      <c r="C520" s="123">
        <v>502</v>
      </c>
      <c r="D520" s="123" t="s">
        <v>3302</v>
      </c>
      <c r="E520" s="123" t="s">
        <v>178</v>
      </c>
      <c r="F520" s="123">
        <v>1</v>
      </c>
      <c r="G520" s="5" t="s">
        <v>3124</v>
      </c>
    </row>
    <row r="521" spans="2:7" ht="14.25" customHeight="1">
      <c r="B521" s="123" t="s">
        <v>61</v>
      </c>
      <c r="C521" s="123">
        <v>503</v>
      </c>
      <c r="D521" s="123" t="s">
        <v>3302</v>
      </c>
      <c r="E521" s="123" t="s">
        <v>182</v>
      </c>
      <c r="F521" s="123">
        <v>1</v>
      </c>
      <c r="G521" s="5" t="s">
        <v>3124</v>
      </c>
    </row>
    <row r="522" spans="2:7" ht="14.25" customHeight="1">
      <c r="B522" s="123" t="s">
        <v>61</v>
      </c>
      <c r="C522" s="123">
        <v>504</v>
      </c>
      <c r="D522" s="123" t="s">
        <v>3303</v>
      </c>
      <c r="E522" s="123" t="s">
        <v>198</v>
      </c>
      <c r="F522" s="123">
        <v>1</v>
      </c>
      <c r="G522" s="5" t="s">
        <v>3124</v>
      </c>
    </row>
    <row r="523" spans="2:7" ht="14.25" customHeight="1">
      <c r="B523" s="123" t="s">
        <v>61</v>
      </c>
      <c r="C523" s="123">
        <v>505</v>
      </c>
      <c r="D523" s="123" t="s">
        <v>3303</v>
      </c>
      <c r="E523" s="123" t="s">
        <v>202</v>
      </c>
      <c r="F523" s="123">
        <v>1</v>
      </c>
      <c r="G523" s="5" t="s">
        <v>3124</v>
      </c>
    </row>
    <row r="524" spans="2:7" ht="14.25" customHeight="1">
      <c r="B524" s="123" t="s">
        <v>61</v>
      </c>
      <c r="C524" s="123">
        <v>506</v>
      </c>
      <c r="D524" s="123" t="s">
        <v>3303</v>
      </c>
      <c r="E524" s="123" t="s">
        <v>206</v>
      </c>
      <c r="F524" s="123">
        <v>1</v>
      </c>
      <c r="G524" s="5" t="s">
        <v>3124</v>
      </c>
    </row>
    <row r="525" spans="2:7" ht="14.25" customHeight="1">
      <c r="B525" s="123" t="s">
        <v>61</v>
      </c>
      <c r="C525" s="123">
        <v>507</v>
      </c>
      <c r="D525" s="123" t="s">
        <v>3304</v>
      </c>
      <c r="E525" s="123" t="s">
        <v>222</v>
      </c>
      <c r="F525" s="123">
        <v>1</v>
      </c>
      <c r="G525" s="5" t="s">
        <v>3124</v>
      </c>
    </row>
    <row r="526" spans="2:7" ht="14.25" customHeight="1">
      <c r="B526" s="123" t="s">
        <v>61</v>
      </c>
      <c r="C526" s="123">
        <v>508</v>
      </c>
      <c r="D526" s="123" t="s">
        <v>3304</v>
      </c>
      <c r="E526" s="123" t="s">
        <v>226</v>
      </c>
      <c r="F526" s="123">
        <v>1</v>
      </c>
      <c r="G526" s="5" t="s">
        <v>3124</v>
      </c>
    </row>
    <row r="527" spans="2:7" ht="14.25" customHeight="1">
      <c r="B527" s="123" t="s">
        <v>61</v>
      </c>
      <c r="C527" s="123">
        <v>509</v>
      </c>
      <c r="D527" s="123" t="s">
        <v>3304</v>
      </c>
      <c r="E527" s="123" t="s">
        <v>230</v>
      </c>
      <c r="F527" s="123">
        <v>1</v>
      </c>
      <c r="G527" s="5" t="s">
        <v>3124</v>
      </c>
    </row>
    <row r="528" spans="2:7" ht="14.25" customHeight="1">
      <c r="B528" s="123" t="s">
        <v>61</v>
      </c>
      <c r="C528" s="123">
        <v>510</v>
      </c>
      <c r="D528" s="123" t="s">
        <v>3305</v>
      </c>
      <c r="E528" s="123" t="s">
        <v>150</v>
      </c>
      <c r="F528" s="123">
        <v>1</v>
      </c>
      <c r="G528" s="5" t="s">
        <v>3124</v>
      </c>
    </row>
    <row r="529" spans="2:7" ht="14.25" customHeight="1">
      <c r="B529" s="123" t="s">
        <v>61</v>
      </c>
      <c r="C529" s="123">
        <v>511</v>
      </c>
      <c r="D529" s="123" t="s">
        <v>3305</v>
      </c>
      <c r="E529" s="123" t="s">
        <v>99</v>
      </c>
      <c r="F529" s="123">
        <v>1</v>
      </c>
      <c r="G529" s="5" t="s">
        <v>3124</v>
      </c>
    </row>
    <row r="530" spans="2:7" ht="14.25" customHeight="1">
      <c r="B530" s="123" t="s">
        <v>61</v>
      </c>
      <c r="C530" s="123">
        <v>512</v>
      </c>
      <c r="D530" s="123" t="s">
        <v>3305</v>
      </c>
      <c r="E530" s="123" t="s">
        <v>158</v>
      </c>
      <c r="F530" s="123">
        <v>1</v>
      </c>
      <c r="G530" s="5" t="s">
        <v>3124</v>
      </c>
    </row>
    <row r="531" spans="2:7" ht="14.25" customHeight="1">
      <c r="B531" s="123" t="s">
        <v>61</v>
      </c>
      <c r="C531" s="123">
        <v>513</v>
      </c>
      <c r="D531" s="123" t="s">
        <v>3306</v>
      </c>
      <c r="E531" s="123" t="s">
        <v>174</v>
      </c>
      <c r="F531" s="123">
        <v>1</v>
      </c>
      <c r="G531" s="5" t="s">
        <v>3124</v>
      </c>
    </row>
    <row r="532" spans="2:7" ht="14.25" customHeight="1">
      <c r="B532" s="123" t="s">
        <v>61</v>
      </c>
      <c r="C532" s="123">
        <v>514</v>
      </c>
      <c r="D532" s="123" t="s">
        <v>3306</v>
      </c>
      <c r="E532" s="123" t="s">
        <v>178</v>
      </c>
      <c r="F532" s="123">
        <v>1</v>
      </c>
      <c r="G532" s="5" t="s">
        <v>3124</v>
      </c>
    </row>
    <row r="533" spans="2:7" ht="14.25" customHeight="1">
      <c r="B533" s="123" t="s">
        <v>61</v>
      </c>
      <c r="C533" s="123">
        <v>515</v>
      </c>
      <c r="D533" s="123" t="s">
        <v>3306</v>
      </c>
      <c r="E533" s="123" t="s">
        <v>182</v>
      </c>
      <c r="F533" s="123">
        <v>1</v>
      </c>
      <c r="G533" s="5" t="s">
        <v>3124</v>
      </c>
    </row>
    <row r="534" spans="2:7" ht="14.25" customHeight="1">
      <c r="B534" s="123" t="s">
        <v>61</v>
      </c>
      <c r="C534" s="123">
        <v>516</v>
      </c>
      <c r="D534" s="123" t="s">
        <v>3307</v>
      </c>
      <c r="E534" s="123" t="s">
        <v>150</v>
      </c>
      <c r="F534" s="123">
        <v>1</v>
      </c>
      <c r="G534" s="5" t="s">
        <v>3124</v>
      </c>
    </row>
    <row r="535" spans="2:7" ht="14.25" customHeight="1">
      <c r="B535" s="123" t="s">
        <v>61</v>
      </c>
      <c r="C535" s="123">
        <v>517</v>
      </c>
      <c r="D535" s="123" t="s">
        <v>3307</v>
      </c>
      <c r="E535" s="123" t="s">
        <v>99</v>
      </c>
      <c r="F535" s="123">
        <v>1</v>
      </c>
      <c r="G535" s="5" t="s">
        <v>3124</v>
      </c>
    </row>
    <row r="536" spans="2:7" ht="14.25" customHeight="1">
      <c r="B536" s="123" t="s">
        <v>61</v>
      </c>
      <c r="C536" s="123">
        <v>518</v>
      </c>
      <c r="D536" s="123" t="s">
        <v>3307</v>
      </c>
      <c r="E536" s="123" t="s">
        <v>158</v>
      </c>
      <c r="F536" s="123">
        <v>1</v>
      </c>
      <c r="G536" s="5" t="s">
        <v>3124</v>
      </c>
    </row>
    <row r="537" spans="2:7" ht="14.25" customHeight="1">
      <c r="B537" s="123" t="s">
        <v>61</v>
      </c>
      <c r="C537" s="123">
        <v>519</v>
      </c>
      <c r="D537" s="123" t="s">
        <v>3308</v>
      </c>
      <c r="E537" s="123" t="s">
        <v>174</v>
      </c>
      <c r="F537" s="123">
        <v>1</v>
      </c>
      <c r="G537" s="5" t="s">
        <v>3124</v>
      </c>
    </row>
    <row r="538" spans="2:7" ht="14.25" customHeight="1">
      <c r="B538" s="123" t="s">
        <v>61</v>
      </c>
      <c r="C538" s="123">
        <v>520</v>
      </c>
      <c r="D538" s="123" t="s">
        <v>3308</v>
      </c>
      <c r="E538" s="123" t="s">
        <v>178</v>
      </c>
      <c r="F538" s="123">
        <v>1</v>
      </c>
      <c r="G538" s="5" t="s">
        <v>3124</v>
      </c>
    </row>
    <row r="539" spans="2:7" ht="14.25" customHeight="1">
      <c r="B539" s="123" t="s">
        <v>61</v>
      </c>
      <c r="C539" s="123">
        <v>521</v>
      </c>
      <c r="D539" s="123" t="s">
        <v>3308</v>
      </c>
      <c r="E539" s="123" t="s">
        <v>182</v>
      </c>
      <c r="F539" s="123">
        <v>1</v>
      </c>
      <c r="G539" s="5" t="s">
        <v>3124</v>
      </c>
    </row>
    <row r="540" spans="2:7" ht="14.25" customHeight="1">
      <c r="B540" s="123" t="s">
        <v>61</v>
      </c>
      <c r="C540" s="123">
        <v>522</v>
      </c>
      <c r="D540" s="123" t="s">
        <v>3309</v>
      </c>
      <c r="E540" s="123" t="s">
        <v>198</v>
      </c>
      <c r="F540" s="123">
        <v>1</v>
      </c>
      <c r="G540" s="5" t="s">
        <v>3124</v>
      </c>
    </row>
    <row r="541" spans="2:7" ht="14.25" customHeight="1">
      <c r="B541" s="123" t="s">
        <v>61</v>
      </c>
      <c r="C541" s="123">
        <v>523</v>
      </c>
      <c r="D541" s="123" t="s">
        <v>3309</v>
      </c>
      <c r="E541" s="123" t="s">
        <v>202</v>
      </c>
      <c r="F541" s="123">
        <v>1</v>
      </c>
      <c r="G541" s="5" t="s">
        <v>3124</v>
      </c>
    </row>
    <row r="542" spans="2:7" ht="14.25" customHeight="1">
      <c r="B542" s="123" t="s">
        <v>61</v>
      </c>
      <c r="C542" s="123">
        <v>524</v>
      </c>
      <c r="D542" s="123" t="s">
        <v>3309</v>
      </c>
      <c r="E542" s="123" t="s">
        <v>206</v>
      </c>
      <c r="F542" s="123">
        <v>1</v>
      </c>
      <c r="G542" s="5" t="s">
        <v>3124</v>
      </c>
    </row>
    <row r="543" spans="2:7" ht="14.25" customHeight="1">
      <c r="B543" s="123" t="s">
        <v>61</v>
      </c>
      <c r="C543" s="123">
        <v>525</v>
      </c>
      <c r="D543" s="123" t="s">
        <v>3310</v>
      </c>
      <c r="E543" s="123" t="s">
        <v>222</v>
      </c>
      <c r="F543" s="123">
        <v>1</v>
      </c>
      <c r="G543" s="5" t="s">
        <v>3124</v>
      </c>
    </row>
    <row r="544" spans="2:7" ht="14.25" customHeight="1">
      <c r="B544" s="123" t="s">
        <v>61</v>
      </c>
      <c r="C544" s="123">
        <v>526</v>
      </c>
      <c r="D544" s="123" t="s">
        <v>3310</v>
      </c>
      <c r="E544" s="123" t="s">
        <v>226</v>
      </c>
      <c r="F544" s="123">
        <v>1</v>
      </c>
      <c r="G544" s="5" t="s">
        <v>3124</v>
      </c>
    </row>
    <row r="545" spans="2:9" ht="14.25" customHeight="1">
      <c r="B545" s="123" t="s">
        <v>61</v>
      </c>
      <c r="C545" s="123">
        <v>527</v>
      </c>
      <c r="D545" s="123" t="s">
        <v>3310</v>
      </c>
      <c r="E545" s="123" t="s">
        <v>230</v>
      </c>
      <c r="F545" s="123">
        <v>1</v>
      </c>
      <c r="G545" s="5" t="s">
        <v>3124</v>
      </c>
    </row>
    <row r="546" spans="2:9" ht="14.25" customHeight="1">
      <c r="B546" s="123" t="s">
        <v>61</v>
      </c>
      <c r="C546" s="123">
        <v>528</v>
      </c>
      <c r="D546" s="123" t="s">
        <v>3311</v>
      </c>
      <c r="E546" s="123" t="s">
        <v>246</v>
      </c>
      <c r="F546" s="123">
        <v>1</v>
      </c>
      <c r="G546" s="5" t="s">
        <v>3124</v>
      </c>
    </row>
    <row r="547" spans="2:9" ht="14.25" customHeight="1">
      <c r="B547" s="123" t="s">
        <v>61</v>
      </c>
      <c r="C547" s="123">
        <v>529</v>
      </c>
      <c r="D547" s="123" t="s">
        <v>3311</v>
      </c>
      <c r="E547" s="123" t="s">
        <v>250</v>
      </c>
      <c r="F547" s="123">
        <v>1</v>
      </c>
      <c r="G547" s="5" t="s">
        <v>3124</v>
      </c>
    </row>
    <row r="548" spans="2:9" ht="14.25" customHeight="1">
      <c r="B548" s="123" t="s">
        <v>61</v>
      </c>
      <c r="C548" s="123">
        <v>530</v>
      </c>
      <c r="D548" s="123" t="s">
        <v>3311</v>
      </c>
      <c r="E548" s="123" t="s">
        <v>254</v>
      </c>
      <c r="F548" s="123">
        <v>1</v>
      </c>
      <c r="G548" s="5" t="s">
        <v>3124</v>
      </c>
    </row>
    <row r="549" spans="2:9" ht="14.25" customHeight="1">
      <c r="B549" s="123" t="s">
        <v>61</v>
      </c>
      <c r="C549" s="123">
        <v>531</v>
      </c>
      <c r="D549" s="123" t="s">
        <v>3312</v>
      </c>
      <c r="E549" s="123" t="s">
        <v>270</v>
      </c>
      <c r="F549" s="123">
        <v>1</v>
      </c>
      <c r="G549" s="5" t="s">
        <v>3124</v>
      </c>
    </row>
    <row r="550" spans="2:9" ht="14.25" customHeight="1">
      <c r="B550" s="123" t="s">
        <v>61</v>
      </c>
      <c r="C550" s="123">
        <v>532</v>
      </c>
      <c r="D550" s="123" t="s">
        <v>3312</v>
      </c>
      <c r="E550" s="123" t="s">
        <v>274</v>
      </c>
      <c r="F550" s="123">
        <v>1</v>
      </c>
      <c r="G550" s="5" t="s">
        <v>3124</v>
      </c>
    </row>
    <row r="551" spans="2:9" ht="14.25" customHeight="1">
      <c r="B551" s="123" t="s">
        <v>61</v>
      </c>
      <c r="C551" s="123">
        <v>533</v>
      </c>
      <c r="D551" s="123" t="s">
        <v>3312</v>
      </c>
      <c r="E551" s="123" t="s">
        <v>278</v>
      </c>
      <c r="F551" s="123">
        <v>1</v>
      </c>
      <c r="G551" s="5" t="s">
        <v>3124</v>
      </c>
    </row>
    <row r="552" spans="2:9" ht="14.25" customHeight="1">
      <c r="B552" s="123" t="s">
        <v>61</v>
      </c>
      <c r="C552" s="123">
        <v>534</v>
      </c>
      <c r="D552" s="123" t="s">
        <v>3313</v>
      </c>
      <c r="E552" s="123" t="s">
        <v>301</v>
      </c>
      <c r="F552" s="123">
        <v>1</v>
      </c>
      <c r="G552" s="5" t="s">
        <v>3124</v>
      </c>
    </row>
    <row r="553" spans="2:9" ht="14.25" customHeight="1">
      <c r="B553" s="123" t="s">
        <v>61</v>
      </c>
      <c r="C553" s="123">
        <v>535</v>
      </c>
      <c r="D553" s="123" t="s">
        <v>3313</v>
      </c>
      <c r="E553" s="123" t="s">
        <v>301</v>
      </c>
      <c r="F553" s="123">
        <v>1</v>
      </c>
      <c r="G553" s="5" t="s">
        <v>3124</v>
      </c>
    </row>
    <row r="554" spans="2:9" ht="14.25" customHeight="1">
      <c r="B554" s="123" t="s">
        <v>61</v>
      </c>
      <c r="C554" s="123">
        <v>536</v>
      </c>
      <c r="D554" s="123" t="s">
        <v>3313</v>
      </c>
      <c r="E554" s="123" t="s">
        <v>301</v>
      </c>
      <c r="F554" s="123">
        <v>1</v>
      </c>
      <c r="G554" s="5" t="s">
        <v>3124</v>
      </c>
    </row>
    <row r="555" spans="2:9" ht="14.25" hidden="1" customHeight="1">
      <c r="B555" s="123" t="s">
        <v>61</v>
      </c>
      <c r="C555" s="123"/>
      <c r="D555" s="124" t="s">
        <v>3314</v>
      </c>
      <c r="E555" s="123"/>
      <c r="F555" s="123"/>
      <c r="G555" s="5" t="s">
        <v>694</v>
      </c>
      <c r="I555" s="14"/>
    </row>
    <row r="556" spans="2:9" ht="14.25" hidden="1" customHeight="1">
      <c r="B556" s="123" t="s">
        <v>61</v>
      </c>
      <c r="C556" s="123"/>
      <c r="D556" s="124" t="s">
        <v>3315</v>
      </c>
      <c r="E556" s="123"/>
      <c r="F556" s="123"/>
      <c r="G556" s="5" t="s">
        <v>694</v>
      </c>
      <c r="I556" s="14"/>
    </row>
    <row r="557" spans="2:9" ht="14.25" hidden="1" customHeight="1">
      <c r="B557" s="123" t="s">
        <v>61</v>
      </c>
      <c r="C557" s="123"/>
      <c r="D557" s="124" t="s">
        <v>3316</v>
      </c>
      <c r="E557" s="123"/>
      <c r="F557" s="123"/>
      <c r="G557" s="5" t="s">
        <v>694</v>
      </c>
      <c r="I557" s="14"/>
    </row>
    <row r="558" spans="2:9" ht="14.25" hidden="1" customHeight="1">
      <c r="B558" s="123" t="s">
        <v>61</v>
      </c>
      <c r="C558" s="123"/>
      <c r="D558" s="124" t="s">
        <v>3317</v>
      </c>
      <c r="E558" s="123"/>
      <c r="F558" s="123"/>
      <c r="G558" s="5" t="s">
        <v>694</v>
      </c>
      <c r="I558" s="14"/>
    </row>
    <row r="559" spans="2:9" ht="14.25" hidden="1" customHeight="1">
      <c r="B559" s="123" t="s">
        <v>61</v>
      </c>
      <c r="C559" s="123"/>
      <c r="D559" s="124" t="s">
        <v>3318</v>
      </c>
      <c r="E559" s="123"/>
      <c r="F559" s="123"/>
      <c r="G559" s="5" t="s">
        <v>694</v>
      </c>
      <c r="I559" s="14"/>
    </row>
    <row r="560" spans="2:9" ht="14.25" hidden="1" customHeight="1">
      <c r="B560" s="123" t="s">
        <v>61</v>
      </c>
      <c r="C560" s="123"/>
      <c r="D560" s="124" t="s">
        <v>3319</v>
      </c>
      <c r="E560" s="123"/>
      <c r="F560" s="123"/>
      <c r="G560" s="5" t="s">
        <v>694</v>
      </c>
      <c r="I560" s="14"/>
    </row>
    <row r="561" spans="2:9" ht="14.25" hidden="1" customHeight="1">
      <c r="B561" s="123" t="s">
        <v>61</v>
      </c>
      <c r="C561" s="123"/>
      <c r="D561" s="124" t="s">
        <v>3320</v>
      </c>
      <c r="E561" s="123"/>
      <c r="F561" s="123"/>
      <c r="G561" s="5" t="s">
        <v>694</v>
      </c>
      <c r="I561" s="14"/>
    </row>
    <row r="562" spans="2:9" ht="14.25" hidden="1" customHeight="1">
      <c r="B562" s="123" t="s">
        <v>61</v>
      </c>
      <c r="C562" s="123"/>
      <c r="D562" s="124" t="s">
        <v>3321</v>
      </c>
      <c r="E562" s="123"/>
      <c r="F562" s="123"/>
      <c r="G562" s="5" t="s">
        <v>694</v>
      </c>
      <c r="I562" s="14"/>
    </row>
    <row r="563" spans="2:9" ht="14.25" hidden="1" customHeight="1">
      <c r="B563" s="123" t="s">
        <v>61</v>
      </c>
      <c r="C563" s="123"/>
      <c r="D563" s="123" t="s">
        <v>3322</v>
      </c>
      <c r="E563" s="123"/>
      <c r="F563" s="123"/>
      <c r="G563" s="5" t="s">
        <v>3286</v>
      </c>
      <c r="I563" s="14"/>
    </row>
    <row r="564" spans="2:9" ht="14.25" customHeight="1">
      <c r="B564" s="123" t="s">
        <v>61</v>
      </c>
      <c r="C564" s="123">
        <v>537</v>
      </c>
      <c r="D564" s="123" t="s">
        <v>3323</v>
      </c>
      <c r="E564" s="123" t="s">
        <v>150</v>
      </c>
      <c r="F564" s="123">
        <v>1</v>
      </c>
      <c r="G564" s="5" t="s">
        <v>3124</v>
      </c>
    </row>
    <row r="565" spans="2:9" ht="14.25" customHeight="1">
      <c r="B565" s="123" t="s">
        <v>61</v>
      </c>
      <c r="C565" s="123">
        <v>538</v>
      </c>
      <c r="D565" s="123" t="s">
        <v>3323</v>
      </c>
      <c r="E565" s="123" t="s">
        <v>150</v>
      </c>
      <c r="F565" s="123">
        <v>1</v>
      </c>
      <c r="G565" s="5" t="s">
        <v>3124</v>
      </c>
    </row>
    <row r="566" spans="2:9" ht="14.25" customHeight="1">
      <c r="B566" s="123" t="s">
        <v>61</v>
      </c>
      <c r="C566" s="123">
        <v>539</v>
      </c>
      <c r="D566" s="123" t="s">
        <v>3323</v>
      </c>
      <c r="E566" s="123" t="s">
        <v>150</v>
      </c>
      <c r="F566" s="123">
        <v>1</v>
      </c>
      <c r="G566" s="5" t="s">
        <v>3124</v>
      </c>
    </row>
    <row r="567" spans="2:9" ht="14.25" customHeight="1">
      <c r="B567" s="123" t="s">
        <v>61</v>
      </c>
      <c r="C567" s="123">
        <v>540</v>
      </c>
      <c r="D567" s="123" t="s">
        <v>3324</v>
      </c>
      <c r="E567" s="123" t="s">
        <v>150</v>
      </c>
      <c r="F567" s="123">
        <v>1</v>
      </c>
      <c r="G567" s="5" t="s">
        <v>3124</v>
      </c>
    </row>
    <row r="568" spans="2:9" ht="14.25" customHeight="1">
      <c r="B568" s="123" t="s">
        <v>61</v>
      </c>
      <c r="C568" s="123">
        <v>541</v>
      </c>
      <c r="D568" s="123" t="s">
        <v>3324</v>
      </c>
      <c r="E568" s="123" t="s">
        <v>150</v>
      </c>
      <c r="F568" s="123">
        <v>1</v>
      </c>
      <c r="G568" s="5" t="s">
        <v>3124</v>
      </c>
    </row>
    <row r="569" spans="2:9" ht="14.25" customHeight="1">
      <c r="B569" s="123" t="s">
        <v>61</v>
      </c>
      <c r="C569" s="123">
        <v>542</v>
      </c>
      <c r="D569" s="123" t="s">
        <v>3324</v>
      </c>
      <c r="E569" s="123" t="s">
        <v>150</v>
      </c>
      <c r="F569" s="123">
        <v>1</v>
      </c>
      <c r="G569" s="5" t="s">
        <v>3124</v>
      </c>
    </row>
    <row r="570" spans="2:9" ht="14.25" customHeight="1">
      <c r="B570" s="123" t="s">
        <v>61</v>
      </c>
      <c r="C570" s="123">
        <v>543</v>
      </c>
      <c r="D570" s="123" t="s">
        <v>3325</v>
      </c>
      <c r="E570" s="123" t="s">
        <v>150</v>
      </c>
      <c r="F570" s="123">
        <v>1</v>
      </c>
      <c r="G570" s="5" t="s">
        <v>3124</v>
      </c>
    </row>
    <row r="571" spans="2:9" ht="14.25" customHeight="1">
      <c r="B571" s="123" t="s">
        <v>61</v>
      </c>
      <c r="C571" s="123">
        <v>544</v>
      </c>
      <c r="D571" s="123" t="s">
        <v>3325</v>
      </c>
      <c r="E571" s="123" t="s">
        <v>150</v>
      </c>
      <c r="F571" s="123">
        <v>1</v>
      </c>
      <c r="G571" s="5" t="s">
        <v>3124</v>
      </c>
    </row>
    <row r="572" spans="2:9" ht="14.25" customHeight="1">
      <c r="B572" s="123" t="s">
        <v>61</v>
      </c>
      <c r="C572" s="123">
        <v>545</v>
      </c>
      <c r="D572" s="123" t="s">
        <v>3325</v>
      </c>
      <c r="E572" s="123" t="s">
        <v>150</v>
      </c>
      <c r="F572" s="123">
        <v>1</v>
      </c>
      <c r="G572" s="5" t="s">
        <v>3124</v>
      </c>
    </row>
    <row r="573" spans="2:9" ht="14.25" customHeight="1">
      <c r="B573" s="123" t="s">
        <v>61</v>
      </c>
      <c r="C573" s="123">
        <v>546</v>
      </c>
      <c r="D573" s="123" t="s">
        <v>3326</v>
      </c>
      <c r="E573" s="123" t="s">
        <v>99</v>
      </c>
      <c r="F573" s="123">
        <v>1</v>
      </c>
      <c r="G573" s="5" t="s">
        <v>3124</v>
      </c>
    </row>
    <row r="574" spans="2:9" ht="14.25" customHeight="1">
      <c r="B574" s="123" t="s">
        <v>61</v>
      </c>
      <c r="C574" s="123">
        <v>547</v>
      </c>
      <c r="D574" s="123" t="s">
        <v>3326</v>
      </c>
      <c r="E574" s="123" t="s">
        <v>99</v>
      </c>
      <c r="F574" s="123">
        <v>1</v>
      </c>
      <c r="G574" s="5" t="s">
        <v>3124</v>
      </c>
    </row>
    <row r="575" spans="2:9" ht="14.25" customHeight="1">
      <c r="B575" s="123" t="s">
        <v>61</v>
      </c>
      <c r="C575" s="123">
        <v>548</v>
      </c>
      <c r="D575" s="123" t="s">
        <v>3326</v>
      </c>
      <c r="E575" s="123" t="s">
        <v>99</v>
      </c>
      <c r="F575" s="123">
        <v>1</v>
      </c>
      <c r="G575" s="5" t="s">
        <v>3124</v>
      </c>
    </row>
    <row r="576" spans="2:9" ht="14.25" customHeight="1">
      <c r="B576" s="123" t="s">
        <v>61</v>
      </c>
      <c r="C576" s="123">
        <v>549</v>
      </c>
      <c r="D576" s="123" t="s">
        <v>3327</v>
      </c>
      <c r="E576" s="123" t="s">
        <v>150</v>
      </c>
      <c r="F576" s="123">
        <v>1</v>
      </c>
      <c r="G576" s="5" t="s">
        <v>3124</v>
      </c>
    </row>
    <row r="577" spans="2:7" ht="14.25" customHeight="1">
      <c r="B577" s="123" t="s">
        <v>61</v>
      </c>
      <c r="C577" s="123">
        <v>550</v>
      </c>
      <c r="D577" s="123" t="s">
        <v>3327</v>
      </c>
      <c r="E577" s="123" t="s">
        <v>150</v>
      </c>
      <c r="F577" s="123">
        <v>1</v>
      </c>
      <c r="G577" s="5" t="s">
        <v>3124</v>
      </c>
    </row>
    <row r="578" spans="2:7" ht="14.25" customHeight="1">
      <c r="B578" s="123" t="s">
        <v>61</v>
      </c>
      <c r="C578" s="123">
        <v>551</v>
      </c>
      <c r="D578" s="123" t="s">
        <v>3327</v>
      </c>
      <c r="E578" s="123" t="s">
        <v>150</v>
      </c>
      <c r="F578" s="123">
        <v>1</v>
      </c>
      <c r="G578" s="5" t="s">
        <v>3124</v>
      </c>
    </row>
    <row r="579" spans="2:7" ht="14.25" customHeight="1">
      <c r="B579" s="123" t="s">
        <v>61</v>
      </c>
      <c r="C579" s="123">
        <v>552</v>
      </c>
      <c r="D579" s="123" t="s">
        <v>3328</v>
      </c>
      <c r="E579" s="123" t="s">
        <v>150</v>
      </c>
      <c r="F579" s="123">
        <v>1</v>
      </c>
      <c r="G579" s="5" t="s">
        <v>3124</v>
      </c>
    </row>
    <row r="580" spans="2:7" ht="14.25" customHeight="1">
      <c r="B580" s="123" t="s">
        <v>61</v>
      </c>
      <c r="C580" s="123">
        <v>553</v>
      </c>
      <c r="D580" s="123" t="s">
        <v>3328</v>
      </c>
      <c r="E580" s="123" t="s">
        <v>150</v>
      </c>
      <c r="F580" s="123">
        <v>1</v>
      </c>
      <c r="G580" s="5" t="s">
        <v>3124</v>
      </c>
    </row>
    <row r="581" spans="2:7" ht="14.25" customHeight="1">
      <c r="B581" s="123" t="s">
        <v>61</v>
      </c>
      <c r="C581" s="123">
        <v>554</v>
      </c>
      <c r="D581" s="123" t="s">
        <v>3328</v>
      </c>
      <c r="E581" s="123" t="s">
        <v>150</v>
      </c>
      <c r="F581" s="123">
        <v>1</v>
      </c>
      <c r="G581" s="5" t="s">
        <v>3124</v>
      </c>
    </row>
    <row r="582" spans="2:7" ht="14.25" customHeight="1">
      <c r="B582" s="123" t="s">
        <v>61</v>
      </c>
      <c r="C582" s="123">
        <v>555</v>
      </c>
      <c r="D582" s="123" t="s">
        <v>3329</v>
      </c>
      <c r="E582" s="123" t="s">
        <v>99</v>
      </c>
      <c r="F582" s="123">
        <v>1</v>
      </c>
      <c r="G582" s="5" t="s">
        <v>3124</v>
      </c>
    </row>
    <row r="583" spans="2:7" ht="14.25" customHeight="1">
      <c r="B583" s="123" t="s">
        <v>61</v>
      </c>
      <c r="C583" s="123">
        <v>556</v>
      </c>
      <c r="D583" s="123" t="s">
        <v>3329</v>
      </c>
      <c r="E583" s="123" t="s">
        <v>99</v>
      </c>
      <c r="F583" s="123">
        <v>1</v>
      </c>
      <c r="G583" s="5" t="s">
        <v>3124</v>
      </c>
    </row>
    <row r="584" spans="2:7" ht="14.25" customHeight="1">
      <c r="B584" s="123" t="s">
        <v>61</v>
      </c>
      <c r="C584" s="123">
        <v>557</v>
      </c>
      <c r="D584" s="123" t="s">
        <v>3329</v>
      </c>
      <c r="E584" s="123" t="s">
        <v>99</v>
      </c>
      <c r="F584" s="123">
        <v>1</v>
      </c>
      <c r="G584" s="5" t="s">
        <v>3124</v>
      </c>
    </row>
    <row r="585" spans="2:7" ht="14.25" customHeight="1">
      <c r="B585" s="123" t="s">
        <v>61</v>
      </c>
      <c r="C585" s="123">
        <v>558</v>
      </c>
      <c r="D585" s="123" t="s">
        <v>3330</v>
      </c>
      <c r="E585" s="123" t="s">
        <v>150</v>
      </c>
      <c r="F585" s="123">
        <v>1</v>
      </c>
      <c r="G585" s="5" t="s">
        <v>3124</v>
      </c>
    </row>
    <row r="586" spans="2:7" ht="14.25" customHeight="1">
      <c r="B586" s="123" t="s">
        <v>61</v>
      </c>
      <c r="C586" s="123">
        <v>559</v>
      </c>
      <c r="D586" s="123" t="s">
        <v>3330</v>
      </c>
      <c r="E586" s="123" t="s">
        <v>150</v>
      </c>
      <c r="F586" s="123">
        <v>1</v>
      </c>
      <c r="G586" s="5" t="s">
        <v>3124</v>
      </c>
    </row>
    <row r="587" spans="2:7" ht="14.25" customHeight="1">
      <c r="B587" s="123" t="s">
        <v>61</v>
      </c>
      <c r="C587" s="123">
        <v>560</v>
      </c>
      <c r="D587" s="123" t="s">
        <v>3330</v>
      </c>
      <c r="E587" s="123" t="s">
        <v>150</v>
      </c>
      <c r="F587" s="123">
        <v>1</v>
      </c>
      <c r="G587" s="5" t="s">
        <v>3124</v>
      </c>
    </row>
    <row r="588" spans="2:7" ht="14.25" customHeight="1">
      <c r="B588" s="123" t="s">
        <v>61</v>
      </c>
      <c r="C588" s="123">
        <v>561</v>
      </c>
      <c r="D588" s="123" t="s">
        <v>3331</v>
      </c>
      <c r="E588" s="123" t="s">
        <v>150</v>
      </c>
      <c r="F588" s="123">
        <v>1</v>
      </c>
      <c r="G588" s="5" t="s">
        <v>3124</v>
      </c>
    </row>
    <row r="589" spans="2:7" ht="14.25" customHeight="1">
      <c r="B589" s="123" t="s">
        <v>61</v>
      </c>
      <c r="C589" s="123">
        <v>562</v>
      </c>
      <c r="D589" s="123" t="s">
        <v>3331</v>
      </c>
      <c r="E589" s="123" t="s">
        <v>150</v>
      </c>
      <c r="F589" s="123">
        <v>1</v>
      </c>
      <c r="G589" s="5" t="s">
        <v>3124</v>
      </c>
    </row>
    <row r="590" spans="2:7" ht="14.25" customHeight="1">
      <c r="B590" s="123" t="s">
        <v>61</v>
      </c>
      <c r="C590" s="123">
        <v>563</v>
      </c>
      <c r="D590" s="123" t="s">
        <v>3331</v>
      </c>
      <c r="E590" s="123" t="s">
        <v>150</v>
      </c>
      <c r="F590" s="123">
        <v>1</v>
      </c>
      <c r="G590" s="5" t="s">
        <v>3124</v>
      </c>
    </row>
    <row r="591" spans="2:7" ht="14.25" customHeight="1">
      <c r="B591" s="123" t="s">
        <v>61</v>
      </c>
      <c r="C591" s="123">
        <v>564</v>
      </c>
      <c r="D591" s="123" t="s">
        <v>3332</v>
      </c>
      <c r="E591" s="123" t="s">
        <v>150</v>
      </c>
      <c r="F591" s="123">
        <v>1</v>
      </c>
      <c r="G591" s="5" t="s">
        <v>3124</v>
      </c>
    </row>
    <row r="592" spans="2:7" ht="14.25" customHeight="1">
      <c r="B592" s="123" t="s">
        <v>61</v>
      </c>
      <c r="C592" s="123">
        <v>565</v>
      </c>
      <c r="D592" s="123" t="s">
        <v>3332</v>
      </c>
      <c r="E592" s="123" t="s">
        <v>150</v>
      </c>
      <c r="F592" s="123">
        <v>1</v>
      </c>
      <c r="G592" s="5" t="s">
        <v>3124</v>
      </c>
    </row>
    <row r="593" spans="2:7" ht="14.25" customHeight="1">
      <c r="B593" s="123" t="s">
        <v>61</v>
      </c>
      <c r="C593" s="123">
        <v>566</v>
      </c>
      <c r="D593" s="123" t="s">
        <v>3332</v>
      </c>
      <c r="E593" s="123" t="s">
        <v>150</v>
      </c>
      <c r="F593" s="123">
        <v>1</v>
      </c>
      <c r="G593" s="5" t="s">
        <v>3124</v>
      </c>
    </row>
    <row r="594" spans="2:7" ht="14.25" customHeight="1">
      <c r="B594" s="123" t="s">
        <v>61</v>
      </c>
      <c r="C594" s="123">
        <v>567</v>
      </c>
      <c r="D594" s="123" t="s">
        <v>3333</v>
      </c>
      <c r="E594" s="123" t="s">
        <v>162</v>
      </c>
      <c r="F594" s="123">
        <v>1</v>
      </c>
      <c r="G594" s="5" t="s">
        <v>3124</v>
      </c>
    </row>
    <row r="595" spans="2:7" ht="14.25" customHeight="1">
      <c r="B595" s="123" t="s">
        <v>61</v>
      </c>
      <c r="C595" s="123">
        <v>568</v>
      </c>
      <c r="D595" s="123" t="s">
        <v>3333</v>
      </c>
      <c r="E595" s="123" t="s">
        <v>166</v>
      </c>
      <c r="F595" s="123">
        <v>1</v>
      </c>
      <c r="G595" s="5" t="s">
        <v>3124</v>
      </c>
    </row>
    <row r="596" spans="2:7" ht="14.25" customHeight="1">
      <c r="B596" s="123" t="s">
        <v>61</v>
      </c>
      <c r="C596" s="123">
        <v>569</v>
      </c>
      <c r="D596" s="123" t="s">
        <v>3333</v>
      </c>
      <c r="E596" s="123" t="s">
        <v>170</v>
      </c>
      <c r="F596" s="123">
        <v>1</v>
      </c>
      <c r="G596" s="5" t="s">
        <v>3124</v>
      </c>
    </row>
    <row r="597" spans="2:7" ht="14.25" customHeight="1">
      <c r="B597" s="123" t="s">
        <v>61</v>
      </c>
      <c r="C597" s="123">
        <v>570</v>
      </c>
      <c r="D597" s="123" t="s">
        <v>3334</v>
      </c>
      <c r="E597" s="123" t="s">
        <v>186</v>
      </c>
      <c r="F597" s="123">
        <v>1</v>
      </c>
      <c r="G597" s="5" t="s">
        <v>3124</v>
      </c>
    </row>
    <row r="598" spans="2:7" ht="14.25" customHeight="1">
      <c r="B598" s="123" t="s">
        <v>61</v>
      </c>
      <c r="C598" s="123">
        <v>571</v>
      </c>
      <c r="D598" s="123" t="s">
        <v>3334</v>
      </c>
      <c r="E598" s="123" t="s">
        <v>190</v>
      </c>
      <c r="F598" s="123">
        <v>1</v>
      </c>
      <c r="G598" s="5" t="s">
        <v>3124</v>
      </c>
    </row>
    <row r="599" spans="2:7" ht="14.25" customHeight="1">
      <c r="B599" s="123" t="s">
        <v>61</v>
      </c>
      <c r="C599" s="123">
        <v>572</v>
      </c>
      <c r="D599" s="123" t="s">
        <v>3334</v>
      </c>
      <c r="E599" s="123" t="s">
        <v>194</v>
      </c>
      <c r="F599" s="123">
        <v>1</v>
      </c>
      <c r="G599" s="5" t="s">
        <v>3124</v>
      </c>
    </row>
    <row r="600" spans="2:7" ht="14.25" customHeight="1">
      <c r="B600" s="123" t="s">
        <v>61</v>
      </c>
      <c r="C600" s="123">
        <v>573</v>
      </c>
      <c r="D600" s="123" t="s">
        <v>3335</v>
      </c>
      <c r="E600" s="123" t="s">
        <v>210</v>
      </c>
      <c r="F600" s="123">
        <v>1</v>
      </c>
      <c r="G600" s="5" t="s">
        <v>3124</v>
      </c>
    </row>
    <row r="601" spans="2:7" ht="14.25" customHeight="1">
      <c r="B601" s="123" t="s">
        <v>61</v>
      </c>
      <c r="C601" s="123">
        <v>574</v>
      </c>
      <c r="D601" s="123" t="s">
        <v>3335</v>
      </c>
      <c r="E601" s="123" t="s">
        <v>214</v>
      </c>
      <c r="F601" s="123">
        <v>1</v>
      </c>
      <c r="G601" s="5" t="s">
        <v>3124</v>
      </c>
    </row>
    <row r="602" spans="2:7" ht="14.25" customHeight="1">
      <c r="B602" s="123" t="s">
        <v>61</v>
      </c>
      <c r="C602" s="123">
        <v>575</v>
      </c>
      <c r="D602" s="123" t="s">
        <v>3335</v>
      </c>
      <c r="E602" s="123" t="s">
        <v>218</v>
      </c>
      <c r="F602" s="123">
        <v>1</v>
      </c>
      <c r="G602" s="5" t="s">
        <v>3124</v>
      </c>
    </row>
    <row r="603" spans="2:7" ht="14.25" customHeight="1">
      <c r="B603" s="123" t="s">
        <v>61</v>
      </c>
      <c r="C603" s="123">
        <v>576</v>
      </c>
      <c r="D603" s="123" t="s">
        <v>3336</v>
      </c>
      <c r="E603" s="123" t="s">
        <v>234</v>
      </c>
      <c r="F603" s="123">
        <v>1</v>
      </c>
      <c r="G603" s="5" t="s">
        <v>3124</v>
      </c>
    </row>
    <row r="604" spans="2:7" ht="14.25" customHeight="1">
      <c r="B604" s="123" t="s">
        <v>61</v>
      </c>
      <c r="C604" s="123">
        <v>577</v>
      </c>
      <c r="D604" s="123" t="s">
        <v>3336</v>
      </c>
      <c r="E604" s="123" t="s">
        <v>238</v>
      </c>
      <c r="F604" s="123">
        <v>1</v>
      </c>
      <c r="G604" s="5" t="s">
        <v>3124</v>
      </c>
    </row>
    <row r="605" spans="2:7" ht="14.25" customHeight="1">
      <c r="B605" s="123" t="s">
        <v>61</v>
      </c>
      <c r="C605" s="123">
        <v>578</v>
      </c>
      <c r="D605" s="123" t="s">
        <v>3336</v>
      </c>
      <c r="E605" s="123" t="s">
        <v>242</v>
      </c>
      <c r="F605" s="123">
        <v>1</v>
      </c>
      <c r="G605" s="5" t="s">
        <v>3124</v>
      </c>
    </row>
    <row r="606" spans="2:7" ht="14.25" customHeight="1">
      <c r="B606" s="123" t="s">
        <v>61</v>
      </c>
      <c r="C606" s="123">
        <v>579</v>
      </c>
      <c r="D606" s="123" t="s">
        <v>3337</v>
      </c>
      <c r="E606" s="123" t="s">
        <v>162</v>
      </c>
      <c r="F606" s="123">
        <v>1</v>
      </c>
      <c r="G606" s="5" t="s">
        <v>3124</v>
      </c>
    </row>
    <row r="607" spans="2:7" ht="14.25" customHeight="1">
      <c r="B607" s="123" t="s">
        <v>61</v>
      </c>
      <c r="C607" s="123">
        <v>580</v>
      </c>
      <c r="D607" s="123" t="s">
        <v>3337</v>
      </c>
      <c r="E607" s="123" t="s">
        <v>166</v>
      </c>
      <c r="F607" s="123">
        <v>1</v>
      </c>
      <c r="G607" s="5" t="s">
        <v>3124</v>
      </c>
    </row>
    <row r="608" spans="2:7" ht="14.25" customHeight="1">
      <c r="B608" s="123" t="s">
        <v>61</v>
      </c>
      <c r="C608" s="123">
        <v>581</v>
      </c>
      <c r="D608" s="123" t="s">
        <v>3337</v>
      </c>
      <c r="E608" s="123" t="s">
        <v>170</v>
      </c>
      <c r="F608" s="123">
        <v>1</v>
      </c>
      <c r="G608" s="5" t="s">
        <v>3124</v>
      </c>
    </row>
    <row r="609" spans="2:7" ht="14.25" customHeight="1">
      <c r="B609" s="123" t="s">
        <v>61</v>
      </c>
      <c r="C609" s="123">
        <v>582</v>
      </c>
      <c r="D609" s="123" t="s">
        <v>3338</v>
      </c>
      <c r="E609" s="123" t="s">
        <v>186</v>
      </c>
      <c r="F609" s="123">
        <v>1</v>
      </c>
      <c r="G609" s="5" t="s">
        <v>3124</v>
      </c>
    </row>
    <row r="610" spans="2:7" ht="14.25" customHeight="1">
      <c r="B610" s="123" t="s">
        <v>61</v>
      </c>
      <c r="C610" s="123">
        <v>583</v>
      </c>
      <c r="D610" s="123" t="s">
        <v>3338</v>
      </c>
      <c r="E610" s="123" t="s">
        <v>190</v>
      </c>
      <c r="F610" s="123">
        <v>1</v>
      </c>
      <c r="G610" s="5" t="s">
        <v>3124</v>
      </c>
    </row>
    <row r="611" spans="2:7" ht="14.25" customHeight="1">
      <c r="B611" s="123" t="s">
        <v>61</v>
      </c>
      <c r="C611" s="123">
        <v>584</v>
      </c>
      <c r="D611" s="123" t="s">
        <v>3338</v>
      </c>
      <c r="E611" s="123" t="s">
        <v>194</v>
      </c>
      <c r="F611" s="123">
        <v>1</v>
      </c>
      <c r="G611" s="5" t="s">
        <v>3124</v>
      </c>
    </row>
    <row r="612" spans="2:7" ht="14.25" customHeight="1">
      <c r="B612" s="123" t="s">
        <v>61</v>
      </c>
      <c r="C612" s="123">
        <v>585</v>
      </c>
      <c r="D612" s="123" t="s">
        <v>3339</v>
      </c>
      <c r="E612" s="123" t="s">
        <v>210</v>
      </c>
      <c r="F612" s="123">
        <v>1</v>
      </c>
      <c r="G612" s="5" t="s">
        <v>3124</v>
      </c>
    </row>
    <row r="613" spans="2:7" ht="14.25" customHeight="1">
      <c r="B613" s="123" t="s">
        <v>61</v>
      </c>
      <c r="C613" s="123">
        <v>586</v>
      </c>
      <c r="D613" s="123" t="s">
        <v>3339</v>
      </c>
      <c r="E613" s="123" t="s">
        <v>214</v>
      </c>
      <c r="F613" s="123">
        <v>1</v>
      </c>
      <c r="G613" s="5" t="s">
        <v>3124</v>
      </c>
    </row>
    <row r="614" spans="2:7" ht="14.25" customHeight="1">
      <c r="B614" s="123" t="s">
        <v>61</v>
      </c>
      <c r="C614" s="123">
        <v>587</v>
      </c>
      <c r="D614" s="123" t="s">
        <v>3339</v>
      </c>
      <c r="E614" s="123" t="s">
        <v>218</v>
      </c>
      <c r="F614" s="123">
        <v>1</v>
      </c>
      <c r="G614" s="5" t="s">
        <v>3124</v>
      </c>
    </row>
    <row r="615" spans="2:7" ht="14.25" customHeight="1">
      <c r="B615" s="123" t="s">
        <v>61</v>
      </c>
      <c r="C615" s="123">
        <v>588</v>
      </c>
      <c r="D615" s="123" t="s">
        <v>3340</v>
      </c>
      <c r="E615" s="123" t="s">
        <v>234</v>
      </c>
      <c r="F615" s="123">
        <v>1</v>
      </c>
      <c r="G615" s="5" t="s">
        <v>3124</v>
      </c>
    </row>
    <row r="616" spans="2:7" ht="14.25" customHeight="1">
      <c r="B616" s="123" t="s">
        <v>61</v>
      </c>
      <c r="C616" s="123">
        <v>589</v>
      </c>
      <c r="D616" s="123" t="s">
        <v>3340</v>
      </c>
      <c r="E616" s="123" t="s">
        <v>238</v>
      </c>
      <c r="F616" s="123">
        <v>1</v>
      </c>
      <c r="G616" s="5" t="s">
        <v>3124</v>
      </c>
    </row>
    <row r="617" spans="2:7" ht="14.25" customHeight="1">
      <c r="B617" s="123" t="s">
        <v>61</v>
      </c>
      <c r="C617" s="123">
        <v>590</v>
      </c>
      <c r="D617" s="123" t="s">
        <v>3340</v>
      </c>
      <c r="E617" s="123" t="s">
        <v>242</v>
      </c>
      <c r="F617" s="123">
        <v>1</v>
      </c>
      <c r="G617" s="5" t="s">
        <v>3124</v>
      </c>
    </row>
    <row r="618" spans="2:7" ht="14.25" customHeight="1">
      <c r="B618" s="123" t="s">
        <v>61</v>
      </c>
      <c r="C618" s="123">
        <v>591</v>
      </c>
      <c r="D618" s="123" t="s">
        <v>3341</v>
      </c>
      <c r="E618" s="123" t="s">
        <v>162</v>
      </c>
      <c r="F618" s="123">
        <v>1</v>
      </c>
      <c r="G618" s="5" t="s">
        <v>3124</v>
      </c>
    </row>
    <row r="619" spans="2:7" ht="14.25" customHeight="1">
      <c r="B619" s="123" t="s">
        <v>61</v>
      </c>
      <c r="C619" s="123">
        <v>592</v>
      </c>
      <c r="D619" s="123" t="s">
        <v>3341</v>
      </c>
      <c r="E619" s="123" t="s">
        <v>166</v>
      </c>
      <c r="F619" s="123">
        <v>1</v>
      </c>
      <c r="G619" s="5" t="s">
        <v>3124</v>
      </c>
    </row>
    <row r="620" spans="2:7" ht="14.25" customHeight="1">
      <c r="B620" s="123" t="s">
        <v>61</v>
      </c>
      <c r="C620" s="123">
        <v>593</v>
      </c>
      <c r="D620" s="123" t="s">
        <v>3341</v>
      </c>
      <c r="E620" s="123" t="s">
        <v>170</v>
      </c>
      <c r="F620" s="123">
        <v>1</v>
      </c>
      <c r="G620" s="5" t="s">
        <v>3124</v>
      </c>
    </row>
    <row r="621" spans="2:7" ht="14.25" customHeight="1">
      <c r="B621" s="123" t="s">
        <v>61</v>
      </c>
      <c r="C621" s="123">
        <v>594</v>
      </c>
      <c r="D621" s="123" t="s">
        <v>3342</v>
      </c>
      <c r="E621" s="123" t="s">
        <v>186</v>
      </c>
      <c r="F621" s="123">
        <v>1</v>
      </c>
      <c r="G621" s="5" t="s">
        <v>3124</v>
      </c>
    </row>
    <row r="622" spans="2:7" ht="14.25" customHeight="1">
      <c r="B622" s="123" t="s">
        <v>61</v>
      </c>
      <c r="C622" s="123">
        <v>595</v>
      </c>
      <c r="D622" s="123" t="s">
        <v>3342</v>
      </c>
      <c r="E622" s="123" t="s">
        <v>190</v>
      </c>
      <c r="F622" s="123">
        <v>1</v>
      </c>
      <c r="G622" s="5" t="s">
        <v>3124</v>
      </c>
    </row>
    <row r="623" spans="2:7" ht="14.25" customHeight="1">
      <c r="B623" s="123" t="s">
        <v>61</v>
      </c>
      <c r="C623" s="123">
        <v>596</v>
      </c>
      <c r="D623" s="123" t="s">
        <v>3342</v>
      </c>
      <c r="E623" s="123" t="s">
        <v>194</v>
      </c>
      <c r="F623" s="123">
        <v>1</v>
      </c>
      <c r="G623" s="5" t="s">
        <v>3124</v>
      </c>
    </row>
    <row r="624" spans="2:7" ht="14.25" customHeight="1">
      <c r="B624" s="123" t="s">
        <v>61</v>
      </c>
      <c r="C624" s="123">
        <v>597</v>
      </c>
      <c r="D624" s="123" t="s">
        <v>3343</v>
      </c>
      <c r="E624" s="123" t="s">
        <v>162</v>
      </c>
      <c r="F624" s="123">
        <v>1</v>
      </c>
      <c r="G624" s="5" t="s">
        <v>3124</v>
      </c>
    </row>
    <row r="625" spans="2:7" ht="14.25" customHeight="1">
      <c r="B625" s="123" t="s">
        <v>61</v>
      </c>
      <c r="C625" s="123">
        <v>598</v>
      </c>
      <c r="D625" s="123" t="s">
        <v>3343</v>
      </c>
      <c r="E625" s="123" t="s">
        <v>166</v>
      </c>
      <c r="F625" s="123">
        <v>1</v>
      </c>
      <c r="G625" s="5" t="s">
        <v>3124</v>
      </c>
    </row>
    <row r="626" spans="2:7" ht="14.25" customHeight="1">
      <c r="B626" s="123" t="s">
        <v>61</v>
      </c>
      <c r="C626" s="123">
        <v>599</v>
      </c>
      <c r="D626" s="123" t="s">
        <v>3343</v>
      </c>
      <c r="E626" s="123" t="s">
        <v>170</v>
      </c>
      <c r="F626" s="123">
        <v>1</v>
      </c>
      <c r="G626" s="5" t="s">
        <v>3124</v>
      </c>
    </row>
    <row r="627" spans="2:7" ht="14.25" customHeight="1">
      <c r="B627" s="123" t="s">
        <v>61</v>
      </c>
      <c r="C627" s="123">
        <v>600</v>
      </c>
      <c r="D627" s="123" t="s">
        <v>3344</v>
      </c>
      <c r="E627" s="123" t="s">
        <v>186</v>
      </c>
      <c r="F627" s="123">
        <v>1</v>
      </c>
      <c r="G627" s="5" t="s">
        <v>3124</v>
      </c>
    </row>
    <row r="628" spans="2:7" ht="14.25" customHeight="1">
      <c r="B628" s="123" t="s">
        <v>61</v>
      </c>
      <c r="C628" s="123">
        <v>601</v>
      </c>
      <c r="D628" s="123" t="s">
        <v>3344</v>
      </c>
      <c r="E628" s="123" t="s">
        <v>190</v>
      </c>
      <c r="F628" s="123">
        <v>1</v>
      </c>
      <c r="G628" s="5" t="s">
        <v>3124</v>
      </c>
    </row>
    <row r="629" spans="2:7" ht="14.25" customHeight="1">
      <c r="B629" s="123" t="s">
        <v>61</v>
      </c>
      <c r="C629" s="123">
        <v>602</v>
      </c>
      <c r="D629" s="123" t="s">
        <v>3344</v>
      </c>
      <c r="E629" s="123" t="s">
        <v>194</v>
      </c>
      <c r="F629" s="123">
        <v>1</v>
      </c>
      <c r="G629" s="5" t="s">
        <v>3124</v>
      </c>
    </row>
    <row r="630" spans="2:7" ht="14.25" customHeight="1">
      <c r="B630" s="123" t="s">
        <v>61</v>
      </c>
      <c r="C630" s="123">
        <v>603</v>
      </c>
      <c r="D630" s="123" t="s">
        <v>3345</v>
      </c>
      <c r="E630" s="123" t="s">
        <v>210</v>
      </c>
      <c r="F630" s="123">
        <v>1</v>
      </c>
      <c r="G630" s="5" t="s">
        <v>3124</v>
      </c>
    </row>
    <row r="631" spans="2:7" ht="14.25" customHeight="1">
      <c r="B631" s="123" t="s">
        <v>61</v>
      </c>
      <c r="C631" s="123">
        <v>604</v>
      </c>
      <c r="D631" s="123" t="s">
        <v>3345</v>
      </c>
      <c r="E631" s="123" t="s">
        <v>214</v>
      </c>
      <c r="F631" s="123">
        <v>1</v>
      </c>
      <c r="G631" s="5" t="s">
        <v>3124</v>
      </c>
    </row>
    <row r="632" spans="2:7" ht="14.25" customHeight="1">
      <c r="B632" s="123" t="s">
        <v>61</v>
      </c>
      <c r="C632" s="123">
        <v>605</v>
      </c>
      <c r="D632" s="123" t="s">
        <v>3345</v>
      </c>
      <c r="E632" s="123" t="s">
        <v>218</v>
      </c>
      <c r="F632" s="123">
        <v>1</v>
      </c>
      <c r="G632" s="5" t="s">
        <v>3124</v>
      </c>
    </row>
    <row r="633" spans="2:7" ht="14.25" customHeight="1">
      <c r="B633" s="123" t="s">
        <v>61</v>
      </c>
      <c r="C633" s="123">
        <v>606</v>
      </c>
      <c r="D633" s="123" t="s">
        <v>3346</v>
      </c>
      <c r="E633" s="123" t="s">
        <v>234</v>
      </c>
      <c r="F633" s="123">
        <v>1</v>
      </c>
      <c r="G633" s="5" t="s">
        <v>3124</v>
      </c>
    </row>
    <row r="634" spans="2:7" ht="14.25" customHeight="1">
      <c r="B634" s="123" t="s">
        <v>61</v>
      </c>
      <c r="C634" s="123">
        <v>607</v>
      </c>
      <c r="D634" s="123" t="s">
        <v>3346</v>
      </c>
      <c r="E634" s="123" t="s">
        <v>238</v>
      </c>
      <c r="F634" s="123">
        <v>1</v>
      </c>
      <c r="G634" s="5" t="s">
        <v>3124</v>
      </c>
    </row>
    <row r="635" spans="2:7" ht="14.25" customHeight="1">
      <c r="B635" s="123" t="s">
        <v>61</v>
      </c>
      <c r="C635" s="123">
        <v>608</v>
      </c>
      <c r="D635" s="123" t="s">
        <v>3346</v>
      </c>
      <c r="E635" s="123" t="s">
        <v>242</v>
      </c>
      <c r="F635" s="123">
        <v>1</v>
      </c>
      <c r="G635" s="5" t="s">
        <v>3124</v>
      </c>
    </row>
    <row r="636" spans="2:7" ht="14.25" customHeight="1">
      <c r="B636" s="123" t="s">
        <v>61</v>
      </c>
      <c r="C636" s="123">
        <v>609</v>
      </c>
      <c r="D636" s="123" t="s">
        <v>3347</v>
      </c>
      <c r="E636" s="123" t="s">
        <v>258</v>
      </c>
      <c r="F636" s="123">
        <v>1</v>
      </c>
      <c r="G636" s="5" t="s">
        <v>3124</v>
      </c>
    </row>
    <row r="637" spans="2:7" ht="14.25" customHeight="1">
      <c r="B637" s="123" t="s">
        <v>61</v>
      </c>
      <c r="C637" s="123">
        <v>610</v>
      </c>
      <c r="D637" s="123" t="s">
        <v>3347</v>
      </c>
      <c r="E637" s="123" t="s">
        <v>262</v>
      </c>
      <c r="F637" s="123">
        <v>1</v>
      </c>
      <c r="G637" s="5" t="s">
        <v>3124</v>
      </c>
    </row>
    <row r="638" spans="2:7" ht="14.25" customHeight="1">
      <c r="B638" s="123" t="s">
        <v>61</v>
      </c>
      <c r="C638" s="123">
        <v>611</v>
      </c>
      <c r="D638" s="123" t="s">
        <v>3347</v>
      </c>
      <c r="E638" s="123" t="s">
        <v>266</v>
      </c>
      <c r="F638" s="123">
        <v>1</v>
      </c>
      <c r="G638" s="5" t="s">
        <v>3124</v>
      </c>
    </row>
    <row r="639" spans="2:7" ht="14.25" customHeight="1">
      <c r="B639" s="123" t="s">
        <v>61</v>
      </c>
      <c r="C639" s="123">
        <v>612</v>
      </c>
      <c r="D639" s="123" t="s">
        <v>3348</v>
      </c>
      <c r="E639" s="123" t="s">
        <v>291</v>
      </c>
      <c r="F639" s="123">
        <v>1</v>
      </c>
      <c r="G639" s="5" t="s">
        <v>3124</v>
      </c>
    </row>
    <row r="640" spans="2:7" ht="14.25" customHeight="1">
      <c r="B640" s="123" t="s">
        <v>61</v>
      </c>
      <c r="C640" s="123">
        <v>613</v>
      </c>
      <c r="D640" s="123" t="s">
        <v>3348</v>
      </c>
      <c r="E640" s="123" t="s">
        <v>294</v>
      </c>
      <c r="F640" s="123">
        <v>1</v>
      </c>
      <c r="G640" s="5" t="s">
        <v>3124</v>
      </c>
    </row>
    <row r="641" spans="2:7" ht="14.25" customHeight="1">
      <c r="B641" s="123" t="s">
        <v>61</v>
      </c>
      <c r="C641" s="123">
        <v>614</v>
      </c>
      <c r="D641" s="123" t="s">
        <v>3348</v>
      </c>
      <c r="E641" s="123" t="s">
        <v>297</v>
      </c>
      <c r="F641" s="123">
        <v>1</v>
      </c>
      <c r="G641" s="5" t="s">
        <v>3124</v>
      </c>
    </row>
    <row r="642" spans="2:7" ht="14.25" customHeight="1">
      <c r="B642" s="123" t="s">
        <v>61</v>
      </c>
      <c r="C642" s="123">
        <v>615</v>
      </c>
      <c r="D642" s="123" t="s">
        <v>3349</v>
      </c>
      <c r="E642" s="123" t="s">
        <v>301</v>
      </c>
      <c r="F642" s="123">
        <v>1</v>
      </c>
      <c r="G642" s="5" t="s">
        <v>3124</v>
      </c>
    </row>
    <row r="643" spans="2:7" ht="14.25" customHeight="1">
      <c r="B643" s="123" t="s">
        <v>61</v>
      </c>
      <c r="C643" s="123">
        <v>616</v>
      </c>
      <c r="D643" s="123" t="s">
        <v>3349</v>
      </c>
      <c r="E643" s="123" t="s">
        <v>301</v>
      </c>
      <c r="F643" s="123">
        <v>1</v>
      </c>
      <c r="G643" s="5" t="s">
        <v>3124</v>
      </c>
    </row>
    <row r="644" spans="2:7" ht="14.25" customHeight="1">
      <c r="B644" s="123" t="s">
        <v>61</v>
      </c>
      <c r="C644" s="123">
        <v>617</v>
      </c>
      <c r="D644" s="123" t="s">
        <v>3349</v>
      </c>
      <c r="E644" s="123" t="s">
        <v>301</v>
      </c>
      <c r="F644" s="123">
        <v>1</v>
      </c>
      <c r="G644" s="5" t="s">
        <v>3124</v>
      </c>
    </row>
    <row r="645" spans="2:7" ht="14.25" customHeight="1"/>
    <row r="646" spans="2:7" ht="14.25" customHeight="1"/>
    <row r="647" spans="2:7" ht="14.25" customHeight="1"/>
    <row r="648" spans="2:7" ht="14.25" customHeight="1"/>
    <row r="649" spans="2:7" ht="14.25" customHeight="1"/>
    <row r="650" spans="2:7" ht="14.25" customHeight="1"/>
    <row r="651" spans="2:7" ht="14.25" customHeight="1"/>
    <row r="652" spans="2:7" ht="14.25" customHeight="1"/>
    <row r="653" spans="2:7" ht="14.25" customHeight="1"/>
    <row r="654" spans="2:7" ht="14.25" customHeight="1"/>
    <row r="655" spans="2:7" ht="14.25" customHeight="1"/>
    <row r="656" spans="2:7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B2:G644" xr:uid="{00000000-0009-0000-0000-00000F000000}">
    <filterColumn colId="5">
      <filters>
        <filter val="CIS Deck Slab"/>
      </filters>
    </filterColumn>
  </autoFilter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F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/>
  <cols>
    <col min="1" max="4" width="8.6640625" customWidth="1"/>
    <col min="5" max="5" width="9.6640625" customWidth="1"/>
    <col min="6" max="26" width="8.6640625" customWidth="1"/>
  </cols>
  <sheetData>
    <row r="1" spans="1:6" ht="14.25" customHeight="1"/>
    <row r="2" spans="1:6" ht="14.25" customHeight="1">
      <c r="A2" s="1" t="s">
        <v>3</v>
      </c>
      <c r="B2" s="87" t="s">
        <v>1108</v>
      </c>
      <c r="C2" s="87" t="s">
        <v>126</v>
      </c>
      <c r="D2" s="5" t="s">
        <v>1109</v>
      </c>
      <c r="E2" s="5" t="s">
        <v>3350</v>
      </c>
      <c r="F2" s="125" t="s">
        <v>81</v>
      </c>
    </row>
    <row r="3" spans="1:6" ht="14.25" customHeight="1">
      <c r="A3" s="1" t="s">
        <v>105</v>
      </c>
      <c r="B3" s="90" t="s">
        <v>1753</v>
      </c>
      <c r="C3" s="90" t="s">
        <v>708</v>
      </c>
      <c r="D3" s="90" t="s">
        <v>708</v>
      </c>
      <c r="E3" s="90" t="s">
        <v>708</v>
      </c>
      <c r="F3" s="90" t="s">
        <v>708</v>
      </c>
    </row>
    <row r="4" spans="1:6" ht="14.25" customHeight="1">
      <c r="A4" s="1" t="s">
        <v>105</v>
      </c>
      <c r="B4" s="90"/>
      <c r="C4" s="89"/>
      <c r="D4" s="89" t="s">
        <v>1754</v>
      </c>
      <c r="E4" s="89"/>
      <c r="F4" s="89"/>
    </row>
    <row r="5" spans="1:6" ht="14.25" customHeight="1">
      <c r="A5" s="1" t="s">
        <v>105</v>
      </c>
      <c r="B5" s="90"/>
      <c r="C5" s="89"/>
      <c r="D5" s="89" t="s">
        <v>1755</v>
      </c>
      <c r="E5" s="89"/>
      <c r="F5" s="89"/>
    </row>
    <row r="6" spans="1:6" ht="14.25" customHeight="1">
      <c r="A6" s="1" t="s">
        <v>105</v>
      </c>
      <c r="B6" s="90"/>
      <c r="C6" s="89"/>
      <c r="D6" s="89" t="s">
        <v>1756</v>
      </c>
      <c r="E6" s="89"/>
      <c r="F6" s="89"/>
    </row>
    <row r="7" spans="1:6" ht="14.25" customHeight="1">
      <c r="A7" s="1" t="s">
        <v>105</v>
      </c>
      <c r="B7" s="90" t="s">
        <v>1753</v>
      </c>
      <c r="C7" s="90" t="s">
        <v>709</v>
      </c>
      <c r="D7" s="90" t="s">
        <v>709</v>
      </c>
      <c r="E7" s="90" t="s">
        <v>709</v>
      </c>
      <c r="F7" s="90" t="s">
        <v>709</v>
      </c>
    </row>
    <row r="8" spans="1:6" ht="14.25" customHeight="1">
      <c r="A8" s="1" t="s">
        <v>105</v>
      </c>
      <c r="B8" s="90"/>
      <c r="C8" s="89"/>
      <c r="D8" s="89" t="s">
        <v>1757</v>
      </c>
      <c r="E8" s="89"/>
      <c r="F8" s="89"/>
    </row>
    <row r="9" spans="1:6" ht="14.25" customHeight="1">
      <c r="A9" s="1" t="s">
        <v>105</v>
      </c>
      <c r="B9" s="90"/>
      <c r="C9" s="89"/>
      <c r="D9" s="89" t="s">
        <v>1758</v>
      </c>
      <c r="E9" s="89"/>
      <c r="F9" s="89"/>
    </row>
    <row r="10" spans="1:6" ht="14.25" customHeight="1">
      <c r="A10" s="1" t="s">
        <v>105</v>
      </c>
      <c r="B10" s="90"/>
      <c r="C10" s="89"/>
      <c r="D10" s="89" t="s">
        <v>1759</v>
      </c>
      <c r="E10" s="89"/>
      <c r="F10" s="89"/>
    </row>
    <row r="11" spans="1:6" ht="14.25" customHeight="1">
      <c r="A11" s="1" t="s">
        <v>105</v>
      </c>
      <c r="B11" s="90" t="s">
        <v>1753</v>
      </c>
      <c r="C11" s="90" t="s">
        <v>711</v>
      </c>
      <c r="D11" s="90" t="s">
        <v>711</v>
      </c>
      <c r="E11" s="90" t="s">
        <v>711</v>
      </c>
      <c r="F11" s="90" t="s">
        <v>711</v>
      </c>
    </row>
    <row r="12" spans="1:6" ht="14.25" customHeight="1">
      <c r="A12" s="1" t="s">
        <v>105</v>
      </c>
      <c r="B12" s="90"/>
      <c r="C12" s="89"/>
      <c r="D12" s="89" t="s">
        <v>1760</v>
      </c>
      <c r="E12" s="89"/>
      <c r="F12" s="89"/>
    </row>
    <row r="13" spans="1:6" ht="14.25" customHeight="1">
      <c r="A13" s="1" t="s">
        <v>105</v>
      </c>
      <c r="B13" s="90"/>
      <c r="C13" s="89"/>
      <c r="D13" s="89" t="s">
        <v>1761</v>
      </c>
      <c r="E13" s="89"/>
      <c r="F13" s="89"/>
    </row>
    <row r="14" spans="1:6" ht="14.25" customHeight="1">
      <c r="A14" s="1" t="s">
        <v>105</v>
      </c>
      <c r="B14" s="90"/>
      <c r="C14" s="89"/>
      <c r="D14" s="89" t="s">
        <v>1762</v>
      </c>
      <c r="E14" s="89"/>
      <c r="F14" s="89"/>
    </row>
    <row r="15" spans="1:6" ht="14.25" customHeight="1">
      <c r="A15" s="1" t="s">
        <v>105</v>
      </c>
      <c r="B15" s="90"/>
      <c r="C15" s="89"/>
      <c r="D15" s="89" t="s">
        <v>1763</v>
      </c>
      <c r="E15" s="89"/>
      <c r="F15" s="89"/>
    </row>
    <row r="16" spans="1:6" ht="14.25" customHeight="1">
      <c r="A16" s="1" t="s">
        <v>105</v>
      </c>
      <c r="B16" s="90" t="s">
        <v>1764</v>
      </c>
      <c r="C16" s="90" t="s">
        <v>712</v>
      </c>
      <c r="D16" s="90" t="s">
        <v>712</v>
      </c>
      <c r="E16" s="90" t="s">
        <v>712</v>
      </c>
      <c r="F16" s="90" t="s">
        <v>712</v>
      </c>
    </row>
    <row r="17" spans="1:6" ht="14.25" customHeight="1">
      <c r="A17" s="1" t="s">
        <v>105</v>
      </c>
      <c r="B17" s="90"/>
      <c r="C17" s="89"/>
      <c r="D17" s="89" t="s">
        <v>1765</v>
      </c>
      <c r="E17" s="89"/>
      <c r="F17" s="89"/>
    </row>
    <row r="18" spans="1:6" ht="14.25" customHeight="1">
      <c r="A18" s="1" t="s">
        <v>105</v>
      </c>
      <c r="B18" s="90"/>
      <c r="C18" s="89"/>
      <c r="D18" s="89" t="s">
        <v>1766</v>
      </c>
      <c r="E18" s="89"/>
      <c r="F18" s="89"/>
    </row>
    <row r="19" spans="1:6" ht="14.25" customHeight="1">
      <c r="A19" s="1" t="s">
        <v>105</v>
      </c>
      <c r="B19" s="90"/>
      <c r="C19" s="89"/>
      <c r="D19" s="89" t="s">
        <v>1767</v>
      </c>
      <c r="E19" s="89"/>
      <c r="F19" s="89"/>
    </row>
    <row r="20" spans="1:6" ht="14.25" customHeight="1">
      <c r="A20" s="1" t="s">
        <v>105</v>
      </c>
      <c r="B20" s="90"/>
      <c r="C20" s="89"/>
      <c r="D20" s="89" t="s">
        <v>1768</v>
      </c>
      <c r="E20" s="89"/>
      <c r="F20" s="89"/>
    </row>
    <row r="21" spans="1:6" ht="14.25" customHeight="1">
      <c r="A21" s="1" t="s">
        <v>105</v>
      </c>
      <c r="B21" s="90"/>
      <c r="C21" s="89"/>
      <c r="D21" s="89" t="s">
        <v>1769</v>
      </c>
      <c r="E21" s="89"/>
      <c r="F21" s="89"/>
    </row>
    <row r="22" spans="1:6" ht="14.25" customHeight="1">
      <c r="A22" s="1" t="s">
        <v>105</v>
      </c>
      <c r="B22" s="90"/>
      <c r="C22" s="89"/>
      <c r="D22" s="89" t="s">
        <v>1770</v>
      </c>
      <c r="E22" s="89"/>
      <c r="F22" s="89"/>
    </row>
    <row r="23" spans="1:6" ht="14.25" customHeight="1">
      <c r="A23" s="1" t="s">
        <v>105</v>
      </c>
      <c r="B23" s="90"/>
      <c r="C23" s="89"/>
      <c r="D23" s="89" t="s">
        <v>1771</v>
      </c>
      <c r="E23" s="89"/>
      <c r="F23" s="89"/>
    </row>
    <row r="24" spans="1:6" ht="14.25" customHeight="1">
      <c r="A24" s="1" t="s">
        <v>105</v>
      </c>
      <c r="B24" s="90"/>
      <c r="C24" s="89"/>
      <c r="D24" s="89" t="s">
        <v>1772</v>
      </c>
      <c r="E24" s="89"/>
      <c r="F24" s="89"/>
    </row>
    <row r="25" spans="1:6" ht="14.25" customHeight="1">
      <c r="A25" s="1" t="s">
        <v>105</v>
      </c>
      <c r="B25" s="90" t="s">
        <v>1764</v>
      </c>
      <c r="C25" s="90" t="s">
        <v>713</v>
      </c>
      <c r="D25" s="90" t="s">
        <v>713</v>
      </c>
      <c r="E25" s="90" t="s">
        <v>713</v>
      </c>
      <c r="F25" s="90" t="s">
        <v>713</v>
      </c>
    </row>
    <row r="26" spans="1:6" ht="14.25" customHeight="1">
      <c r="A26" s="1" t="s">
        <v>105</v>
      </c>
      <c r="B26" s="90"/>
      <c r="C26" s="89"/>
      <c r="D26" s="89" t="s">
        <v>1773</v>
      </c>
      <c r="E26" s="89"/>
      <c r="F26" s="89"/>
    </row>
    <row r="27" spans="1:6" ht="14.25" customHeight="1">
      <c r="A27" s="1" t="s">
        <v>105</v>
      </c>
      <c r="B27" s="90"/>
      <c r="C27" s="89"/>
      <c r="D27" s="89" t="s">
        <v>1774</v>
      </c>
      <c r="E27" s="89"/>
      <c r="F27" s="89"/>
    </row>
    <row r="28" spans="1:6" ht="14.25" customHeight="1">
      <c r="A28" s="1" t="s">
        <v>105</v>
      </c>
      <c r="B28" s="90"/>
      <c r="C28" s="89"/>
      <c r="D28" s="89" t="s">
        <v>1775</v>
      </c>
      <c r="E28" s="89"/>
      <c r="F28" s="89"/>
    </row>
    <row r="29" spans="1:6" ht="14.25" customHeight="1">
      <c r="A29" s="1" t="s">
        <v>105</v>
      </c>
      <c r="B29" s="90"/>
      <c r="C29" s="89"/>
      <c r="D29" s="89" t="s">
        <v>1776</v>
      </c>
      <c r="E29" s="89"/>
      <c r="F29" s="89"/>
    </row>
    <row r="30" spans="1:6" ht="14.25" customHeight="1">
      <c r="A30" s="1" t="s">
        <v>105</v>
      </c>
      <c r="B30" s="90"/>
      <c r="C30" s="89"/>
      <c r="D30" s="89" t="s">
        <v>1777</v>
      </c>
      <c r="E30" s="89"/>
      <c r="F30" s="89"/>
    </row>
    <row r="31" spans="1:6" ht="14.25" customHeight="1">
      <c r="A31" s="1" t="s">
        <v>105</v>
      </c>
      <c r="B31" s="90"/>
      <c r="C31" s="89"/>
      <c r="D31" s="89" t="s">
        <v>1778</v>
      </c>
      <c r="E31" s="89"/>
      <c r="F31" s="89"/>
    </row>
    <row r="32" spans="1:6" ht="14.25" customHeight="1">
      <c r="A32" s="1" t="s">
        <v>105</v>
      </c>
      <c r="B32" s="90"/>
      <c r="C32" s="89"/>
      <c r="D32" s="89" t="s">
        <v>1779</v>
      </c>
      <c r="E32" s="89"/>
      <c r="F32" s="89"/>
    </row>
    <row r="33" spans="1:6" ht="14.25" customHeight="1">
      <c r="A33" s="1" t="s">
        <v>105</v>
      </c>
      <c r="B33" s="90"/>
      <c r="C33" s="89"/>
      <c r="D33" s="89" t="s">
        <v>1780</v>
      </c>
      <c r="E33" s="89"/>
      <c r="F33" s="89"/>
    </row>
    <row r="34" spans="1:6" ht="14.25" customHeight="1">
      <c r="A34" s="1" t="s">
        <v>105</v>
      </c>
      <c r="B34" s="90" t="s">
        <v>1764</v>
      </c>
      <c r="C34" s="90" t="s">
        <v>714</v>
      </c>
      <c r="D34" s="90" t="s">
        <v>714</v>
      </c>
      <c r="E34" s="90" t="s">
        <v>714</v>
      </c>
      <c r="F34" s="90" t="s">
        <v>714</v>
      </c>
    </row>
    <row r="35" spans="1:6" ht="14.25" customHeight="1">
      <c r="A35" s="1" t="s">
        <v>105</v>
      </c>
      <c r="B35" s="90"/>
      <c r="C35" s="89"/>
      <c r="D35" s="89" t="s">
        <v>1781</v>
      </c>
      <c r="E35" s="89"/>
      <c r="F35" s="89"/>
    </row>
    <row r="36" spans="1:6" ht="14.25" customHeight="1">
      <c r="A36" s="1" t="s">
        <v>105</v>
      </c>
      <c r="B36" s="90"/>
      <c r="C36" s="89"/>
      <c r="D36" s="89" t="s">
        <v>1782</v>
      </c>
      <c r="E36" s="89"/>
      <c r="F36" s="89"/>
    </row>
    <row r="37" spans="1:6" ht="14.25" customHeight="1">
      <c r="A37" s="1" t="s">
        <v>105</v>
      </c>
      <c r="B37" s="90"/>
      <c r="C37" s="89"/>
      <c r="D37" s="89" t="s">
        <v>1783</v>
      </c>
      <c r="E37" s="89"/>
      <c r="F37" s="89"/>
    </row>
    <row r="38" spans="1:6" ht="14.25" customHeight="1">
      <c r="A38" s="1" t="s">
        <v>105</v>
      </c>
      <c r="B38" s="90"/>
      <c r="C38" s="89"/>
      <c r="D38" s="89" t="s">
        <v>1784</v>
      </c>
      <c r="E38" s="89"/>
      <c r="F38" s="89"/>
    </row>
    <row r="39" spans="1:6" ht="14.25" customHeight="1">
      <c r="A39" s="1" t="s">
        <v>105</v>
      </c>
      <c r="B39" s="90"/>
      <c r="C39" s="89"/>
      <c r="D39" s="89" t="s">
        <v>1785</v>
      </c>
      <c r="E39" s="89"/>
      <c r="F39" s="89"/>
    </row>
    <row r="40" spans="1:6" ht="14.25" customHeight="1">
      <c r="A40" s="1" t="s">
        <v>105</v>
      </c>
      <c r="B40" s="90"/>
      <c r="C40" s="89"/>
      <c r="D40" s="89" t="s">
        <v>1786</v>
      </c>
      <c r="E40" s="89"/>
      <c r="F40" s="89"/>
    </row>
    <row r="41" spans="1:6" ht="14.25" customHeight="1">
      <c r="A41" s="1" t="s">
        <v>105</v>
      </c>
      <c r="B41" s="90"/>
      <c r="C41" s="89"/>
      <c r="D41" s="89" t="s">
        <v>1787</v>
      </c>
      <c r="E41" s="89"/>
      <c r="F41" s="89"/>
    </row>
    <row r="42" spans="1:6" ht="14.25" customHeight="1">
      <c r="A42" s="1" t="s">
        <v>105</v>
      </c>
      <c r="B42" s="90"/>
      <c r="C42" s="89"/>
      <c r="D42" s="89" t="s">
        <v>1788</v>
      </c>
      <c r="E42" s="89"/>
      <c r="F42" s="89"/>
    </row>
    <row r="43" spans="1:6" ht="14.25" customHeight="1">
      <c r="A43" s="1" t="s">
        <v>105</v>
      </c>
      <c r="B43" s="90" t="s">
        <v>1789</v>
      </c>
      <c r="C43" s="90" t="s">
        <v>715</v>
      </c>
      <c r="D43" s="90" t="s">
        <v>715</v>
      </c>
      <c r="E43" s="90" t="s">
        <v>715</v>
      </c>
      <c r="F43" s="90" t="s">
        <v>715</v>
      </c>
    </row>
    <row r="44" spans="1:6" ht="14.25" customHeight="1">
      <c r="A44" s="1" t="s">
        <v>105</v>
      </c>
      <c r="B44" s="90"/>
      <c r="C44" s="89"/>
      <c r="D44" s="89" t="s">
        <v>1790</v>
      </c>
      <c r="E44" s="89"/>
      <c r="F44" s="89"/>
    </row>
    <row r="45" spans="1:6" ht="14.25" customHeight="1">
      <c r="A45" s="1" t="s">
        <v>105</v>
      </c>
      <c r="B45" s="90"/>
      <c r="C45" s="89"/>
      <c r="D45" s="89" t="s">
        <v>1791</v>
      </c>
      <c r="E45" s="89"/>
      <c r="F45" s="89"/>
    </row>
    <row r="46" spans="1:6" ht="14.25" customHeight="1">
      <c r="A46" s="1" t="s">
        <v>105</v>
      </c>
      <c r="B46" s="90"/>
      <c r="C46" s="89"/>
      <c r="D46" s="89" t="s">
        <v>1792</v>
      </c>
      <c r="E46" s="89"/>
      <c r="F46" s="89"/>
    </row>
    <row r="47" spans="1:6" ht="14.25" customHeight="1">
      <c r="A47" s="1" t="s">
        <v>105</v>
      </c>
      <c r="B47" s="90"/>
      <c r="C47" s="89"/>
      <c r="D47" s="89" t="s">
        <v>1793</v>
      </c>
      <c r="E47" s="89"/>
      <c r="F47" s="89"/>
    </row>
    <row r="48" spans="1:6" ht="14.25" customHeight="1">
      <c r="A48" s="1" t="s">
        <v>105</v>
      </c>
      <c r="B48" s="90" t="s">
        <v>1789</v>
      </c>
      <c r="C48" s="90" t="s">
        <v>716</v>
      </c>
      <c r="D48" s="90" t="s">
        <v>716</v>
      </c>
      <c r="E48" s="90" t="s">
        <v>716</v>
      </c>
      <c r="F48" s="90" t="s">
        <v>716</v>
      </c>
    </row>
    <row r="49" spans="1:6" ht="14.25" customHeight="1">
      <c r="A49" s="1" t="s">
        <v>105</v>
      </c>
      <c r="B49" s="90"/>
      <c r="C49" s="89"/>
      <c r="D49" s="89" t="s">
        <v>1794</v>
      </c>
      <c r="E49" s="89"/>
      <c r="F49" s="89"/>
    </row>
    <row r="50" spans="1:6" ht="14.25" customHeight="1">
      <c r="A50" s="1" t="s">
        <v>105</v>
      </c>
      <c r="B50" s="90"/>
      <c r="C50" s="89"/>
      <c r="D50" s="89" t="s">
        <v>1795</v>
      </c>
      <c r="E50" s="89"/>
      <c r="F50" s="89"/>
    </row>
    <row r="51" spans="1:6" ht="14.25" customHeight="1">
      <c r="A51" s="1" t="s">
        <v>105</v>
      </c>
      <c r="B51" s="90"/>
      <c r="C51" s="89"/>
      <c r="D51" s="89" t="s">
        <v>1796</v>
      </c>
      <c r="E51" s="89"/>
      <c r="F51" s="89"/>
    </row>
    <row r="52" spans="1:6" ht="14.25" customHeight="1">
      <c r="A52" s="1" t="s">
        <v>105</v>
      </c>
      <c r="B52" s="90"/>
      <c r="C52" s="89"/>
      <c r="D52" s="89" t="s">
        <v>1797</v>
      </c>
      <c r="E52" s="89"/>
      <c r="F52" s="89"/>
    </row>
    <row r="53" spans="1:6" ht="14.25" customHeight="1">
      <c r="A53" s="1" t="s">
        <v>105</v>
      </c>
      <c r="B53" s="90" t="s">
        <v>1798</v>
      </c>
      <c r="C53" s="90" t="s">
        <v>717</v>
      </c>
      <c r="D53" s="90" t="s">
        <v>717</v>
      </c>
      <c r="E53" s="90" t="s">
        <v>717</v>
      </c>
      <c r="F53" s="90" t="s">
        <v>717</v>
      </c>
    </row>
    <row r="54" spans="1:6" ht="14.25" customHeight="1">
      <c r="A54" s="1" t="s">
        <v>105</v>
      </c>
      <c r="B54" s="90"/>
      <c r="C54" s="89"/>
      <c r="D54" s="89" t="s">
        <v>1799</v>
      </c>
      <c r="E54" s="89"/>
      <c r="F54" s="89"/>
    </row>
    <row r="55" spans="1:6" ht="14.25" customHeight="1">
      <c r="A55" s="1" t="s">
        <v>105</v>
      </c>
      <c r="B55" s="90"/>
      <c r="C55" s="89"/>
      <c r="D55" s="89" t="s">
        <v>1800</v>
      </c>
      <c r="E55" s="89"/>
      <c r="F55" s="89"/>
    </row>
    <row r="56" spans="1:6" ht="14.25" customHeight="1">
      <c r="A56" s="1" t="s">
        <v>105</v>
      </c>
      <c r="B56" s="90"/>
      <c r="C56" s="89"/>
      <c r="D56" s="89" t="s">
        <v>1801</v>
      </c>
      <c r="E56" s="89"/>
      <c r="F56" s="89"/>
    </row>
    <row r="57" spans="1:6" ht="14.25" customHeight="1">
      <c r="A57" s="1" t="s">
        <v>105</v>
      </c>
      <c r="B57" s="90"/>
      <c r="C57" s="89"/>
      <c r="D57" s="89" t="s">
        <v>1802</v>
      </c>
      <c r="E57" s="89"/>
      <c r="F57" s="89"/>
    </row>
    <row r="58" spans="1:6" ht="14.25" customHeight="1">
      <c r="A58" s="1" t="s">
        <v>105</v>
      </c>
      <c r="B58" s="90" t="s">
        <v>1798</v>
      </c>
      <c r="C58" s="90" t="s">
        <v>718</v>
      </c>
      <c r="D58" s="90" t="s">
        <v>718</v>
      </c>
      <c r="E58" s="90" t="s">
        <v>718</v>
      </c>
      <c r="F58" s="90" t="s">
        <v>718</v>
      </c>
    </row>
    <row r="59" spans="1:6" ht="14.25" customHeight="1">
      <c r="A59" s="1" t="s">
        <v>105</v>
      </c>
      <c r="B59" s="90"/>
      <c r="C59" s="89"/>
      <c r="D59" s="89" t="s">
        <v>1803</v>
      </c>
      <c r="E59" s="89"/>
      <c r="F59" s="89"/>
    </row>
    <row r="60" spans="1:6" ht="14.25" customHeight="1">
      <c r="A60" s="1" t="s">
        <v>105</v>
      </c>
      <c r="B60" s="90"/>
      <c r="C60" s="89"/>
      <c r="D60" s="89" t="s">
        <v>1804</v>
      </c>
      <c r="E60" s="89"/>
      <c r="F60" s="89"/>
    </row>
    <row r="61" spans="1:6" ht="14.25" customHeight="1">
      <c r="A61" s="1" t="s">
        <v>105</v>
      </c>
      <c r="B61" s="90"/>
      <c r="C61" s="89"/>
      <c r="D61" s="89" t="s">
        <v>1805</v>
      </c>
      <c r="E61" s="89"/>
      <c r="F61" s="89"/>
    </row>
    <row r="62" spans="1:6" ht="14.25" customHeight="1">
      <c r="A62" s="1" t="s">
        <v>105</v>
      </c>
      <c r="B62" s="90"/>
      <c r="C62" s="89"/>
      <c r="D62" s="89" t="s">
        <v>1806</v>
      </c>
      <c r="E62" s="89"/>
      <c r="F62" s="89"/>
    </row>
    <row r="63" spans="1:6" ht="14.25" customHeight="1">
      <c r="A63" s="1" t="s">
        <v>105</v>
      </c>
      <c r="B63" s="90" t="s">
        <v>1807</v>
      </c>
      <c r="C63" s="90" t="s">
        <v>719</v>
      </c>
      <c r="D63" s="90" t="s">
        <v>719</v>
      </c>
      <c r="E63" s="90" t="s">
        <v>719</v>
      </c>
      <c r="F63" s="90" t="s">
        <v>719</v>
      </c>
    </row>
    <row r="64" spans="1:6" ht="14.25" customHeight="1">
      <c r="A64" s="1" t="s">
        <v>105</v>
      </c>
      <c r="B64" s="90"/>
      <c r="C64" s="89" t="s">
        <v>1808</v>
      </c>
      <c r="D64" s="89" t="s">
        <v>1808</v>
      </c>
      <c r="E64" s="89"/>
      <c r="F64" s="89"/>
    </row>
    <row r="65" spans="1:6" ht="14.25" customHeight="1">
      <c r="A65" s="1" t="s">
        <v>105</v>
      </c>
      <c r="B65" s="90"/>
      <c r="C65" s="89" t="s">
        <v>1809</v>
      </c>
      <c r="D65" s="89" t="s">
        <v>1809</v>
      </c>
      <c r="E65" s="89"/>
      <c r="F65" s="89"/>
    </row>
    <row r="66" spans="1:6" ht="14.25" customHeight="1">
      <c r="A66" s="1" t="s">
        <v>105</v>
      </c>
      <c r="B66" s="90"/>
      <c r="C66" s="89"/>
      <c r="D66" s="89" t="s">
        <v>1810</v>
      </c>
      <c r="E66" s="89"/>
      <c r="F66" s="89"/>
    </row>
    <row r="67" spans="1:6" ht="14.25" customHeight="1">
      <c r="A67" s="1" t="s">
        <v>105</v>
      </c>
      <c r="B67" s="90"/>
      <c r="C67" s="89"/>
      <c r="D67" s="89" t="s">
        <v>1811</v>
      </c>
      <c r="E67" s="89"/>
      <c r="F67" s="89"/>
    </row>
    <row r="68" spans="1:6" ht="14.25" customHeight="1">
      <c r="A68" s="1" t="s">
        <v>105</v>
      </c>
      <c r="B68" s="90"/>
      <c r="C68" s="89"/>
      <c r="D68" s="89" t="s">
        <v>1812</v>
      </c>
      <c r="E68" s="89"/>
      <c r="F68" s="89"/>
    </row>
    <row r="69" spans="1:6" ht="14.25" customHeight="1">
      <c r="A69" s="1" t="s">
        <v>105</v>
      </c>
      <c r="B69" s="90"/>
      <c r="C69" s="89"/>
      <c r="D69" s="89" t="s">
        <v>1813</v>
      </c>
      <c r="E69" s="89"/>
      <c r="F69" s="89"/>
    </row>
    <row r="70" spans="1:6" ht="14.25" customHeight="1">
      <c r="A70" s="1" t="s">
        <v>105</v>
      </c>
      <c r="B70" s="90" t="s">
        <v>1807</v>
      </c>
      <c r="C70" s="90" t="s">
        <v>720</v>
      </c>
      <c r="D70" s="90" t="s">
        <v>720</v>
      </c>
      <c r="E70" s="90" t="s">
        <v>720</v>
      </c>
      <c r="F70" s="90" t="s">
        <v>720</v>
      </c>
    </row>
    <row r="71" spans="1:6" ht="14.25" customHeight="1">
      <c r="A71" s="1" t="s">
        <v>105</v>
      </c>
      <c r="B71" s="90"/>
      <c r="C71" s="89" t="s">
        <v>1814</v>
      </c>
      <c r="D71" s="89" t="s">
        <v>1814</v>
      </c>
      <c r="E71" s="89"/>
      <c r="F71" s="89"/>
    </row>
    <row r="72" spans="1:6" ht="14.25" customHeight="1">
      <c r="A72" s="1" t="s">
        <v>105</v>
      </c>
      <c r="B72" s="90"/>
      <c r="C72" s="89" t="s">
        <v>1815</v>
      </c>
      <c r="D72" s="89" t="s">
        <v>1815</v>
      </c>
      <c r="E72" s="89"/>
      <c r="F72" s="89"/>
    </row>
    <row r="73" spans="1:6" ht="14.25" customHeight="1">
      <c r="A73" s="1" t="s">
        <v>105</v>
      </c>
      <c r="B73" s="90"/>
      <c r="C73" s="89"/>
      <c r="D73" s="89" t="s">
        <v>1816</v>
      </c>
      <c r="E73" s="89"/>
      <c r="F73" s="89"/>
    </row>
    <row r="74" spans="1:6" ht="14.25" customHeight="1">
      <c r="A74" s="1" t="s">
        <v>105</v>
      </c>
      <c r="B74" s="90"/>
      <c r="C74" s="89"/>
      <c r="D74" s="89" t="s">
        <v>1817</v>
      </c>
      <c r="E74" s="89"/>
      <c r="F74" s="89"/>
    </row>
    <row r="75" spans="1:6" ht="14.25" customHeight="1">
      <c r="A75" s="1" t="s">
        <v>105</v>
      </c>
      <c r="B75" s="90"/>
      <c r="C75" s="89"/>
      <c r="D75" s="89" t="s">
        <v>1818</v>
      </c>
      <c r="E75" s="89"/>
      <c r="F75" s="89"/>
    </row>
    <row r="76" spans="1:6" ht="14.25" customHeight="1">
      <c r="A76" s="1" t="s">
        <v>105</v>
      </c>
      <c r="B76" s="90"/>
      <c r="C76" s="89"/>
      <c r="D76" s="89" t="s">
        <v>1819</v>
      </c>
      <c r="E76" s="89"/>
      <c r="F76" s="89"/>
    </row>
    <row r="77" spans="1:6" ht="14.25" customHeight="1">
      <c r="A77" s="1" t="s">
        <v>105</v>
      </c>
      <c r="B77" s="90" t="s">
        <v>1807</v>
      </c>
      <c r="C77" s="90" t="s">
        <v>721</v>
      </c>
      <c r="D77" s="90" t="s">
        <v>721</v>
      </c>
      <c r="E77" s="90" t="s">
        <v>721</v>
      </c>
      <c r="F77" s="90" t="s">
        <v>721</v>
      </c>
    </row>
    <row r="78" spans="1:6" ht="14.25" customHeight="1">
      <c r="A78" s="1" t="s">
        <v>105</v>
      </c>
      <c r="B78" s="90"/>
      <c r="C78" s="89" t="str">
        <f t="shared" ref="C78:C79" si="0">D78</f>
        <v>PL11-1</v>
      </c>
      <c r="D78" s="89" t="s">
        <v>1820</v>
      </c>
      <c r="E78" s="89"/>
      <c r="F78" s="89"/>
    </row>
    <row r="79" spans="1:6" ht="14.25" customHeight="1">
      <c r="A79" s="1" t="s">
        <v>105</v>
      </c>
      <c r="B79" s="90"/>
      <c r="C79" s="89" t="str">
        <f t="shared" si="0"/>
        <v>PL11-2</v>
      </c>
      <c r="D79" s="89" t="s">
        <v>1821</v>
      </c>
      <c r="E79" s="89"/>
      <c r="F79" s="89"/>
    </row>
    <row r="80" spans="1:6" ht="14.25" customHeight="1">
      <c r="A80" s="1" t="s">
        <v>105</v>
      </c>
      <c r="B80" s="90"/>
      <c r="C80" s="89"/>
      <c r="D80" s="89" t="s">
        <v>1822</v>
      </c>
      <c r="E80" s="89"/>
      <c r="F80" s="89"/>
    </row>
    <row r="81" spans="1:6" ht="14.25" customHeight="1">
      <c r="A81" s="1" t="s">
        <v>105</v>
      </c>
      <c r="B81" s="90"/>
      <c r="C81" s="89"/>
      <c r="D81" s="89" t="s">
        <v>1823</v>
      </c>
      <c r="E81" s="89"/>
      <c r="F81" s="89"/>
    </row>
    <row r="82" spans="1:6" ht="14.25" customHeight="1">
      <c r="A82" s="1" t="s">
        <v>105</v>
      </c>
      <c r="B82" s="90"/>
      <c r="C82" s="89"/>
      <c r="D82" s="89" t="s">
        <v>1824</v>
      </c>
      <c r="E82" s="89"/>
      <c r="F82" s="89"/>
    </row>
    <row r="83" spans="1:6" ht="14.25" customHeight="1">
      <c r="A83" s="1" t="s">
        <v>105</v>
      </c>
      <c r="B83" s="90"/>
      <c r="C83" s="89"/>
      <c r="D83" s="89" t="s">
        <v>1825</v>
      </c>
      <c r="E83" s="89"/>
      <c r="F83" s="89"/>
    </row>
    <row r="84" spans="1:6" ht="14.25" customHeight="1">
      <c r="A84" s="1" t="s">
        <v>105</v>
      </c>
      <c r="B84" s="90" t="s">
        <v>1807</v>
      </c>
      <c r="C84" s="90" t="s">
        <v>722</v>
      </c>
      <c r="D84" s="90" t="s">
        <v>722</v>
      </c>
      <c r="E84" s="90" t="s">
        <v>722</v>
      </c>
      <c r="F84" s="90" t="s">
        <v>722</v>
      </c>
    </row>
    <row r="85" spans="1:6" ht="14.25" customHeight="1">
      <c r="A85" s="1" t="s">
        <v>105</v>
      </c>
      <c r="B85" s="90"/>
      <c r="C85" s="89" t="str">
        <f t="shared" ref="C85:C86" si="1">D85</f>
        <v>PL12-1</v>
      </c>
      <c r="D85" s="89" t="s">
        <v>1826</v>
      </c>
      <c r="E85" s="89"/>
      <c r="F85" s="89"/>
    </row>
    <row r="86" spans="1:6" ht="14.25" customHeight="1">
      <c r="A86" s="1" t="s">
        <v>105</v>
      </c>
      <c r="B86" s="90"/>
      <c r="C86" s="89" t="str">
        <f t="shared" si="1"/>
        <v>PL12-2</v>
      </c>
      <c r="D86" s="89" t="s">
        <v>1827</v>
      </c>
      <c r="E86" s="89"/>
      <c r="F86" s="89"/>
    </row>
    <row r="87" spans="1:6" ht="14.25" customHeight="1">
      <c r="A87" s="1" t="s">
        <v>105</v>
      </c>
      <c r="B87" s="90"/>
      <c r="C87" s="89"/>
      <c r="D87" s="89" t="s">
        <v>1828</v>
      </c>
      <c r="E87" s="89"/>
      <c r="F87" s="89"/>
    </row>
    <row r="88" spans="1:6" ht="14.25" customHeight="1">
      <c r="A88" s="1" t="s">
        <v>105</v>
      </c>
      <c r="B88" s="90"/>
      <c r="C88" s="89"/>
      <c r="D88" s="89" t="s">
        <v>1829</v>
      </c>
      <c r="E88" s="89"/>
      <c r="F88" s="89"/>
    </row>
    <row r="89" spans="1:6" ht="14.25" customHeight="1">
      <c r="A89" s="1" t="s">
        <v>105</v>
      </c>
      <c r="B89" s="90"/>
      <c r="C89" s="89"/>
      <c r="D89" s="89" t="s">
        <v>1830</v>
      </c>
      <c r="E89" s="89"/>
      <c r="F89" s="89"/>
    </row>
    <row r="90" spans="1:6" ht="14.25" customHeight="1">
      <c r="A90" s="1" t="s">
        <v>105</v>
      </c>
      <c r="B90" s="90"/>
      <c r="C90" s="89"/>
      <c r="D90" s="89" t="s">
        <v>1831</v>
      </c>
      <c r="E90" s="89"/>
      <c r="F90" s="89"/>
    </row>
    <row r="91" spans="1:6" ht="14.25" customHeight="1">
      <c r="A91" s="1" t="s">
        <v>105</v>
      </c>
      <c r="B91" s="90" t="s">
        <v>1807</v>
      </c>
      <c r="C91" s="90" t="s">
        <v>723</v>
      </c>
      <c r="D91" s="90" t="s">
        <v>723</v>
      </c>
      <c r="E91" s="90" t="s">
        <v>723</v>
      </c>
      <c r="F91" s="90" t="s">
        <v>723</v>
      </c>
    </row>
    <row r="92" spans="1:6" ht="14.25" customHeight="1">
      <c r="A92" s="1" t="s">
        <v>105</v>
      </c>
      <c r="B92" s="90"/>
      <c r="C92" s="89" t="str">
        <f t="shared" ref="C92:C93" si="2">D92</f>
        <v>PL13-1</v>
      </c>
      <c r="D92" s="89" t="s">
        <v>1832</v>
      </c>
      <c r="E92" s="89"/>
      <c r="F92" s="89"/>
    </row>
    <row r="93" spans="1:6" ht="14.25" customHeight="1">
      <c r="A93" s="1" t="s">
        <v>105</v>
      </c>
      <c r="B93" s="90"/>
      <c r="C93" s="89" t="str">
        <f t="shared" si="2"/>
        <v>PL13-2</v>
      </c>
      <c r="D93" s="89" t="s">
        <v>1833</v>
      </c>
      <c r="E93" s="89"/>
      <c r="F93" s="89"/>
    </row>
    <row r="94" spans="1:6" ht="14.25" customHeight="1">
      <c r="A94" s="1" t="s">
        <v>105</v>
      </c>
      <c r="B94" s="90"/>
      <c r="C94" s="89"/>
      <c r="D94" s="89" t="s">
        <v>1834</v>
      </c>
      <c r="E94" s="89"/>
      <c r="F94" s="89"/>
    </row>
    <row r="95" spans="1:6" ht="14.25" customHeight="1">
      <c r="A95" s="1" t="s">
        <v>105</v>
      </c>
      <c r="B95" s="90"/>
      <c r="C95" s="89"/>
      <c r="D95" s="89" t="s">
        <v>1835</v>
      </c>
      <c r="E95" s="89"/>
      <c r="F95" s="89"/>
    </row>
    <row r="96" spans="1:6" ht="14.25" customHeight="1">
      <c r="A96" s="1" t="s">
        <v>105</v>
      </c>
      <c r="B96" s="90"/>
      <c r="C96" s="89"/>
      <c r="D96" s="89" t="s">
        <v>1836</v>
      </c>
      <c r="E96" s="89"/>
      <c r="F96" s="89"/>
    </row>
    <row r="97" spans="1:6" ht="14.25" customHeight="1">
      <c r="A97" s="1" t="s">
        <v>105</v>
      </c>
      <c r="B97" s="90"/>
      <c r="C97" s="89"/>
      <c r="D97" s="89" t="s">
        <v>1837</v>
      </c>
      <c r="E97" s="89"/>
      <c r="F97" s="89"/>
    </row>
    <row r="98" spans="1:6" ht="14.25" customHeight="1">
      <c r="A98" s="1" t="s">
        <v>105</v>
      </c>
      <c r="B98" s="90" t="s">
        <v>1807</v>
      </c>
      <c r="C98" s="90" t="s">
        <v>724</v>
      </c>
      <c r="D98" s="90" t="s">
        <v>724</v>
      </c>
      <c r="E98" s="90" t="s">
        <v>724</v>
      </c>
      <c r="F98" s="90" t="s">
        <v>724</v>
      </c>
    </row>
    <row r="99" spans="1:6" ht="14.25" customHeight="1">
      <c r="A99" s="1" t="s">
        <v>105</v>
      </c>
      <c r="B99" s="90"/>
      <c r="C99" s="89" t="str">
        <f t="shared" ref="C99:C100" si="3">D99</f>
        <v>PL14-1</v>
      </c>
      <c r="D99" s="89" t="s">
        <v>1838</v>
      </c>
      <c r="E99" s="89"/>
      <c r="F99" s="89"/>
    </row>
    <row r="100" spans="1:6" ht="14.25" customHeight="1">
      <c r="A100" s="1" t="s">
        <v>105</v>
      </c>
      <c r="B100" s="90"/>
      <c r="C100" s="89" t="str">
        <f t="shared" si="3"/>
        <v>PL14-2</v>
      </c>
      <c r="D100" s="89" t="s">
        <v>1839</v>
      </c>
      <c r="E100" s="89"/>
      <c r="F100" s="89"/>
    </row>
    <row r="101" spans="1:6" ht="14.25" customHeight="1">
      <c r="A101" s="1" t="s">
        <v>105</v>
      </c>
      <c r="B101" s="90"/>
      <c r="C101" s="89"/>
      <c r="D101" s="89" t="s">
        <v>1840</v>
      </c>
      <c r="E101" s="89"/>
      <c r="F101" s="89"/>
    </row>
    <row r="102" spans="1:6" ht="14.25" customHeight="1">
      <c r="A102" s="1" t="s">
        <v>105</v>
      </c>
      <c r="B102" s="90"/>
      <c r="C102" s="89"/>
      <c r="D102" s="89" t="s">
        <v>1841</v>
      </c>
      <c r="E102" s="89"/>
      <c r="F102" s="89"/>
    </row>
    <row r="103" spans="1:6" ht="14.25" customHeight="1">
      <c r="A103" s="1" t="s">
        <v>105</v>
      </c>
      <c r="B103" s="90"/>
      <c r="C103" s="89"/>
      <c r="D103" s="89" t="s">
        <v>1842</v>
      </c>
      <c r="E103" s="89"/>
      <c r="F103" s="89"/>
    </row>
    <row r="104" spans="1:6" ht="14.25" customHeight="1">
      <c r="A104" s="1" t="s">
        <v>105</v>
      </c>
      <c r="B104" s="90"/>
      <c r="C104" s="89"/>
      <c r="D104" s="89" t="s">
        <v>1843</v>
      </c>
      <c r="E104" s="89"/>
      <c r="F104" s="89"/>
    </row>
    <row r="105" spans="1:6" ht="14.25" customHeight="1">
      <c r="A105" s="1" t="s">
        <v>105</v>
      </c>
      <c r="B105" s="90" t="s">
        <v>1844</v>
      </c>
      <c r="C105" s="90" t="s">
        <v>725</v>
      </c>
      <c r="D105" s="90" t="s">
        <v>725</v>
      </c>
      <c r="E105" s="90" t="s">
        <v>725</v>
      </c>
      <c r="F105" s="90" t="s">
        <v>725</v>
      </c>
    </row>
    <row r="106" spans="1:6" ht="14.25" customHeight="1">
      <c r="A106" s="1" t="s">
        <v>105</v>
      </c>
      <c r="B106" s="90"/>
      <c r="C106" s="89"/>
      <c r="D106" s="89" t="s">
        <v>1845</v>
      </c>
      <c r="E106" s="89"/>
      <c r="F106" s="89"/>
    </row>
    <row r="107" spans="1:6" ht="14.25" customHeight="1">
      <c r="A107" s="1" t="s">
        <v>105</v>
      </c>
      <c r="B107" s="90"/>
      <c r="C107" s="89"/>
      <c r="D107" s="89" t="s">
        <v>1846</v>
      </c>
      <c r="E107" s="89"/>
      <c r="F107" s="89"/>
    </row>
    <row r="108" spans="1:6" ht="14.25" customHeight="1">
      <c r="A108" s="1" t="s">
        <v>105</v>
      </c>
      <c r="B108" s="90"/>
      <c r="C108" s="89"/>
      <c r="D108" s="89" t="s">
        <v>1847</v>
      </c>
      <c r="E108" s="89"/>
      <c r="F108" s="89"/>
    </row>
    <row r="109" spans="1:6" ht="14.25" customHeight="1">
      <c r="A109" s="1" t="s">
        <v>105</v>
      </c>
      <c r="B109" s="90"/>
      <c r="C109" s="89"/>
      <c r="D109" s="89" t="s">
        <v>1848</v>
      </c>
      <c r="E109" s="89"/>
      <c r="F109" s="89"/>
    </row>
    <row r="110" spans="1:6" ht="14.25" customHeight="1">
      <c r="A110" s="1" t="s">
        <v>105</v>
      </c>
      <c r="B110" s="90" t="s">
        <v>1844</v>
      </c>
      <c r="C110" s="90" t="s">
        <v>726</v>
      </c>
      <c r="D110" s="90" t="s">
        <v>726</v>
      </c>
      <c r="E110" s="90" t="s">
        <v>726</v>
      </c>
      <c r="F110" s="90" t="s">
        <v>726</v>
      </c>
    </row>
    <row r="111" spans="1:6" ht="14.25" customHeight="1">
      <c r="A111" s="1" t="s">
        <v>105</v>
      </c>
      <c r="B111" s="90"/>
      <c r="C111" s="89"/>
      <c r="D111" s="89" t="s">
        <v>1849</v>
      </c>
      <c r="E111" s="89"/>
      <c r="F111" s="89"/>
    </row>
    <row r="112" spans="1:6" ht="14.25" customHeight="1">
      <c r="A112" s="1" t="s">
        <v>105</v>
      </c>
      <c r="B112" s="90"/>
      <c r="C112" s="89"/>
      <c r="D112" s="89" t="s">
        <v>1850</v>
      </c>
      <c r="E112" s="89"/>
      <c r="F112" s="89"/>
    </row>
    <row r="113" spans="1:6" ht="14.25" customHeight="1">
      <c r="A113" s="1" t="s">
        <v>105</v>
      </c>
      <c r="B113" s="90"/>
      <c r="C113" s="89"/>
      <c r="D113" s="89" t="s">
        <v>1851</v>
      </c>
      <c r="E113" s="89"/>
      <c r="F113" s="89"/>
    </row>
    <row r="114" spans="1:6" ht="14.25" customHeight="1">
      <c r="A114" s="1" t="s">
        <v>105</v>
      </c>
      <c r="B114" s="90"/>
      <c r="C114" s="89"/>
      <c r="D114" s="89" t="s">
        <v>1852</v>
      </c>
      <c r="E114" s="89"/>
      <c r="F114" s="89"/>
    </row>
    <row r="115" spans="1:6" ht="14.25" customHeight="1">
      <c r="A115" s="1" t="s">
        <v>105</v>
      </c>
      <c r="B115" s="90" t="s">
        <v>1844</v>
      </c>
      <c r="C115" s="90" t="s">
        <v>727</v>
      </c>
      <c r="D115" s="90" t="s">
        <v>727</v>
      </c>
      <c r="E115" s="90" t="s">
        <v>727</v>
      </c>
      <c r="F115" s="90" t="s">
        <v>727</v>
      </c>
    </row>
    <row r="116" spans="1:6" ht="14.25" customHeight="1">
      <c r="A116" s="1" t="s">
        <v>105</v>
      </c>
      <c r="B116" s="90"/>
      <c r="C116" s="89"/>
      <c r="D116" s="89" t="s">
        <v>1853</v>
      </c>
      <c r="E116" s="89"/>
      <c r="F116" s="89"/>
    </row>
    <row r="117" spans="1:6" ht="14.25" customHeight="1">
      <c r="A117" s="1" t="s">
        <v>105</v>
      </c>
      <c r="B117" s="90"/>
      <c r="C117" s="89"/>
      <c r="D117" s="89" t="s">
        <v>1854</v>
      </c>
      <c r="E117" s="89"/>
      <c r="F117" s="89"/>
    </row>
    <row r="118" spans="1:6" ht="14.25" customHeight="1">
      <c r="A118" s="1" t="s">
        <v>105</v>
      </c>
      <c r="B118" s="90"/>
      <c r="C118" s="89"/>
      <c r="D118" s="89" t="s">
        <v>1855</v>
      </c>
      <c r="E118" s="89"/>
      <c r="F118" s="89"/>
    </row>
    <row r="119" spans="1:6" ht="14.25" customHeight="1">
      <c r="A119" s="1" t="s">
        <v>105</v>
      </c>
      <c r="B119" s="90"/>
      <c r="C119" s="89"/>
      <c r="D119" s="89" t="s">
        <v>1856</v>
      </c>
      <c r="E119" s="89"/>
      <c r="F119" s="89"/>
    </row>
    <row r="120" spans="1:6" ht="14.25" customHeight="1">
      <c r="A120" s="1" t="s">
        <v>105</v>
      </c>
      <c r="B120" s="90" t="s">
        <v>1857</v>
      </c>
      <c r="C120" s="90" t="s">
        <v>728</v>
      </c>
      <c r="D120" s="90" t="s">
        <v>728</v>
      </c>
      <c r="E120" s="90" t="s">
        <v>728</v>
      </c>
      <c r="F120" s="90" t="s">
        <v>728</v>
      </c>
    </row>
    <row r="121" spans="1:6" ht="14.25" customHeight="1">
      <c r="A121" s="1" t="s">
        <v>105</v>
      </c>
      <c r="B121" s="90"/>
      <c r="C121" s="89"/>
      <c r="D121" s="89" t="s">
        <v>1858</v>
      </c>
      <c r="E121" s="89"/>
      <c r="F121" s="89"/>
    </row>
    <row r="122" spans="1:6" ht="14.25" customHeight="1">
      <c r="A122" s="1" t="s">
        <v>105</v>
      </c>
      <c r="B122" s="90"/>
      <c r="C122" s="89"/>
      <c r="D122" s="89" t="s">
        <v>1859</v>
      </c>
      <c r="E122" s="89"/>
      <c r="F122" s="89"/>
    </row>
    <row r="123" spans="1:6" ht="14.25" customHeight="1">
      <c r="A123" s="1" t="s">
        <v>105</v>
      </c>
      <c r="B123" s="90"/>
      <c r="C123" s="89"/>
      <c r="D123" s="89" t="s">
        <v>1860</v>
      </c>
      <c r="E123" s="89"/>
      <c r="F123" s="89"/>
    </row>
    <row r="124" spans="1:6" ht="14.25" customHeight="1">
      <c r="A124" s="1" t="s">
        <v>105</v>
      </c>
      <c r="B124" s="90"/>
      <c r="C124" s="89"/>
      <c r="D124" s="89" t="s">
        <v>1861</v>
      </c>
      <c r="E124" s="89"/>
      <c r="F124" s="89"/>
    </row>
    <row r="125" spans="1:6" ht="14.25" customHeight="1">
      <c r="A125" s="1" t="s">
        <v>105</v>
      </c>
      <c r="B125" s="90" t="s">
        <v>1857</v>
      </c>
      <c r="C125" s="90" t="s">
        <v>729</v>
      </c>
      <c r="D125" s="90" t="s">
        <v>729</v>
      </c>
      <c r="E125" s="90" t="s">
        <v>729</v>
      </c>
      <c r="F125" s="90" t="s">
        <v>729</v>
      </c>
    </row>
    <row r="126" spans="1:6" ht="14.25" customHeight="1">
      <c r="A126" s="1" t="s">
        <v>105</v>
      </c>
      <c r="B126" s="90"/>
      <c r="C126" s="89"/>
      <c r="D126" s="89" t="s">
        <v>1862</v>
      </c>
      <c r="E126" s="89"/>
      <c r="F126" s="89"/>
    </row>
    <row r="127" spans="1:6" ht="14.25" customHeight="1">
      <c r="A127" s="1" t="s">
        <v>105</v>
      </c>
      <c r="B127" s="90"/>
      <c r="C127" s="89"/>
      <c r="D127" s="89" t="s">
        <v>1863</v>
      </c>
      <c r="E127" s="89"/>
      <c r="F127" s="89"/>
    </row>
    <row r="128" spans="1:6" ht="14.25" customHeight="1">
      <c r="A128" s="1" t="s">
        <v>105</v>
      </c>
      <c r="B128" s="90"/>
      <c r="C128" s="89"/>
      <c r="D128" s="89" t="s">
        <v>1864</v>
      </c>
      <c r="E128" s="89"/>
      <c r="F128" s="89"/>
    </row>
    <row r="129" spans="1:6" ht="14.25" customHeight="1">
      <c r="A129" s="1" t="s">
        <v>105</v>
      </c>
      <c r="B129" s="90"/>
      <c r="C129" s="89"/>
      <c r="D129" s="89" t="s">
        <v>1865</v>
      </c>
      <c r="E129" s="89"/>
      <c r="F129" s="89"/>
    </row>
    <row r="130" spans="1:6" ht="14.25" customHeight="1">
      <c r="A130" s="1" t="s">
        <v>105</v>
      </c>
      <c r="B130" s="90" t="s">
        <v>1857</v>
      </c>
      <c r="C130" s="90" t="s">
        <v>730</v>
      </c>
      <c r="D130" s="90" t="s">
        <v>730</v>
      </c>
      <c r="E130" s="90" t="s">
        <v>730</v>
      </c>
      <c r="F130" s="90" t="s">
        <v>730</v>
      </c>
    </row>
    <row r="131" spans="1:6" ht="14.25" customHeight="1">
      <c r="A131" s="1" t="s">
        <v>105</v>
      </c>
      <c r="B131" s="90"/>
      <c r="C131" s="89"/>
      <c r="D131" s="89" t="s">
        <v>1866</v>
      </c>
      <c r="E131" s="89"/>
      <c r="F131" s="89"/>
    </row>
    <row r="132" spans="1:6" ht="14.25" customHeight="1">
      <c r="A132" s="1" t="s">
        <v>105</v>
      </c>
      <c r="B132" s="90"/>
      <c r="C132" s="89"/>
      <c r="D132" s="89" t="s">
        <v>1867</v>
      </c>
      <c r="E132" s="89"/>
      <c r="F132" s="89"/>
    </row>
    <row r="133" spans="1:6" ht="14.25" customHeight="1">
      <c r="A133" s="1" t="s">
        <v>105</v>
      </c>
      <c r="B133" s="90"/>
      <c r="C133" s="89"/>
      <c r="D133" s="89" t="s">
        <v>1868</v>
      </c>
      <c r="E133" s="89"/>
      <c r="F133" s="89"/>
    </row>
    <row r="134" spans="1:6" ht="14.25" customHeight="1">
      <c r="A134" s="1" t="s">
        <v>105</v>
      </c>
      <c r="B134" s="90"/>
      <c r="C134" s="89"/>
      <c r="D134" s="89" t="s">
        <v>1869</v>
      </c>
      <c r="E134" s="89"/>
      <c r="F134" s="89"/>
    </row>
    <row r="135" spans="1:6" ht="14.25" customHeight="1">
      <c r="A135" s="1" t="s">
        <v>105</v>
      </c>
      <c r="B135" s="90" t="s">
        <v>1857</v>
      </c>
      <c r="C135" s="90" t="s">
        <v>731</v>
      </c>
      <c r="D135" s="90" t="s">
        <v>731</v>
      </c>
      <c r="E135" s="90" t="s">
        <v>731</v>
      </c>
      <c r="F135" s="90" t="s">
        <v>731</v>
      </c>
    </row>
    <row r="136" spans="1:6" ht="14.25" customHeight="1">
      <c r="A136" s="1" t="s">
        <v>105</v>
      </c>
      <c r="B136" s="90"/>
      <c r="C136" s="89"/>
      <c r="D136" s="89" t="s">
        <v>1870</v>
      </c>
      <c r="E136" s="89"/>
      <c r="F136" s="89"/>
    </row>
    <row r="137" spans="1:6" ht="14.25" customHeight="1">
      <c r="A137" s="1" t="s">
        <v>105</v>
      </c>
      <c r="B137" s="90"/>
      <c r="C137" s="89"/>
      <c r="D137" s="89" t="s">
        <v>1871</v>
      </c>
      <c r="E137" s="89"/>
      <c r="F137" s="89"/>
    </row>
    <row r="138" spans="1:6" ht="14.25" customHeight="1">
      <c r="A138" s="1" t="s">
        <v>105</v>
      </c>
      <c r="B138" s="90"/>
      <c r="C138" s="89"/>
      <c r="D138" s="89" t="s">
        <v>1872</v>
      </c>
      <c r="E138" s="89"/>
      <c r="F138" s="89"/>
    </row>
    <row r="139" spans="1:6" ht="14.25" customHeight="1">
      <c r="A139" s="1" t="s">
        <v>105</v>
      </c>
      <c r="B139" s="90"/>
      <c r="C139" s="89"/>
      <c r="D139" s="89" t="s">
        <v>1873</v>
      </c>
      <c r="E139" s="89"/>
      <c r="F139" s="89"/>
    </row>
    <row r="140" spans="1:6" ht="14.25" customHeight="1">
      <c r="A140" s="1" t="s">
        <v>105</v>
      </c>
      <c r="B140" s="90" t="s">
        <v>1857</v>
      </c>
      <c r="C140" s="90" t="s">
        <v>732</v>
      </c>
      <c r="D140" s="90" t="s">
        <v>732</v>
      </c>
      <c r="E140" s="90" t="s">
        <v>732</v>
      </c>
      <c r="F140" s="90" t="s">
        <v>732</v>
      </c>
    </row>
    <row r="141" spans="1:6" ht="14.25" customHeight="1">
      <c r="A141" s="1" t="s">
        <v>105</v>
      </c>
      <c r="B141" s="90"/>
      <c r="C141" s="89"/>
      <c r="D141" s="89" t="s">
        <v>1874</v>
      </c>
      <c r="E141" s="89"/>
      <c r="F141" s="89"/>
    </row>
    <row r="142" spans="1:6" ht="14.25" customHeight="1">
      <c r="A142" s="1" t="s">
        <v>105</v>
      </c>
      <c r="B142" s="90"/>
      <c r="C142" s="89"/>
      <c r="D142" s="89" t="s">
        <v>1875</v>
      </c>
      <c r="E142" s="89"/>
      <c r="F142" s="89"/>
    </row>
    <row r="143" spans="1:6" ht="14.25" customHeight="1">
      <c r="A143" s="1" t="s">
        <v>105</v>
      </c>
      <c r="B143" s="90"/>
      <c r="C143" s="89"/>
      <c r="D143" s="89" t="s">
        <v>1876</v>
      </c>
      <c r="E143" s="89"/>
      <c r="F143" s="89"/>
    </row>
    <row r="144" spans="1:6" ht="14.25" customHeight="1">
      <c r="A144" s="1" t="s">
        <v>105</v>
      </c>
      <c r="B144" s="90"/>
      <c r="C144" s="89"/>
      <c r="D144" s="89" t="s">
        <v>1877</v>
      </c>
      <c r="E144" s="89"/>
      <c r="F144" s="89"/>
    </row>
    <row r="145" spans="1:6" ht="14.25" customHeight="1">
      <c r="A145" s="1" t="s">
        <v>105</v>
      </c>
      <c r="B145" s="90" t="s">
        <v>1878</v>
      </c>
      <c r="C145" s="90" t="s">
        <v>733</v>
      </c>
      <c r="D145" s="90" t="s">
        <v>733</v>
      </c>
      <c r="E145" s="90" t="s">
        <v>733</v>
      </c>
      <c r="F145" s="90" t="s">
        <v>733</v>
      </c>
    </row>
    <row r="146" spans="1:6" ht="14.25" customHeight="1">
      <c r="A146" s="1" t="s">
        <v>105</v>
      </c>
      <c r="B146" s="90"/>
      <c r="C146" s="89"/>
      <c r="D146" s="89" t="s">
        <v>1879</v>
      </c>
      <c r="E146" s="89"/>
      <c r="F146" s="89"/>
    </row>
    <row r="147" spans="1:6" ht="14.25" customHeight="1">
      <c r="A147" s="1" t="s">
        <v>105</v>
      </c>
      <c r="B147" s="90"/>
      <c r="C147" s="89"/>
      <c r="D147" s="89" t="s">
        <v>1880</v>
      </c>
      <c r="E147" s="89"/>
      <c r="F147" s="89"/>
    </row>
    <row r="148" spans="1:6" ht="14.25" customHeight="1">
      <c r="A148" s="1" t="s">
        <v>105</v>
      </c>
      <c r="B148" s="90"/>
      <c r="C148" s="89"/>
      <c r="D148" s="89" t="s">
        <v>1881</v>
      </c>
      <c r="E148" s="89"/>
      <c r="F148" s="89"/>
    </row>
    <row r="149" spans="1:6" ht="14.25" customHeight="1">
      <c r="A149" s="1" t="s">
        <v>105</v>
      </c>
      <c r="B149" s="90"/>
      <c r="C149" s="89"/>
      <c r="D149" s="89" t="s">
        <v>1882</v>
      </c>
      <c r="E149" s="89"/>
      <c r="F149" s="89"/>
    </row>
    <row r="150" spans="1:6" ht="14.25" customHeight="1">
      <c r="A150" s="1" t="s">
        <v>105</v>
      </c>
      <c r="B150" s="90" t="s">
        <v>1878</v>
      </c>
      <c r="C150" s="90" t="s">
        <v>734</v>
      </c>
      <c r="D150" s="90" t="s">
        <v>734</v>
      </c>
      <c r="E150" s="90" t="s">
        <v>734</v>
      </c>
      <c r="F150" s="90" t="s">
        <v>734</v>
      </c>
    </row>
    <row r="151" spans="1:6" ht="14.25" customHeight="1">
      <c r="A151" s="1" t="s">
        <v>105</v>
      </c>
      <c r="B151" s="90"/>
      <c r="C151" s="89"/>
      <c r="D151" s="89" t="s">
        <v>1883</v>
      </c>
      <c r="E151" s="89"/>
      <c r="F151" s="89"/>
    </row>
    <row r="152" spans="1:6" ht="14.25" customHeight="1">
      <c r="A152" s="1" t="s">
        <v>105</v>
      </c>
      <c r="B152" s="90"/>
      <c r="C152" s="89"/>
      <c r="D152" s="89" t="s">
        <v>1884</v>
      </c>
      <c r="E152" s="89"/>
      <c r="F152" s="89"/>
    </row>
    <row r="153" spans="1:6" ht="14.25" customHeight="1">
      <c r="A153" s="1" t="s">
        <v>105</v>
      </c>
      <c r="B153" s="90"/>
      <c r="C153" s="89"/>
      <c r="D153" s="89" t="s">
        <v>1885</v>
      </c>
      <c r="E153" s="89"/>
      <c r="F153" s="89"/>
    </row>
    <row r="154" spans="1:6" ht="14.25" customHeight="1">
      <c r="A154" s="1" t="s">
        <v>105</v>
      </c>
      <c r="B154" s="90"/>
      <c r="C154" s="89"/>
      <c r="D154" s="89" t="s">
        <v>1886</v>
      </c>
      <c r="E154" s="89"/>
      <c r="F154" s="89"/>
    </row>
    <row r="155" spans="1:6" ht="14.25" customHeight="1">
      <c r="A155" s="1" t="s">
        <v>105</v>
      </c>
      <c r="B155" s="90" t="s">
        <v>1878</v>
      </c>
      <c r="C155" s="90" t="s">
        <v>735</v>
      </c>
      <c r="D155" s="90" t="s">
        <v>735</v>
      </c>
      <c r="E155" s="90" t="s">
        <v>735</v>
      </c>
      <c r="F155" s="90" t="s">
        <v>735</v>
      </c>
    </row>
    <row r="156" spans="1:6" ht="14.25" customHeight="1">
      <c r="A156" s="1" t="s">
        <v>105</v>
      </c>
      <c r="B156" s="90"/>
      <c r="C156" s="89"/>
      <c r="D156" s="89" t="s">
        <v>1887</v>
      </c>
      <c r="E156" s="89"/>
      <c r="F156" s="89"/>
    </row>
    <row r="157" spans="1:6" ht="14.25" customHeight="1">
      <c r="A157" s="1" t="s">
        <v>105</v>
      </c>
      <c r="B157" s="90"/>
      <c r="C157" s="89"/>
      <c r="D157" s="89" t="s">
        <v>1888</v>
      </c>
      <c r="E157" s="89"/>
      <c r="F157" s="89"/>
    </row>
    <row r="158" spans="1:6" ht="14.25" customHeight="1">
      <c r="A158" s="1" t="s">
        <v>105</v>
      </c>
      <c r="B158" s="90"/>
      <c r="C158" s="89"/>
      <c r="D158" s="89" t="s">
        <v>1889</v>
      </c>
      <c r="E158" s="89"/>
      <c r="F158" s="89"/>
    </row>
    <row r="159" spans="1:6" ht="14.25" customHeight="1">
      <c r="A159" s="1" t="s">
        <v>105</v>
      </c>
      <c r="B159" s="90"/>
      <c r="C159" s="89"/>
      <c r="D159" s="89" t="s">
        <v>1890</v>
      </c>
      <c r="E159" s="89"/>
      <c r="F159" s="89"/>
    </row>
    <row r="160" spans="1:6" ht="14.25" customHeight="1">
      <c r="A160" s="1" t="s">
        <v>105</v>
      </c>
      <c r="B160" s="90" t="s">
        <v>1878</v>
      </c>
      <c r="C160" s="90" t="s">
        <v>736</v>
      </c>
      <c r="D160" s="90" t="s">
        <v>736</v>
      </c>
      <c r="E160" s="90" t="s">
        <v>736</v>
      </c>
      <c r="F160" s="90" t="s">
        <v>736</v>
      </c>
    </row>
    <row r="161" spans="1:6" ht="14.25" customHeight="1">
      <c r="A161" s="1" t="s">
        <v>105</v>
      </c>
      <c r="B161" s="90"/>
      <c r="C161" s="89"/>
      <c r="D161" s="89" t="s">
        <v>1891</v>
      </c>
      <c r="E161" s="89"/>
      <c r="F161" s="89"/>
    </row>
    <row r="162" spans="1:6" ht="14.25" customHeight="1">
      <c r="A162" s="1" t="s">
        <v>105</v>
      </c>
      <c r="B162" s="90"/>
      <c r="C162" s="89"/>
      <c r="D162" s="89" t="s">
        <v>1892</v>
      </c>
      <c r="E162" s="89"/>
      <c r="F162" s="89"/>
    </row>
    <row r="163" spans="1:6" ht="14.25" customHeight="1">
      <c r="A163" s="1" t="s">
        <v>105</v>
      </c>
      <c r="B163" s="90"/>
      <c r="C163" s="89"/>
      <c r="D163" s="89" t="s">
        <v>1893</v>
      </c>
      <c r="E163" s="89"/>
      <c r="F163" s="89"/>
    </row>
    <row r="164" spans="1:6" ht="14.25" customHeight="1">
      <c r="A164" s="1" t="s">
        <v>105</v>
      </c>
      <c r="B164" s="90"/>
      <c r="C164" s="89"/>
      <c r="D164" s="89" t="s">
        <v>1894</v>
      </c>
      <c r="E164" s="89"/>
      <c r="F164" s="89"/>
    </row>
    <row r="165" spans="1:6" ht="14.25" customHeight="1">
      <c r="A165" s="1" t="s">
        <v>105</v>
      </c>
      <c r="B165" s="90" t="s">
        <v>1878</v>
      </c>
      <c r="C165" s="90" t="s">
        <v>737</v>
      </c>
      <c r="D165" s="90" t="s">
        <v>737</v>
      </c>
      <c r="E165" s="90" t="s">
        <v>737</v>
      </c>
      <c r="F165" s="90" t="s">
        <v>737</v>
      </c>
    </row>
    <row r="166" spans="1:6" ht="14.25" customHeight="1">
      <c r="A166" s="1" t="s">
        <v>105</v>
      </c>
      <c r="B166" s="90"/>
      <c r="C166" s="89"/>
      <c r="D166" s="89" t="s">
        <v>1895</v>
      </c>
      <c r="E166" s="89"/>
      <c r="F166" s="89"/>
    </row>
    <row r="167" spans="1:6" ht="14.25" customHeight="1">
      <c r="A167" s="1" t="s">
        <v>105</v>
      </c>
      <c r="B167" s="90"/>
      <c r="C167" s="89"/>
      <c r="D167" s="89" t="s">
        <v>1896</v>
      </c>
      <c r="E167" s="89"/>
      <c r="F167" s="89"/>
    </row>
    <row r="168" spans="1:6" ht="14.25" customHeight="1">
      <c r="A168" s="1" t="s">
        <v>105</v>
      </c>
      <c r="B168" s="90"/>
      <c r="C168" s="89"/>
      <c r="D168" s="89" t="s">
        <v>1897</v>
      </c>
      <c r="E168" s="89"/>
      <c r="F168" s="89"/>
    </row>
    <row r="169" spans="1:6" ht="14.25" customHeight="1">
      <c r="A169" s="1" t="s">
        <v>105</v>
      </c>
      <c r="B169" s="90"/>
      <c r="C169" s="89"/>
      <c r="D169" s="89" t="s">
        <v>1898</v>
      </c>
      <c r="E169" s="89"/>
      <c r="F169" s="89"/>
    </row>
    <row r="170" spans="1:6" ht="14.25" customHeight="1">
      <c r="A170" s="1" t="s">
        <v>105</v>
      </c>
      <c r="B170" s="90" t="s">
        <v>1899</v>
      </c>
      <c r="C170" s="90" t="s">
        <v>738</v>
      </c>
      <c r="D170" s="90" t="s">
        <v>738</v>
      </c>
      <c r="E170" s="90" t="s">
        <v>738</v>
      </c>
      <c r="F170" s="90" t="s">
        <v>738</v>
      </c>
    </row>
    <row r="171" spans="1:6" ht="14.25" customHeight="1">
      <c r="A171" s="1" t="s">
        <v>105</v>
      </c>
      <c r="B171" s="90"/>
      <c r="C171" s="89"/>
      <c r="D171" s="89" t="s">
        <v>1900</v>
      </c>
      <c r="E171" s="89"/>
      <c r="F171" s="89"/>
    </row>
    <row r="172" spans="1:6" ht="14.25" customHeight="1">
      <c r="A172" s="1" t="s">
        <v>105</v>
      </c>
      <c r="B172" s="90"/>
      <c r="C172" s="89"/>
      <c r="D172" s="89" t="s">
        <v>1901</v>
      </c>
      <c r="E172" s="89"/>
      <c r="F172" s="89"/>
    </row>
    <row r="173" spans="1:6" ht="14.25" customHeight="1">
      <c r="A173" s="1" t="s">
        <v>105</v>
      </c>
      <c r="B173" s="90"/>
      <c r="C173" s="89"/>
      <c r="D173" s="89" t="s">
        <v>1902</v>
      </c>
      <c r="E173" s="89"/>
      <c r="F173" s="89"/>
    </row>
    <row r="174" spans="1:6" ht="14.25" customHeight="1">
      <c r="A174" s="1" t="s">
        <v>105</v>
      </c>
      <c r="B174" s="90"/>
      <c r="C174" s="89"/>
      <c r="D174" s="89" t="s">
        <v>1903</v>
      </c>
      <c r="E174" s="89"/>
      <c r="F174" s="89"/>
    </row>
    <row r="175" spans="1:6" ht="14.25" customHeight="1">
      <c r="A175" s="1" t="s">
        <v>105</v>
      </c>
      <c r="B175" s="90" t="s">
        <v>1899</v>
      </c>
      <c r="C175" s="90" t="s">
        <v>739</v>
      </c>
      <c r="D175" s="90" t="s">
        <v>739</v>
      </c>
      <c r="E175" s="90" t="s">
        <v>739</v>
      </c>
      <c r="F175" s="90" t="s">
        <v>739</v>
      </c>
    </row>
    <row r="176" spans="1:6" ht="14.25" customHeight="1">
      <c r="A176" s="1" t="s">
        <v>105</v>
      </c>
      <c r="B176" s="90"/>
      <c r="C176" s="89"/>
      <c r="D176" s="89" t="s">
        <v>1904</v>
      </c>
      <c r="E176" s="89"/>
      <c r="F176" s="89"/>
    </row>
    <row r="177" spans="1:6" ht="14.25" customHeight="1">
      <c r="A177" s="1" t="s">
        <v>105</v>
      </c>
      <c r="B177" s="90"/>
      <c r="C177" s="89"/>
      <c r="D177" s="89" t="s">
        <v>1905</v>
      </c>
      <c r="E177" s="89"/>
      <c r="F177" s="89"/>
    </row>
    <row r="178" spans="1:6" ht="14.25" customHeight="1">
      <c r="A178" s="1" t="s">
        <v>105</v>
      </c>
      <c r="B178" s="90"/>
      <c r="C178" s="89"/>
      <c r="D178" s="89" t="s">
        <v>1906</v>
      </c>
      <c r="E178" s="89"/>
      <c r="F178" s="89"/>
    </row>
    <row r="179" spans="1:6" ht="14.25" customHeight="1">
      <c r="A179" s="1" t="s">
        <v>105</v>
      </c>
      <c r="B179" s="90"/>
      <c r="C179" s="89"/>
      <c r="D179" s="89" t="s">
        <v>1907</v>
      </c>
      <c r="E179" s="89"/>
      <c r="F179" s="89"/>
    </row>
    <row r="180" spans="1:6" ht="14.25" customHeight="1">
      <c r="A180" s="1" t="s">
        <v>105</v>
      </c>
      <c r="B180" s="90" t="s">
        <v>1899</v>
      </c>
      <c r="C180" s="90" t="s">
        <v>740</v>
      </c>
      <c r="D180" s="90" t="s">
        <v>740</v>
      </c>
      <c r="E180" s="90" t="s">
        <v>740</v>
      </c>
      <c r="F180" s="90" t="s">
        <v>740</v>
      </c>
    </row>
    <row r="181" spans="1:6" ht="14.25" customHeight="1">
      <c r="A181" s="1" t="s">
        <v>105</v>
      </c>
      <c r="B181" s="90"/>
      <c r="C181" s="89"/>
      <c r="D181" s="89" t="s">
        <v>1908</v>
      </c>
      <c r="E181" s="89"/>
      <c r="F181" s="89"/>
    </row>
    <row r="182" spans="1:6" ht="14.25" customHeight="1">
      <c r="A182" s="1" t="s">
        <v>105</v>
      </c>
      <c r="B182" s="90"/>
      <c r="C182" s="89"/>
      <c r="D182" s="89" t="s">
        <v>1909</v>
      </c>
      <c r="E182" s="89"/>
      <c r="F182" s="89"/>
    </row>
    <row r="183" spans="1:6" ht="14.25" customHeight="1">
      <c r="A183" s="1" t="s">
        <v>105</v>
      </c>
      <c r="B183" s="90"/>
      <c r="C183" s="89"/>
      <c r="D183" s="89" t="s">
        <v>1910</v>
      </c>
      <c r="E183" s="89"/>
      <c r="F183" s="89"/>
    </row>
    <row r="184" spans="1:6" ht="14.25" customHeight="1">
      <c r="A184" s="1" t="s">
        <v>105</v>
      </c>
      <c r="B184" s="90"/>
      <c r="C184" s="89"/>
      <c r="D184" s="89" t="s">
        <v>1911</v>
      </c>
      <c r="E184" s="89"/>
      <c r="F184" s="89"/>
    </row>
    <row r="185" spans="1:6" ht="14.25" customHeight="1">
      <c r="A185" s="1" t="s">
        <v>105</v>
      </c>
      <c r="B185" s="90" t="s">
        <v>1899</v>
      </c>
      <c r="C185" s="90" t="s">
        <v>741</v>
      </c>
      <c r="D185" s="90" t="s">
        <v>741</v>
      </c>
      <c r="E185" s="90" t="s">
        <v>741</v>
      </c>
      <c r="F185" s="90" t="s">
        <v>741</v>
      </c>
    </row>
    <row r="186" spans="1:6" ht="14.25" customHeight="1">
      <c r="A186" s="1" t="s">
        <v>105</v>
      </c>
      <c r="B186" s="90"/>
      <c r="C186" s="89"/>
      <c r="D186" s="89" t="s">
        <v>1912</v>
      </c>
      <c r="E186" s="89"/>
      <c r="F186" s="89"/>
    </row>
    <row r="187" spans="1:6" ht="14.25" customHeight="1">
      <c r="A187" s="1" t="s">
        <v>105</v>
      </c>
      <c r="B187" s="90"/>
      <c r="C187" s="89"/>
      <c r="D187" s="89" t="s">
        <v>1913</v>
      </c>
      <c r="E187" s="89"/>
      <c r="F187" s="89"/>
    </row>
    <row r="188" spans="1:6" ht="14.25" customHeight="1">
      <c r="A188" s="1" t="s">
        <v>105</v>
      </c>
      <c r="B188" s="90"/>
      <c r="C188" s="89"/>
      <c r="D188" s="89" t="s">
        <v>1914</v>
      </c>
      <c r="E188" s="89"/>
      <c r="F188" s="89"/>
    </row>
    <row r="189" spans="1:6" ht="14.25" customHeight="1">
      <c r="A189" s="1" t="s">
        <v>105</v>
      </c>
      <c r="B189" s="90"/>
      <c r="C189" s="89"/>
      <c r="D189" s="89" t="s">
        <v>1915</v>
      </c>
      <c r="E189" s="89"/>
      <c r="F189" s="89"/>
    </row>
    <row r="190" spans="1:6" ht="14.25" customHeight="1">
      <c r="A190" s="1" t="s">
        <v>105</v>
      </c>
      <c r="B190" s="90" t="s">
        <v>1916</v>
      </c>
      <c r="C190" s="90" t="s">
        <v>742</v>
      </c>
      <c r="D190" s="90" t="s">
        <v>742</v>
      </c>
      <c r="E190" s="90" t="s">
        <v>742</v>
      </c>
      <c r="F190" s="90" t="s">
        <v>742</v>
      </c>
    </row>
    <row r="191" spans="1:6" ht="14.25" customHeight="1">
      <c r="A191" s="1" t="s">
        <v>105</v>
      </c>
      <c r="B191" s="90"/>
      <c r="C191" s="89"/>
      <c r="D191" s="89" t="s">
        <v>1917</v>
      </c>
      <c r="E191" s="89"/>
      <c r="F191" s="89"/>
    </row>
    <row r="192" spans="1:6" ht="14.25" customHeight="1">
      <c r="A192" s="1" t="s">
        <v>105</v>
      </c>
      <c r="B192" s="90"/>
      <c r="C192" s="89"/>
      <c r="D192" s="89" t="s">
        <v>1918</v>
      </c>
      <c r="E192" s="89"/>
      <c r="F192" s="89"/>
    </row>
    <row r="193" spans="1:6" ht="14.25" customHeight="1">
      <c r="A193" s="1" t="s">
        <v>105</v>
      </c>
      <c r="B193" s="90"/>
      <c r="C193" s="89"/>
      <c r="D193" s="89" t="s">
        <v>1919</v>
      </c>
      <c r="E193" s="89"/>
      <c r="F193" s="89"/>
    </row>
    <row r="194" spans="1:6" ht="14.25" customHeight="1">
      <c r="A194" s="1" t="s">
        <v>105</v>
      </c>
      <c r="B194" s="90"/>
      <c r="C194" s="89"/>
      <c r="D194" s="89" t="s">
        <v>1920</v>
      </c>
      <c r="E194" s="89"/>
      <c r="F194" s="89"/>
    </row>
    <row r="195" spans="1:6" ht="14.25" customHeight="1">
      <c r="A195" s="1" t="s">
        <v>105</v>
      </c>
      <c r="B195" s="90" t="s">
        <v>1916</v>
      </c>
      <c r="C195" s="90" t="s">
        <v>743</v>
      </c>
      <c r="D195" s="90" t="s">
        <v>743</v>
      </c>
      <c r="E195" s="90" t="s">
        <v>743</v>
      </c>
      <c r="F195" s="90" t="s">
        <v>743</v>
      </c>
    </row>
    <row r="196" spans="1:6" ht="14.25" customHeight="1">
      <c r="A196" s="1" t="s">
        <v>105</v>
      </c>
      <c r="B196" s="90"/>
      <c r="C196" s="89"/>
      <c r="D196" s="89" t="s">
        <v>1921</v>
      </c>
      <c r="E196" s="89"/>
      <c r="F196" s="89"/>
    </row>
    <row r="197" spans="1:6" ht="14.25" customHeight="1">
      <c r="A197" s="1" t="s">
        <v>105</v>
      </c>
      <c r="B197" s="90"/>
      <c r="C197" s="89"/>
      <c r="D197" s="89" t="s">
        <v>1922</v>
      </c>
      <c r="E197" s="89"/>
      <c r="F197" s="89"/>
    </row>
    <row r="198" spans="1:6" ht="14.25" customHeight="1">
      <c r="A198" s="1" t="s">
        <v>105</v>
      </c>
      <c r="B198" s="90"/>
      <c r="C198" s="89"/>
      <c r="D198" s="89" t="s">
        <v>1923</v>
      </c>
      <c r="E198" s="89"/>
      <c r="F198" s="89"/>
    </row>
    <row r="199" spans="1:6" ht="14.25" customHeight="1">
      <c r="A199" s="1" t="s">
        <v>105</v>
      </c>
      <c r="B199" s="90"/>
      <c r="C199" s="89"/>
      <c r="D199" s="89" t="s">
        <v>1924</v>
      </c>
      <c r="E199" s="89"/>
      <c r="F199" s="89"/>
    </row>
    <row r="200" spans="1:6" ht="14.25" customHeight="1">
      <c r="A200" s="1" t="s">
        <v>105</v>
      </c>
      <c r="B200" s="90" t="s">
        <v>1916</v>
      </c>
      <c r="C200" s="90" t="s">
        <v>744</v>
      </c>
      <c r="D200" s="90" t="s">
        <v>744</v>
      </c>
      <c r="E200" s="90" t="s">
        <v>744</v>
      </c>
      <c r="F200" s="90" t="s">
        <v>744</v>
      </c>
    </row>
    <row r="201" spans="1:6" ht="14.25" customHeight="1">
      <c r="A201" s="1" t="s">
        <v>105</v>
      </c>
      <c r="B201" s="90"/>
      <c r="C201" s="89"/>
      <c r="D201" s="89" t="s">
        <v>1925</v>
      </c>
      <c r="E201" s="89"/>
      <c r="F201" s="89"/>
    </row>
    <row r="202" spans="1:6" ht="14.25" customHeight="1">
      <c r="A202" s="1" t="s">
        <v>105</v>
      </c>
      <c r="B202" s="90"/>
      <c r="C202" s="89"/>
      <c r="D202" s="89" t="s">
        <v>1926</v>
      </c>
      <c r="E202" s="89"/>
      <c r="F202" s="89"/>
    </row>
    <row r="203" spans="1:6" ht="14.25" customHeight="1">
      <c r="A203" s="1" t="s">
        <v>105</v>
      </c>
      <c r="B203" s="90"/>
      <c r="C203" s="89"/>
      <c r="D203" s="89" t="s">
        <v>1927</v>
      </c>
      <c r="E203" s="89"/>
      <c r="F203" s="89"/>
    </row>
    <row r="204" spans="1:6" ht="14.25" customHeight="1">
      <c r="A204" s="1" t="s">
        <v>105</v>
      </c>
      <c r="B204" s="90"/>
      <c r="C204" s="89"/>
      <c r="D204" s="89" t="s">
        <v>1928</v>
      </c>
      <c r="E204" s="89"/>
      <c r="F204" s="89"/>
    </row>
    <row r="205" spans="1:6" ht="14.25" customHeight="1">
      <c r="A205" s="1" t="s">
        <v>105</v>
      </c>
      <c r="B205" s="90" t="s">
        <v>1929</v>
      </c>
      <c r="C205" s="90" t="s">
        <v>745</v>
      </c>
      <c r="D205" s="90" t="s">
        <v>745</v>
      </c>
      <c r="E205" s="90" t="s">
        <v>745</v>
      </c>
      <c r="F205" s="90" t="s">
        <v>745</v>
      </c>
    </row>
    <row r="206" spans="1:6" ht="14.25" customHeight="1">
      <c r="A206" s="1" t="s">
        <v>105</v>
      </c>
      <c r="B206" s="90"/>
      <c r="C206" s="89" t="str">
        <f t="shared" ref="C206:C207" si="4">D206</f>
        <v>PL35-1</v>
      </c>
      <c r="D206" s="89" t="s">
        <v>1930</v>
      </c>
      <c r="E206" s="89"/>
      <c r="F206" s="89"/>
    </row>
    <row r="207" spans="1:6" ht="14.25" customHeight="1">
      <c r="A207" s="1" t="s">
        <v>105</v>
      </c>
      <c r="B207" s="90"/>
      <c r="C207" s="89" t="str">
        <f t="shared" si="4"/>
        <v>PL35-2</v>
      </c>
      <c r="D207" s="89" t="s">
        <v>1931</v>
      </c>
      <c r="E207" s="89"/>
      <c r="F207" s="89"/>
    </row>
    <row r="208" spans="1:6" ht="14.25" customHeight="1">
      <c r="A208" s="1" t="s">
        <v>105</v>
      </c>
      <c r="B208" s="90"/>
      <c r="C208" s="89"/>
      <c r="D208" s="89" t="s">
        <v>1932</v>
      </c>
      <c r="E208" s="89"/>
      <c r="F208" s="89"/>
    </row>
    <row r="209" spans="1:6" ht="14.25" customHeight="1">
      <c r="A209" s="1" t="s">
        <v>105</v>
      </c>
      <c r="B209" s="90"/>
      <c r="C209" s="89"/>
      <c r="D209" s="89" t="s">
        <v>1933</v>
      </c>
      <c r="E209" s="89"/>
      <c r="F209" s="89"/>
    </row>
    <row r="210" spans="1:6" ht="14.25" customHeight="1">
      <c r="A210" s="1" t="s">
        <v>105</v>
      </c>
      <c r="B210" s="90"/>
      <c r="C210" s="89"/>
      <c r="D210" s="89" t="s">
        <v>1934</v>
      </c>
      <c r="E210" s="89"/>
      <c r="F210" s="89"/>
    </row>
    <row r="211" spans="1:6" ht="14.25" customHeight="1">
      <c r="A211" s="1" t="s">
        <v>105</v>
      </c>
      <c r="B211" s="90"/>
      <c r="C211" s="89"/>
      <c r="D211" s="89" t="s">
        <v>1935</v>
      </c>
      <c r="E211" s="89"/>
      <c r="F211" s="89"/>
    </row>
    <row r="212" spans="1:6" ht="14.25" customHeight="1">
      <c r="A212" s="1" t="s">
        <v>105</v>
      </c>
      <c r="B212" s="90" t="s">
        <v>1936</v>
      </c>
      <c r="C212" s="90" t="s">
        <v>748</v>
      </c>
      <c r="D212" s="90" t="s">
        <v>748</v>
      </c>
      <c r="E212" s="90" t="s">
        <v>748</v>
      </c>
      <c r="F212" s="90" t="s">
        <v>748</v>
      </c>
    </row>
    <row r="213" spans="1:6" ht="14.25" customHeight="1">
      <c r="A213" s="1" t="s">
        <v>105</v>
      </c>
      <c r="B213" s="90"/>
      <c r="C213" s="89" t="str">
        <f t="shared" ref="C213:C214" si="5">D213</f>
        <v>PL36-1</v>
      </c>
      <c r="D213" s="89" t="s">
        <v>1937</v>
      </c>
      <c r="E213" s="89"/>
      <c r="F213" s="89"/>
    </row>
    <row r="214" spans="1:6" ht="14.25" customHeight="1">
      <c r="A214" s="1" t="s">
        <v>105</v>
      </c>
      <c r="B214" s="90"/>
      <c r="C214" s="89" t="str">
        <f t="shared" si="5"/>
        <v>PL36-2</v>
      </c>
      <c r="D214" s="89" t="s">
        <v>1938</v>
      </c>
      <c r="E214" s="89"/>
      <c r="F214" s="89"/>
    </row>
    <row r="215" spans="1:6" ht="14.25" customHeight="1">
      <c r="A215" s="1" t="s">
        <v>105</v>
      </c>
      <c r="B215" s="90"/>
      <c r="C215" s="89"/>
      <c r="D215" s="89" t="s">
        <v>1939</v>
      </c>
      <c r="E215" s="89"/>
      <c r="F215" s="89"/>
    </row>
    <row r="216" spans="1:6" ht="14.25" customHeight="1">
      <c r="A216" s="1" t="s">
        <v>105</v>
      </c>
      <c r="B216" s="90"/>
      <c r="C216" s="89"/>
      <c r="D216" s="89" t="s">
        <v>1940</v>
      </c>
      <c r="E216" s="89"/>
      <c r="F216" s="89"/>
    </row>
    <row r="217" spans="1:6" ht="14.25" customHeight="1">
      <c r="A217" s="1" t="s">
        <v>105</v>
      </c>
      <c r="B217" s="90"/>
      <c r="C217" s="89"/>
      <c r="D217" s="89" t="s">
        <v>1941</v>
      </c>
      <c r="E217" s="89"/>
      <c r="F217" s="89"/>
    </row>
    <row r="218" spans="1:6" ht="14.25" customHeight="1">
      <c r="A218" s="1" t="s">
        <v>105</v>
      </c>
      <c r="B218" s="90"/>
      <c r="C218" s="89"/>
      <c r="D218" s="89" t="s">
        <v>1942</v>
      </c>
      <c r="E218" s="89"/>
      <c r="F218" s="89"/>
    </row>
    <row r="219" spans="1:6" ht="14.25" customHeight="1">
      <c r="A219" s="1" t="s">
        <v>105</v>
      </c>
      <c r="B219" s="90" t="s">
        <v>1943</v>
      </c>
      <c r="C219" s="90" t="s">
        <v>749</v>
      </c>
      <c r="D219" s="90" t="s">
        <v>749</v>
      </c>
      <c r="E219" s="90" t="s">
        <v>749</v>
      </c>
      <c r="F219" s="90" t="s">
        <v>749</v>
      </c>
    </row>
    <row r="220" spans="1:6" ht="14.25" customHeight="1">
      <c r="A220" s="1" t="s">
        <v>105</v>
      </c>
      <c r="B220" s="90"/>
      <c r="C220" s="89"/>
      <c r="D220" s="89" t="s">
        <v>1944</v>
      </c>
      <c r="E220" s="89"/>
      <c r="F220" s="89"/>
    </row>
    <row r="221" spans="1:6" ht="14.25" customHeight="1">
      <c r="A221" s="1" t="s">
        <v>105</v>
      </c>
      <c r="B221" s="90"/>
      <c r="C221" s="89"/>
      <c r="D221" s="89" t="s">
        <v>1945</v>
      </c>
      <c r="E221" s="89"/>
      <c r="F221" s="89"/>
    </row>
    <row r="222" spans="1:6" ht="14.25" customHeight="1">
      <c r="A222" s="1" t="s">
        <v>105</v>
      </c>
      <c r="B222" s="90"/>
      <c r="C222" s="89"/>
      <c r="D222" s="89" t="s">
        <v>1946</v>
      </c>
      <c r="E222" s="89"/>
      <c r="F222" s="89"/>
    </row>
    <row r="223" spans="1:6" ht="14.25" customHeight="1">
      <c r="A223" s="1" t="s">
        <v>105</v>
      </c>
      <c r="B223" s="90"/>
      <c r="C223" s="89"/>
      <c r="D223" s="89" t="s">
        <v>1947</v>
      </c>
      <c r="E223" s="89"/>
      <c r="F223" s="89"/>
    </row>
    <row r="224" spans="1:6" ht="14.25" customHeight="1">
      <c r="A224" s="1" t="s">
        <v>105</v>
      </c>
      <c r="B224" s="90" t="s">
        <v>1943</v>
      </c>
      <c r="C224" s="90" t="s">
        <v>750</v>
      </c>
      <c r="D224" s="90" t="s">
        <v>750</v>
      </c>
      <c r="E224" s="90" t="s">
        <v>750</v>
      </c>
      <c r="F224" s="90" t="s">
        <v>750</v>
      </c>
    </row>
    <row r="225" spans="1:6" ht="14.25" customHeight="1">
      <c r="A225" s="1" t="s">
        <v>105</v>
      </c>
      <c r="B225" s="90"/>
      <c r="C225" s="89"/>
      <c r="D225" s="89" t="s">
        <v>1948</v>
      </c>
      <c r="E225" s="89"/>
      <c r="F225" s="89"/>
    </row>
    <row r="226" spans="1:6" ht="14.25" customHeight="1">
      <c r="A226" s="1" t="s">
        <v>105</v>
      </c>
      <c r="B226" s="90"/>
      <c r="C226" s="89"/>
      <c r="D226" s="89" t="s">
        <v>1949</v>
      </c>
      <c r="E226" s="89"/>
      <c r="F226" s="89"/>
    </row>
    <row r="227" spans="1:6" ht="14.25" customHeight="1">
      <c r="A227" s="1" t="s">
        <v>105</v>
      </c>
      <c r="B227" s="90"/>
      <c r="C227" s="89"/>
      <c r="D227" s="89" t="s">
        <v>1950</v>
      </c>
      <c r="E227" s="89"/>
      <c r="F227" s="89"/>
    </row>
    <row r="228" spans="1:6" ht="14.25" customHeight="1">
      <c r="A228" s="1" t="s">
        <v>105</v>
      </c>
      <c r="B228" s="90"/>
      <c r="C228" s="89"/>
      <c r="D228" s="89" t="s">
        <v>1951</v>
      </c>
      <c r="E228" s="89"/>
      <c r="F228" s="89"/>
    </row>
    <row r="229" spans="1:6" ht="14.25" customHeight="1">
      <c r="A229" s="1" t="s">
        <v>105</v>
      </c>
      <c r="B229" s="90" t="s">
        <v>1943</v>
      </c>
      <c r="C229" s="90" t="s">
        <v>751</v>
      </c>
      <c r="D229" s="90" t="s">
        <v>751</v>
      </c>
      <c r="E229" s="90" t="s">
        <v>751</v>
      </c>
      <c r="F229" s="90" t="s">
        <v>751</v>
      </c>
    </row>
    <row r="230" spans="1:6" ht="14.25" customHeight="1">
      <c r="A230" s="1" t="s">
        <v>105</v>
      </c>
      <c r="B230" s="90"/>
      <c r="C230" s="89"/>
      <c r="D230" s="89" t="s">
        <v>1952</v>
      </c>
      <c r="E230" s="89"/>
      <c r="F230" s="89"/>
    </row>
    <row r="231" spans="1:6" ht="14.25" customHeight="1">
      <c r="A231" s="1" t="s">
        <v>105</v>
      </c>
      <c r="B231" s="90"/>
      <c r="C231" s="89"/>
      <c r="D231" s="89" t="s">
        <v>1953</v>
      </c>
      <c r="E231" s="89"/>
      <c r="F231" s="89"/>
    </row>
    <row r="232" spans="1:6" ht="14.25" customHeight="1">
      <c r="A232" s="1" t="s">
        <v>105</v>
      </c>
      <c r="B232" s="90"/>
      <c r="C232" s="89"/>
      <c r="D232" s="89" t="s">
        <v>1954</v>
      </c>
      <c r="E232" s="89"/>
      <c r="F232" s="89"/>
    </row>
    <row r="233" spans="1:6" ht="14.25" customHeight="1">
      <c r="A233" s="1" t="s">
        <v>105</v>
      </c>
      <c r="B233" s="90"/>
      <c r="C233" s="89"/>
      <c r="D233" s="89" t="s">
        <v>1955</v>
      </c>
      <c r="E233" s="89"/>
      <c r="F233" s="89"/>
    </row>
    <row r="234" spans="1:6" ht="14.25" customHeight="1">
      <c r="A234" s="1" t="s">
        <v>105</v>
      </c>
      <c r="B234" s="90" t="s">
        <v>1943</v>
      </c>
      <c r="C234" s="90" t="s">
        <v>752</v>
      </c>
      <c r="D234" s="90" t="s">
        <v>752</v>
      </c>
      <c r="E234" s="90" t="s">
        <v>752</v>
      </c>
      <c r="F234" s="90" t="s">
        <v>752</v>
      </c>
    </row>
    <row r="235" spans="1:6" ht="14.25" customHeight="1">
      <c r="A235" s="1" t="s">
        <v>105</v>
      </c>
      <c r="B235" s="90"/>
      <c r="C235" s="89"/>
      <c r="D235" s="89" t="s">
        <v>1956</v>
      </c>
      <c r="E235" s="89"/>
      <c r="F235" s="89"/>
    </row>
    <row r="236" spans="1:6" ht="14.25" customHeight="1">
      <c r="A236" s="1" t="s">
        <v>105</v>
      </c>
      <c r="B236" s="90"/>
      <c r="C236" s="89"/>
      <c r="D236" s="89" t="s">
        <v>1957</v>
      </c>
      <c r="E236" s="89"/>
      <c r="F236" s="89"/>
    </row>
    <row r="237" spans="1:6" ht="14.25" customHeight="1">
      <c r="A237" s="1" t="s">
        <v>105</v>
      </c>
      <c r="B237" s="90"/>
      <c r="C237" s="89"/>
      <c r="D237" s="89" t="s">
        <v>1958</v>
      </c>
      <c r="E237" s="89"/>
      <c r="F237" s="89"/>
    </row>
    <row r="238" spans="1:6" ht="14.25" customHeight="1">
      <c r="A238" s="1" t="s">
        <v>105</v>
      </c>
      <c r="B238" s="90"/>
      <c r="C238" s="89"/>
      <c r="D238" s="89" t="s">
        <v>1959</v>
      </c>
      <c r="E238" s="89"/>
      <c r="F238" s="89"/>
    </row>
    <row r="239" spans="1:6" ht="14.25" customHeight="1">
      <c r="A239" s="1" t="s">
        <v>105</v>
      </c>
      <c r="B239" s="90" t="s">
        <v>1943</v>
      </c>
      <c r="C239" s="90" t="s">
        <v>753</v>
      </c>
      <c r="D239" s="90" t="s">
        <v>753</v>
      </c>
      <c r="E239" s="90" t="s">
        <v>753</v>
      </c>
      <c r="F239" s="90" t="s">
        <v>753</v>
      </c>
    </row>
    <row r="240" spans="1:6" ht="14.25" customHeight="1">
      <c r="A240" s="1" t="s">
        <v>105</v>
      </c>
      <c r="B240" s="90"/>
      <c r="C240" s="89"/>
      <c r="D240" s="89" t="s">
        <v>1960</v>
      </c>
      <c r="E240" s="89"/>
      <c r="F240" s="89"/>
    </row>
    <row r="241" spans="1:6" ht="14.25" customHeight="1">
      <c r="A241" s="1" t="s">
        <v>105</v>
      </c>
      <c r="B241" s="90"/>
      <c r="C241" s="89"/>
      <c r="D241" s="89" t="s">
        <v>1961</v>
      </c>
      <c r="E241" s="89"/>
      <c r="F241" s="89"/>
    </row>
    <row r="242" spans="1:6" ht="14.25" customHeight="1">
      <c r="A242" s="1" t="s">
        <v>105</v>
      </c>
      <c r="B242" s="90"/>
      <c r="C242" s="89"/>
      <c r="D242" s="89" t="s">
        <v>1962</v>
      </c>
      <c r="E242" s="89"/>
      <c r="F242" s="89"/>
    </row>
    <row r="243" spans="1:6" ht="14.25" customHeight="1">
      <c r="A243" s="1" t="s">
        <v>105</v>
      </c>
      <c r="B243" s="90"/>
      <c r="C243" s="89"/>
      <c r="D243" s="89" t="s">
        <v>1963</v>
      </c>
      <c r="E243" s="89"/>
      <c r="F243" s="89"/>
    </row>
    <row r="244" spans="1:6" ht="14.25" customHeight="1">
      <c r="A244" s="1" t="s">
        <v>105</v>
      </c>
      <c r="B244" s="90" t="s">
        <v>1964</v>
      </c>
      <c r="C244" s="90" t="s">
        <v>754</v>
      </c>
      <c r="D244" s="90" t="s">
        <v>754</v>
      </c>
      <c r="E244" s="90" t="s">
        <v>754</v>
      </c>
      <c r="F244" s="90" t="s">
        <v>754</v>
      </c>
    </row>
    <row r="245" spans="1:6" ht="14.25" customHeight="1">
      <c r="A245" s="1" t="s">
        <v>105</v>
      </c>
      <c r="B245" s="90"/>
      <c r="C245" s="89"/>
      <c r="D245" s="89" t="s">
        <v>1965</v>
      </c>
      <c r="E245" s="89"/>
      <c r="F245" s="89"/>
    </row>
    <row r="246" spans="1:6" ht="14.25" customHeight="1">
      <c r="A246" s="1" t="s">
        <v>105</v>
      </c>
      <c r="B246" s="90"/>
      <c r="C246" s="89"/>
      <c r="D246" s="89" t="s">
        <v>1966</v>
      </c>
      <c r="E246" s="89"/>
      <c r="F246" s="89"/>
    </row>
    <row r="247" spans="1:6" ht="14.25" customHeight="1">
      <c r="A247" s="1" t="s">
        <v>105</v>
      </c>
      <c r="B247" s="90"/>
      <c r="C247" s="89"/>
      <c r="D247" s="89" t="s">
        <v>1967</v>
      </c>
      <c r="E247" s="89"/>
      <c r="F247" s="89"/>
    </row>
    <row r="248" spans="1:6" ht="14.25" customHeight="1">
      <c r="A248" s="1" t="s">
        <v>105</v>
      </c>
      <c r="B248" s="90"/>
      <c r="C248" s="89"/>
      <c r="D248" s="89" t="s">
        <v>1968</v>
      </c>
      <c r="E248" s="89"/>
      <c r="F248" s="89"/>
    </row>
    <row r="249" spans="1:6" ht="14.25" customHeight="1">
      <c r="A249" s="1" t="s">
        <v>105</v>
      </c>
      <c r="B249" s="90" t="s">
        <v>1964</v>
      </c>
      <c r="C249" s="90" t="s">
        <v>755</v>
      </c>
      <c r="D249" s="90" t="s">
        <v>755</v>
      </c>
      <c r="E249" s="90" t="s">
        <v>755</v>
      </c>
      <c r="F249" s="90" t="s">
        <v>755</v>
      </c>
    </row>
    <row r="250" spans="1:6" ht="14.25" customHeight="1">
      <c r="A250" s="1" t="s">
        <v>105</v>
      </c>
      <c r="B250" s="90"/>
      <c r="C250" s="89"/>
      <c r="D250" s="89" t="s">
        <v>1969</v>
      </c>
      <c r="E250" s="89"/>
      <c r="F250" s="89"/>
    </row>
    <row r="251" spans="1:6" ht="14.25" customHeight="1">
      <c r="A251" s="1" t="s">
        <v>105</v>
      </c>
      <c r="B251" s="90"/>
      <c r="C251" s="89"/>
      <c r="D251" s="89" t="s">
        <v>1970</v>
      </c>
      <c r="E251" s="89"/>
      <c r="F251" s="89"/>
    </row>
    <row r="252" spans="1:6" ht="14.25" customHeight="1">
      <c r="A252" s="1" t="s">
        <v>105</v>
      </c>
      <c r="B252" s="90"/>
      <c r="C252" s="89"/>
      <c r="D252" s="89" t="s">
        <v>1971</v>
      </c>
      <c r="E252" s="89"/>
      <c r="F252" s="89"/>
    </row>
    <row r="253" spans="1:6" ht="14.25" customHeight="1">
      <c r="A253" s="1" t="s">
        <v>105</v>
      </c>
      <c r="B253" s="90"/>
      <c r="C253" s="89"/>
      <c r="D253" s="89" t="s">
        <v>1972</v>
      </c>
      <c r="E253" s="89"/>
      <c r="F253" s="89"/>
    </row>
    <row r="254" spans="1:6" ht="14.25" customHeight="1">
      <c r="A254" s="1" t="s">
        <v>105</v>
      </c>
      <c r="B254" s="90" t="s">
        <v>1964</v>
      </c>
      <c r="C254" s="90" t="s">
        <v>756</v>
      </c>
      <c r="D254" s="90" t="s">
        <v>756</v>
      </c>
      <c r="E254" s="90" t="s">
        <v>756</v>
      </c>
      <c r="F254" s="90" t="s">
        <v>756</v>
      </c>
    </row>
    <row r="255" spans="1:6" ht="14.25" customHeight="1">
      <c r="A255" s="1" t="s">
        <v>105</v>
      </c>
      <c r="B255" s="90"/>
      <c r="C255" s="89"/>
      <c r="D255" s="89" t="s">
        <v>1973</v>
      </c>
      <c r="E255" s="89"/>
      <c r="F255" s="89"/>
    </row>
    <row r="256" spans="1:6" ht="14.25" customHeight="1">
      <c r="A256" s="1" t="s">
        <v>105</v>
      </c>
      <c r="B256" s="90"/>
      <c r="C256" s="89"/>
      <c r="D256" s="89" t="s">
        <v>1974</v>
      </c>
      <c r="E256" s="89"/>
      <c r="F256" s="89"/>
    </row>
    <row r="257" spans="1:6" ht="14.25" customHeight="1">
      <c r="A257" s="1" t="s">
        <v>105</v>
      </c>
      <c r="B257" s="90"/>
      <c r="C257" s="89"/>
      <c r="D257" s="89" t="s">
        <v>1975</v>
      </c>
      <c r="E257" s="89"/>
      <c r="F257" s="89"/>
    </row>
    <row r="258" spans="1:6" ht="14.25" customHeight="1">
      <c r="A258" s="1" t="s">
        <v>105</v>
      </c>
      <c r="B258" s="90"/>
      <c r="C258" s="89"/>
      <c r="D258" s="89" t="s">
        <v>1976</v>
      </c>
      <c r="E258" s="89"/>
      <c r="F258" s="89"/>
    </row>
    <row r="259" spans="1:6" ht="14.25" customHeight="1">
      <c r="A259" s="1" t="s">
        <v>105</v>
      </c>
      <c r="B259" s="90" t="s">
        <v>1964</v>
      </c>
      <c r="C259" s="90" t="s">
        <v>757</v>
      </c>
      <c r="D259" s="90" t="s">
        <v>757</v>
      </c>
      <c r="E259" s="90" t="s">
        <v>757</v>
      </c>
      <c r="F259" s="90" t="s">
        <v>757</v>
      </c>
    </row>
    <row r="260" spans="1:6" ht="14.25" customHeight="1">
      <c r="A260" s="1" t="s">
        <v>105</v>
      </c>
      <c r="B260" s="90"/>
      <c r="C260" s="89"/>
      <c r="D260" s="89" t="s">
        <v>1977</v>
      </c>
      <c r="E260" s="89"/>
      <c r="F260" s="89"/>
    </row>
    <row r="261" spans="1:6" ht="14.25" customHeight="1">
      <c r="A261" s="1" t="s">
        <v>105</v>
      </c>
      <c r="B261" s="90"/>
      <c r="C261" s="89"/>
      <c r="D261" s="89" t="s">
        <v>1978</v>
      </c>
      <c r="E261" s="89"/>
      <c r="F261" s="89"/>
    </row>
    <row r="262" spans="1:6" ht="14.25" customHeight="1">
      <c r="A262" s="1" t="s">
        <v>105</v>
      </c>
      <c r="B262" s="90"/>
      <c r="C262" s="89"/>
      <c r="D262" s="89" t="s">
        <v>1979</v>
      </c>
      <c r="E262" s="89"/>
      <c r="F262" s="89"/>
    </row>
    <row r="263" spans="1:6" ht="14.25" customHeight="1">
      <c r="A263" s="1" t="s">
        <v>105</v>
      </c>
      <c r="B263" s="90"/>
      <c r="C263" s="89"/>
      <c r="D263" s="89" t="s">
        <v>1980</v>
      </c>
      <c r="E263" s="89"/>
      <c r="F263" s="89"/>
    </row>
    <row r="264" spans="1:6" ht="14.25" customHeight="1">
      <c r="A264" s="1" t="s">
        <v>105</v>
      </c>
      <c r="B264" s="90" t="s">
        <v>1981</v>
      </c>
      <c r="C264" s="90" t="s">
        <v>758</v>
      </c>
      <c r="D264" s="90" t="s">
        <v>758</v>
      </c>
      <c r="E264" s="90" t="s">
        <v>758</v>
      </c>
      <c r="F264" s="90" t="s">
        <v>758</v>
      </c>
    </row>
    <row r="265" spans="1:6" ht="14.25" customHeight="1">
      <c r="A265" s="1" t="s">
        <v>105</v>
      </c>
      <c r="B265" s="90"/>
      <c r="C265" s="89"/>
      <c r="D265" s="89" t="s">
        <v>1982</v>
      </c>
      <c r="E265" s="89"/>
      <c r="F265" s="89"/>
    </row>
    <row r="266" spans="1:6" ht="14.25" customHeight="1">
      <c r="A266" s="1" t="s">
        <v>105</v>
      </c>
      <c r="B266" s="90"/>
      <c r="C266" s="89"/>
      <c r="D266" s="89" t="s">
        <v>1983</v>
      </c>
      <c r="E266" s="89"/>
      <c r="F266" s="89"/>
    </row>
    <row r="267" spans="1:6" ht="14.25" customHeight="1">
      <c r="A267" s="1" t="s">
        <v>105</v>
      </c>
      <c r="B267" s="90"/>
      <c r="C267" s="89"/>
      <c r="D267" s="89" t="s">
        <v>1984</v>
      </c>
      <c r="E267" s="89"/>
      <c r="F267" s="89"/>
    </row>
    <row r="268" spans="1:6" ht="14.25" customHeight="1">
      <c r="A268" s="1" t="s">
        <v>105</v>
      </c>
      <c r="B268" s="90"/>
      <c r="C268" s="89"/>
      <c r="D268" s="89" t="s">
        <v>1985</v>
      </c>
      <c r="E268" s="89"/>
      <c r="F268" s="89"/>
    </row>
    <row r="269" spans="1:6" ht="14.25" customHeight="1">
      <c r="A269" s="1" t="s">
        <v>105</v>
      </c>
      <c r="B269" s="90" t="s">
        <v>1981</v>
      </c>
      <c r="C269" s="90" t="s">
        <v>759</v>
      </c>
      <c r="D269" s="90" t="s">
        <v>759</v>
      </c>
      <c r="E269" s="90" t="s">
        <v>759</v>
      </c>
      <c r="F269" s="90" t="s">
        <v>759</v>
      </c>
    </row>
    <row r="270" spans="1:6" ht="14.25" customHeight="1">
      <c r="A270" s="1" t="s">
        <v>105</v>
      </c>
      <c r="B270" s="90"/>
      <c r="C270" s="89"/>
      <c r="D270" s="89" t="s">
        <v>1986</v>
      </c>
      <c r="E270" s="89"/>
      <c r="F270" s="89"/>
    </row>
    <row r="271" spans="1:6" ht="14.25" customHeight="1">
      <c r="A271" s="1" t="s">
        <v>105</v>
      </c>
      <c r="B271" s="90"/>
      <c r="C271" s="89"/>
      <c r="D271" s="89" t="s">
        <v>1987</v>
      </c>
      <c r="E271" s="89"/>
      <c r="F271" s="89"/>
    </row>
    <row r="272" spans="1:6" ht="14.25" customHeight="1">
      <c r="A272" s="1" t="s">
        <v>105</v>
      </c>
      <c r="B272" s="90"/>
      <c r="C272" s="89"/>
      <c r="D272" s="89" t="s">
        <v>1988</v>
      </c>
      <c r="E272" s="89"/>
      <c r="F272" s="89"/>
    </row>
    <row r="273" spans="1:6" ht="14.25" customHeight="1">
      <c r="A273" s="1" t="s">
        <v>105</v>
      </c>
      <c r="B273" s="90"/>
      <c r="C273" s="89"/>
      <c r="D273" s="89" t="s">
        <v>1989</v>
      </c>
      <c r="E273" s="89"/>
      <c r="F273" s="89"/>
    </row>
    <row r="274" spans="1:6" ht="14.25" customHeight="1">
      <c r="A274" s="1" t="s">
        <v>105</v>
      </c>
      <c r="B274" s="90" t="s">
        <v>1981</v>
      </c>
      <c r="C274" s="90" t="s">
        <v>760</v>
      </c>
      <c r="D274" s="90" t="s">
        <v>760</v>
      </c>
      <c r="E274" s="90" t="s">
        <v>760</v>
      </c>
      <c r="F274" s="90" t="s">
        <v>760</v>
      </c>
    </row>
    <row r="275" spans="1:6" ht="14.25" customHeight="1">
      <c r="A275" s="1" t="s">
        <v>105</v>
      </c>
      <c r="B275" s="90"/>
      <c r="C275" s="89"/>
      <c r="D275" s="89" t="s">
        <v>1990</v>
      </c>
      <c r="E275" s="89"/>
      <c r="F275" s="89"/>
    </row>
    <row r="276" spans="1:6" ht="14.25" customHeight="1">
      <c r="A276" s="1" t="s">
        <v>105</v>
      </c>
      <c r="B276" s="90"/>
      <c r="C276" s="89"/>
      <c r="D276" s="89" t="s">
        <v>1991</v>
      </c>
      <c r="E276" s="89"/>
      <c r="F276" s="89"/>
    </row>
    <row r="277" spans="1:6" ht="14.25" customHeight="1">
      <c r="A277" s="1" t="s">
        <v>105</v>
      </c>
      <c r="B277" s="90"/>
      <c r="C277" s="89"/>
      <c r="D277" s="89" t="s">
        <v>1992</v>
      </c>
      <c r="E277" s="89"/>
      <c r="F277" s="89"/>
    </row>
    <row r="278" spans="1:6" ht="14.25" customHeight="1">
      <c r="A278" s="1" t="s">
        <v>105</v>
      </c>
      <c r="B278" s="90"/>
      <c r="C278" s="89"/>
      <c r="D278" s="89" t="s">
        <v>1993</v>
      </c>
      <c r="E278" s="89"/>
      <c r="F278" s="89"/>
    </row>
    <row r="279" spans="1:6" ht="14.25" customHeight="1">
      <c r="A279" s="1" t="s">
        <v>105</v>
      </c>
      <c r="B279" s="90" t="s">
        <v>1981</v>
      </c>
      <c r="C279" s="90" t="s">
        <v>761</v>
      </c>
      <c r="D279" s="90" t="s">
        <v>761</v>
      </c>
      <c r="E279" s="90" t="s">
        <v>761</v>
      </c>
      <c r="F279" s="90" t="s">
        <v>761</v>
      </c>
    </row>
    <row r="280" spans="1:6" ht="14.25" customHeight="1">
      <c r="A280" s="1" t="s">
        <v>105</v>
      </c>
      <c r="B280" s="90"/>
      <c r="C280" s="89"/>
      <c r="D280" s="89" t="s">
        <v>1994</v>
      </c>
      <c r="E280" s="89"/>
      <c r="F280" s="89"/>
    </row>
    <row r="281" spans="1:6" ht="14.25" customHeight="1">
      <c r="A281" s="1" t="s">
        <v>105</v>
      </c>
      <c r="B281" s="90"/>
      <c r="C281" s="89"/>
      <c r="D281" s="89" t="s">
        <v>1995</v>
      </c>
      <c r="E281" s="89"/>
      <c r="F281" s="89"/>
    </row>
    <row r="282" spans="1:6" ht="14.25" customHeight="1">
      <c r="A282" s="1" t="s">
        <v>105</v>
      </c>
      <c r="B282" s="90"/>
      <c r="C282" s="89"/>
      <c r="D282" s="89" t="s">
        <v>1996</v>
      </c>
      <c r="E282" s="89"/>
      <c r="F282" s="89"/>
    </row>
    <row r="283" spans="1:6" ht="14.25" customHeight="1">
      <c r="A283" s="1" t="s">
        <v>105</v>
      </c>
      <c r="B283" s="90"/>
      <c r="C283" s="89"/>
      <c r="D283" s="89" t="s">
        <v>1997</v>
      </c>
      <c r="E283" s="89"/>
      <c r="F283" s="89"/>
    </row>
    <row r="284" spans="1:6" ht="14.25" customHeight="1">
      <c r="A284" s="1" t="s">
        <v>105</v>
      </c>
      <c r="B284" s="90" t="s">
        <v>1998</v>
      </c>
      <c r="C284" s="90" t="s">
        <v>762</v>
      </c>
      <c r="D284" s="90" t="s">
        <v>762</v>
      </c>
      <c r="E284" s="90" t="s">
        <v>762</v>
      </c>
      <c r="F284" s="90" t="s">
        <v>762</v>
      </c>
    </row>
    <row r="285" spans="1:6" ht="14.25" customHeight="1">
      <c r="A285" s="1" t="s">
        <v>105</v>
      </c>
      <c r="B285" s="90"/>
      <c r="C285" s="89"/>
      <c r="D285" s="89" t="s">
        <v>1999</v>
      </c>
      <c r="E285" s="89"/>
      <c r="F285" s="89"/>
    </row>
    <row r="286" spans="1:6" ht="14.25" customHeight="1">
      <c r="A286" s="1" t="s">
        <v>105</v>
      </c>
      <c r="B286" s="90"/>
      <c r="C286" s="89"/>
      <c r="D286" s="89" t="s">
        <v>2000</v>
      </c>
      <c r="E286" s="89"/>
      <c r="F286" s="89"/>
    </row>
    <row r="287" spans="1:6" ht="14.25" customHeight="1">
      <c r="A287" s="1" t="s">
        <v>105</v>
      </c>
      <c r="B287" s="90"/>
      <c r="C287" s="89"/>
      <c r="D287" s="89" t="s">
        <v>2001</v>
      </c>
      <c r="E287" s="89"/>
      <c r="F287" s="89"/>
    </row>
    <row r="288" spans="1:6" ht="14.25" customHeight="1">
      <c r="A288" s="1" t="s">
        <v>105</v>
      </c>
      <c r="B288" s="90"/>
      <c r="C288" s="89"/>
      <c r="D288" s="89" t="s">
        <v>2002</v>
      </c>
      <c r="E288" s="89"/>
      <c r="F288" s="89"/>
    </row>
    <row r="289" spans="1:6" ht="14.25" customHeight="1">
      <c r="A289" s="1" t="s">
        <v>105</v>
      </c>
      <c r="B289" s="90" t="s">
        <v>1998</v>
      </c>
      <c r="C289" s="90" t="s">
        <v>763</v>
      </c>
      <c r="D289" s="90" t="s">
        <v>763</v>
      </c>
      <c r="E289" s="90" t="s">
        <v>763</v>
      </c>
      <c r="F289" s="90" t="s">
        <v>763</v>
      </c>
    </row>
    <row r="290" spans="1:6" ht="14.25" customHeight="1">
      <c r="A290" s="1" t="s">
        <v>105</v>
      </c>
      <c r="B290" s="90"/>
      <c r="C290" s="89"/>
      <c r="D290" s="89" t="s">
        <v>2003</v>
      </c>
      <c r="E290" s="89"/>
      <c r="F290" s="89"/>
    </row>
    <row r="291" spans="1:6" ht="14.25" customHeight="1">
      <c r="A291" s="1" t="s">
        <v>105</v>
      </c>
      <c r="B291" s="90"/>
      <c r="C291" s="89"/>
      <c r="D291" s="89" t="s">
        <v>2004</v>
      </c>
      <c r="E291" s="89"/>
      <c r="F291" s="89"/>
    </row>
    <row r="292" spans="1:6" ht="14.25" customHeight="1">
      <c r="A292" s="1" t="s">
        <v>105</v>
      </c>
      <c r="B292" s="90"/>
      <c r="C292" s="89"/>
      <c r="D292" s="89" t="s">
        <v>2005</v>
      </c>
      <c r="E292" s="89"/>
      <c r="F292" s="89"/>
    </row>
    <row r="293" spans="1:6" ht="14.25" customHeight="1">
      <c r="A293" s="1" t="s">
        <v>105</v>
      </c>
      <c r="B293" s="90"/>
      <c r="C293" s="89"/>
      <c r="D293" s="89" t="s">
        <v>2006</v>
      </c>
      <c r="E293" s="89"/>
      <c r="F293" s="89"/>
    </row>
    <row r="294" spans="1:6" ht="14.25" customHeight="1">
      <c r="A294" s="1" t="s">
        <v>105</v>
      </c>
      <c r="B294" s="90" t="s">
        <v>1998</v>
      </c>
      <c r="C294" s="90" t="s">
        <v>764</v>
      </c>
      <c r="D294" s="90" t="s">
        <v>764</v>
      </c>
      <c r="E294" s="90" t="s">
        <v>764</v>
      </c>
      <c r="F294" s="90" t="s">
        <v>764</v>
      </c>
    </row>
    <row r="295" spans="1:6" ht="14.25" customHeight="1">
      <c r="A295" s="1" t="s">
        <v>105</v>
      </c>
      <c r="B295" s="90"/>
      <c r="C295" s="89"/>
      <c r="D295" s="89" t="s">
        <v>2007</v>
      </c>
      <c r="E295" s="89"/>
      <c r="F295" s="89"/>
    </row>
    <row r="296" spans="1:6" ht="14.25" customHeight="1">
      <c r="A296" s="1" t="s">
        <v>105</v>
      </c>
      <c r="B296" s="90"/>
      <c r="C296" s="89"/>
      <c r="D296" s="89" t="s">
        <v>2008</v>
      </c>
      <c r="E296" s="89"/>
      <c r="F296" s="89"/>
    </row>
    <row r="297" spans="1:6" ht="14.25" customHeight="1">
      <c r="A297" s="1" t="s">
        <v>105</v>
      </c>
      <c r="B297" s="90"/>
      <c r="C297" s="89"/>
      <c r="D297" s="89" t="s">
        <v>2009</v>
      </c>
      <c r="E297" s="89"/>
      <c r="F297" s="89"/>
    </row>
    <row r="298" spans="1:6" ht="14.25" customHeight="1">
      <c r="A298" s="1" t="s">
        <v>105</v>
      </c>
      <c r="B298" s="90"/>
      <c r="C298" s="89"/>
      <c r="D298" s="89" t="s">
        <v>2010</v>
      </c>
      <c r="E298" s="89"/>
      <c r="F298" s="89"/>
    </row>
    <row r="299" spans="1:6" ht="14.25" customHeight="1">
      <c r="A299" s="1" t="s">
        <v>105</v>
      </c>
      <c r="B299" s="90" t="s">
        <v>1998</v>
      </c>
      <c r="C299" s="90" t="s">
        <v>765</v>
      </c>
      <c r="D299" s="90" t="s">
        <v>765</v>
      </c>
      <c r="E299" s="90" t="s">
        <v>765</v>
      </c>
      <c r="F299" s="90" t="s">
        <v>765</v>
      </c>
    </row>
    <row r="300" spans="1:6" ht="14.25" customHeight="1">
      <c r="A300" s="1" t="s">
        <v>105</v>
      </c>
      <c r="B300" s="90"/>
      <c r="C300" s="89"/>
      <c r="D300" s="89" t="s">
        <v>2011</v>
      </c>
      <c r="E300" s="89"/>
      <c r="F300" s="89"/>
    </row>
    <row r="301" spans="1:6" ht="14.25" customHeight="1">
      <c r="A301" s="1" t="s">
        <v>105</v>
      </c>
      <c r="B301" s="90"/>
      <c r="C301" s="89"/>
      <c r="D301" s="89" t="s">
        <v>2012</v>
      </c>
      <c r="E301" s="89"/>
      <c r="F301" s="89"/>
    </row>
    <row r="302" spans="1:6" ht="14.25" customHeight="1">
      <c r="A302" s="1" t="s">
        <v>105</v>
      </c>
      <c r="B302" s="90"/>
      <c r="C302" s="89"/>
      <c r="D302" s="89" t="s">
        <v>2013</v>
      </c>
      <c r="E302" s="89"/>
      <c r="F302" s="89"/>
    </row>
    <row r="303" spans="1:6" ht="14.25" customHeight="1">
      <c r="A303" s="1" t="s">
        <v>105</v>
      </c>
      <c r="B303" s="90"/>
      <c r="C303" s="89"/>
      <c r="D303" s="89" t="s">
        <v>2014</v>
      </c>
      <c r="E303" s="89"/>
      <c r="F303" s="89"/>
    </row>
    <row r="304" spans="1:6" ht="14.25" customHeight="1">
      <c r="A304" s="1" t="s">
        <v>105</v>
      </c>
      <c r="B304" s="90" t="s">
        <v>2015</v>
      </c>
      <c r="C304" s="90" t="s">
        <v>766</v>
      </c>
      <c r="D304" s="90" t="s">
        <v>766</v>
      </c>
      <c r="E304" s="90" t="s">
        <v>766</v>
      </c>
      <c r="F304" s="90" t="s">
        <v>766</v>
      </c>
    </row>
    <row r="305" spans="1:6" ht="14.25" customHeight="1">
      <c r="A305" s="1" t="s">
        <v>105</v>
      </c>
      <c r="B305" s="90"/>
      <c r="C305" s="89"/>
      <c r="D305" s="89" t="s">
        <v>2016</v>
      </c>
      <c r="E305" s="89"/>
      <c r="F305" s="89"/>
    </row>
    <row r="306" spans="1:6" ht="14.25" customHeight="1">
      <c r="A306" s="1" t="s">
        <v>105</v>
      </c>
      <c r="B306" s="90"/>
      <c r="C306" s="89"/>
      <c r="D306" s="89" t="s">
        <v>2017</v>
      </c>
      <c r="E306" s="89"/>
      <c r="F306" s="89"/>
    </row>
    <row r="307" spans="1:6" ht="14.25" customHeight="1">
      <c r="A307" s="1" t="s">
        <v>105</v>
      </c>
      <c r="B307" s="90"/>
      <c r="C307" s="89"/>
      <c r="D307" s="89" t="s">
        <v>2018</v>
      </c>
      <c r="E307" s="89"/>
      <c r="F307" s="89"/>
    </row>
    <row r="308" spans="1:6" ht="14.25" customHeight="1">
      <c r="A308" s="1" t="s">
        <v>105</v>
      </c>
      <c r="B308" s="90"/>
      <c r="C308" s="89"/>
      <c r="D308" s="89" t="s">
        <v>2019</v>
      </c>
      <c r="E308" s="89"/>
      <c r="F308" s="89"/>
    </row>
    <row r="309" spans="1:6" ht="14.25" customHeight="1">
      <c r="A309" s="1" t="s">
        <v>105</v>
      </c>
      <c r="B309" s="90" t="s">
        <v>2015</v>
      </c>
      <c r="C309" s="90" t="s">
        <v>767</v>
      </c>
      <c r="D309" s="90" t="s">
        <v>767</v>
      </c>
      <c r="E309" s="90" t="s">
        <v>767</v>
      </c>
      <c r="F309" s="90" t="s">
        <v>767</v>
      </c>
    </row>
    <row r="310" spans="1:6" ht="14.25" customHeight="1">
      <c r="A310" s="1" t="s">
        <v>105</v>
      </c>
      <c r="B310" s="90"/>
      <c r="C310" s="89"/>
      <c r="D310" s="89" t="s">
        <v>2020</v>
      </c>
      <c r="E310" s="89"/>
      <c r="F310" s="89"/>
    </row>
    <row r="311" spans="1:6" ht="14.25" customHeight="1">
      <c r="A311" s="1" t="s">
        <v>105</v>
      </c>
      <c r="B311" s="90"/>
      <c r="C311" s="89"/>
      <c r="D311" s="89" t="s">
        <v>2021</v>
      </c>
      <c r="E311" s="89"/>
      <c r="F311" s="89"/>
    </row>
    <row r="312" spans="1:6" ht="14.25" customHeight="1">
      <c r="A312" s="1" t="s">
        <v>105</v>
      </c>
      <c r="B312" s="90"/>
      <c r="C312" s="89"/>
      <c r="D312" s="89" t="s">
        <v>2022</v>
      </c>
      <c r="E312" s="89"/>
      <c r="F312" s="89"/>
    </row>
    <row r="313" spans="1:6" ht="14.25" customHeight="1">
      <c r="A313" s="1" t="s">
        <v>105</v>
      </c>
      <c r="B313" s="90"/>
      <c r="C313" s="89"/>
      <c r="D313" s="89" t="s">
        <v>2023</v>
      </c>
      <c r="E313" s="89"/>
      <c r="F313" s="89"/>
    </row>
    <row r="314" spans="1:6" ht="14.25" customHeight="1">
      <c r="A314" s="1" t="s">
        <v>105</v>
      </c>
      <c r="B314" s="90" t="s">
        <v>2015</v>
      </c>
      <c r="C314" s="90" t="s">
        <v>768</v>
      </c>
      <c r="D314" s="90" t="s">
        <v>768</v>
      </c>
      <c r="E314" s="90" t="s">
        <v>768</v>
      </c>
      <c r="F314" s="90" t="s">
        <v>768</v>
      </c>
    </row>
    <row r="315" spans="1:6" ht="14.25" customHeight="1">
      <c r="A315" s="1" t="s">
        <v>105</v>
      </c>
      <c r="B315" s="90"/>
      <c r="C315" s="89"/>
      <c r="D315" s="89" t="s">
        <v>2024</v>
      </c>
      <c r="E315" s="89"/>
      <c r="F315" s="89"/>
    </row>
    <row r="316" spans="1:6" ht="14.25" customHeight="1">
      <c r="A316" s="1" t="s">
        <v>105</v>
      </c>
      <c r="B316" s="90"/>
      <c r="C316" s="89"/>
      <c r="D316" s="89" t="s">
        <v>2025</v>
      </c>
      <c r="E316" s="89"/>
      <c r="F316" s="89"/>
    </row>
    <row r="317" spans="1:6" ht="14.25" customHeight="1">
      <c r="A317" s="1" t="s">
        <v>105</v>
      </c>
      <c r="B317" s="90"/>
      <c r="C317" s="89"/>
      <c r="D317" s="89" t="s">
        <v>2026</v>
      </c>
      <c r="E317" s="89"/>
      <c r="F317" s="89"/>
    </row>
    <row r="318" spans="1:6" ht="14.25" customHeight="1">
      <c r="A318" s="1" t="s">
        <v>105</v>
      </c>
      <c r="B318" s="90"/>
      <c r="C318" s="89"/>
      <c r="D318" s="89" t="s">
        <v>2027</v>
      </c>
      <c r="E318" s="89"/>
      <c r="F318" s="89"/>
    </row>
    <row r="319" spans="1:6" ht="14.25" customHeight="1">
      <c r="A319" s="1" t="s">
        <v>105</v>
      </c>
      <c r="B319" s="90" t="s">
        <v>2028</v>
      </c>
      <c r="C319" s="90" t="s">
        <v>769</v>
      </c>
      <c r="D319" s="90" t="s">
        <v>769</v>
      </c>
      <c r="E319" s="90" t="s">
        <v>769</v>
      </c>
      <c r="F319" s="90" t="s">
        <v>769</v>
      </c>
    </row>
    <row r="320" spans="1:6" ht="14.25" customHeight="1">
      <c r="A320" s="1" t="s">
        <v>105</v>
      </c>
      <c r="B320" s="90"/>
      <c r="C320" s="89"/>
      <c r="D320" s="89" t="s">
        <v>2029</v>
      </c>
      <c r="E320" s="89"/>
      <c r="F320" s="89"/>
    </row>
    <row r="321" spans="1:6" ht="14.25" customHeight="1">
      <c r="A321" s="1" t="s">
        <v>105</v>
      </c>
      <c r="B321" s="90"/>
      <c r="C321" s="89"/>
      <c r="D321" s="89" t="s">
        <v>2030</v>
      </c>
      <c r="E321" s="89"/>
      <c r="F321" s="89"/>
    </row>
    <row r="322" spans="1:6" ht="14.25" customHeight="1">
      <c r="A322" s="1" t="s">
        <v>105</v>
      </c>
      <c r="B322" s="90"/>
      <c r="C322" s="89"/>
      <c r="D322" s="89" t="s">
        <v>2031</v>
      </c>
      <c r="E322" s="89"/>
      <c r="F322" s="89"/>
    </row>
    <row r="323" spans="1:6" ht="14.25" customHeight="1">
      <c r="A323" s="1" t="s">
        <v>105</v>
      </c>
      <c r="B323" s="90"/>
      <c r="C323" s="89"/>
      <c r="D323" s="89" t="s">
        <v>2032</v>
      </c>
      <c r="E323" s="89"/>
      <c r="F323" s="89"/>
    </row>
    <row r="324" spans="1:6" ht="14.25" customHeight="1">
      <c r="A324" s="1" t="s">
        <v>105</v>
      </c>
      <c r="B324" s="90" t="s">
        <v>2028</v>
      </c>
      <c r="C324" s="90" t="s">
        <v>770</v>
      </c>
      <c r="D324" s="90" t="s">
        <v>770</v>
      </c>
      <c r="E324" s="90" t="s">
        <v>770</v>
      </c>
      <c r="F324" s="90" t="s">
        <v>770</v>
      </c>
    </row>
    <row r="325" spans="1:6" ht="14.25" customHeight="1">
      <c r="A325" s="1" t="s">
        <v>105</v>
      </c>
      <c r="B325" s="90"/>
      <c r="C325" s="89"/>
      <c r="D325" s="89" t="s">
        <v>2033</v>
      </c>
      <c r="E325" s="89"/>
      <c r="F325" s="89"/>
    </row>
    <row r="326" spans="1:6" ht="14.25" customHeight="1">
      <c r="A326" s="1" t="s">
        <v>105</v>
      </c>
      <c r="B326" s="90"/>
      <c r="C326" s="89"/>
      <c r="D326" s="89" t="s">
        <v>2034</v>
      </c>
      <c r="E326" s="89"/>
      <c r="F326" s="89"/>
    </row>
    <row r="327" spans="1:6" ht="14.25" customHeight="1">
      <c r="A327" s="1" t="s">
        <v>105</v>
      </c>
      <c r="B327" s="90"/>
      <c r="C327" s="89"/>
      <c r="D327" s="89" t="s">
        <v>2035</v>
      </c>
      <c r="E327" s="89"/>
      <c r="F327" s="89"/>
    </row>
    <row r="328" spans="1:6" ht="14.25" customHeight="1">
      <c r="A328" s="1" t="s">
        <v>105</v>
      </c>
      <c r="B328" s="90"/>
      <c r="C328" s="89"/>
      <c r="D328" s="89" t="s">
        <v>2036</v>
      </c>
      <c r="E328" s="89"/>
      <c r="F328" s="89"/>
    </row>
    <row r="329" spans="1:6" ht="14.25" customHeight="1">
      <c r="A329" s="1" t="s">
        <v>105</v>
      </c>
      <c r="B329" s="90" t="s">
        <v>2028</v>
      </c>
      <c r="C329" s="90" t="s">
        <v>771</v>
      </c>
      <c r="D329" s="90" t="s">
        <v>771</v>
      </c>
      <c r="E329" s="90" t="s">
        <v>771</v>
      </c>
      <c r="F329" s="90" t="s">
        <v>771</v>
      </c>
    </row>
    <row r="330" spans="1:6" ht="14.25" customHeight="1">
      <c r="A330" s="1" t="s">
        <v>105</v>
      </c>
      <c r="B330" s="90"/>
      <c r="C330" s="89"/>
      <c r="D330" s="89" t="s">
        <v>2037</v>
      </c>
      <c r="E330" s="89"/>
      <c r="F330" s="89"/>
    </row>
    <row r="331" spans="1:6" ht="14.25" customHeight="1">
      <c r="A331" s="1" t="s">
        <v>105</v>
      </c>
      <c r="B331" s="90"/>
      <c r="C331" s="89"/>
      <c r="D331" s="89" t="s">
        <v>2038</v>
      </c>
      <c r="E331" s="89"/>
      <c r="F331" s="89"/>
    </row>
    <row r="332" spans="1:6" ht="14.25" customHeight="1">
      <c r="A332" s="1" t="s">
        <v>105</v>
      </c>
      <c r="B332" s="90"/>
      <c r="C332" s="89"/>
      <c r="D332" s="89" t="s">
        <v>2039</v>
      </c>
      <c r="E332" s="89"/>
      <c r="F332" s="89"/>
    </row>
    <row r="333" spans="1:6" ht="14.25" customHeight="1">
      <c r="A333" s="1" t="s">
        <v>105</v>
      </c>
      <c r="B333" s="90"/>
      <c r="C333" s="89"/>
      <c r="D333" s="89" t="s">
        <v>2040</v>
      </c>
      <c r="E333" s="89"/>
      <c r="F333" s="89"/>
    </row>
    <row r="334" spans="1:6" ht="14.25" customHeight="1">
      <c r="A334" s="1" t="s">
        <v>105</v>
      </c>
      <c r="B334" s="90" t="s">
        <v>2028</v>
      </c>
      <c r="C334" s="90" t="s">
        <v>772</v>
      </c>
      <c r="D334" s="90" t="s">
        <v>772</v>
      </c>
      <c r="E334" s="90" t="s">
        <v>772</v>
      </c>
      <c r="F334" s="90" t="s">
        <v>772</v>
      </c>
    </row>
    <row r="335" spans="1:6" ht="14.25" customHeight="1">
      <c r="A335" s="1" t="s">
        <v>105</v>
      </c>
      <c r="B335" s="90"/>
      <c r="C335" s="89"/>
      <c r="D335" s="89" t="s">
        <v>2041</v>
      </c>
      <c r="E335" s="89"/>
      <c r="F335" s="89"/>
    </row>
    <row r="336" spans="1:6" ht="14.25" customHeight="1">
      <c r="A336" s="1" t="s">
        <v>105</v>
      </c>
      <c r="B336" s="90"/>
      <c r="C336" s="89"/>
      <c r="D336" s="89" t="s">
        <v>2042</v>
      </c>
      <c r="E336" s="89"/>
      <c r="F336" s="89"/>
    </row>
    <row r="337" spans="1:6" ht="14.25" customHeight="1">
      <c r="A337" s="1" t="s">
        <v>105</v>
      </c>
      <c r="B337" s="90"/>
      <c r="C337" s="89"/>
      <c r="D337" s="89" t="s">
        <v>2043</v>
      </c>
      <c r="E337" s="89"/>
      <c r="F337" s="89"/>
    </row>
    <row r="338" spans="1:6" ht="14.25" customHeight="1">
      <c r="A338" s="1" t="s">
        <v>105</v>
      </c>
      <c r="B338" s="90"/>
      <c r="C338" s="89"/>
      <c r="D338" s="89" t="s">
        <v>2044</v>
      </c>
      <c r="E338" s="89"/>
      <c r="F338" s="89"/>
    </row>
    <row r="339" spans="1:6" ht="14.25" customHeight="1">
      <c r="A339" s="1" t="s">
        <v>105</v>
      </c>
      <c r="B339" s="90" t="s">
        <v>2028</v>
      </c>
      <c r="C339" s="90" t="s">
        <v>773</v>
      </c>
      <c r="D339" s="90" t="s">
        <v>773</v>
      </c>
      <c r="E339" s="90" t="s">
        <v>773</v>
      </c>
      <c r="F339" s="90" t="s">
        <v>773</v>
      </c>
    </row>
    <row r="340" spans="1:6" ht="14.25" customHeight="1">
      <c r="A340" s="1" t="s">
        <v>105</v>
      </c>
      <c r="B340" s="90"/>
      <c r="C340" s="89"/>
      <c r="D340" s="89" t="s">
        <v>2045</v>
      </c>
      <c r="E340" s="89"/>
      <c r="F340" s="89"/>
    </row>
    <row r="341" spans="1:6" ht="14.25" customHeight="1">
      <c r="A341" s="1" t="s">
        <v>105</v>
      </c>
      <c r="B341" s="90"/>
      <c r="C341" s="89"/>
      <c r="D341" s="89" t="s">
        <v>2046</v>
      </c>
      <c r="E341" s="89"/>
      <c r="F341" s="89"/>
    </row>
    <row r="342" spans="1:6" ht="14.25" customHeight="1">
      <c r="A342" s="1" t="s">
        <v>105</v>
      </c>
      <c r="B342" s="90"/>
      <c r="C342" s="89"/>
      <c r="D342" s="89" t="s">
        <v>2047</v>
      </c>
      <c r="E342" s="89"/>
      <c r="F342" s="89"/>
    </row>
    <row r="343" spans="1:6" ht="14.25" customHeight="1">
      <c r="A343" s="1" t="s">
        <v>105</v>
      </c>
      <c r="B343" s="90"/>
      <c r="C343" s="89"/>
      <c r="D343" s="89" t="s">
        <v>2048</v>
      </c>
      <c r="E343" s="89"/>
      <c r="F343" s="89"/>
    </row>
    <row r="344" spans="1:6" ht="14.25" customHeight="1">
      <c r="A344" s="1" t="s">
        <v>105</v>
      </c>
      <c r="B344" s="90" t="s">
        <v>2049</v>
      </c>
      <c r="C344" s="90" t="s">
        <v>774</v>
      </c>
      <c r="D344" s="90" t="s">
        <v>774</v>
      </c>
      <c r="E344" s="90" t="s">
        <v>774</v>
      </c>
      <c r="F344" s="90" t="s">
        <v>774</v>
      </c>
    </row>
    <row r="345" spans="1:6" ht="14.25" customHeight="1">
      <c r="A345" s="1" t="s">
        <v>105</v>
      </c>
      <c r="B345" s="90"/>
      <c r="C345" s="89"/>
      <c r="D345" s="89" t="s">
        <v>2050</v>
      </c>
      <c r="E345" s="89"/>
      <c r="F345" s="89"/>
    </row>
    <row r="346" spans="1:6" ht="14.25" customHeight="1">
      <c r="A346" s="1" t="s">
        <v>105</v>
      </c>
      <c r="B346" s="90"/>
      <c r="C346" s="89"/>
      <c r="D346" s="89" t="s">
        <v>2051</v>
      </c>
      <c r="E346" s="89"/>
      <c r="F346" s="89"/>
    </row>
    <row r="347" spans="1:6" ht="14.25" customHeight="1">
      <c r="A347" s="1" t="s">
        <v>105</v>
      </c>
      <c r="B347" s="90"/>
      <c r="C347" s="89"/>
      <c r="D347" s="89" t="s">
        <v>2052</v>
      </c>
      <c r="E347" s="89"/>
      <c r="F347" s="89"/>
    </row>
    <row r="348" spans="1:6" ht="14.25" customHeight="1">
      <c r="A348" s="1" t="s">
        <v>105</v>
      </c>
      <c r="B348" s="90"/>
      <c r="C348" s="89"/>
      <c r="D348" s="89" t="s">
        <v>2053</v>
      </c>
      <c r="E348" s="89"/>
      <c r="F348" s="89"/>
    </row>
    <row r="349" spans="1:6" ht="14.25" customHeight="1">
      <c r="A349" s="1" t="s">
        <v>105</v>
      </c>
      <c r="B349" s="90"/>
      <c r="C349" s="89"/>
      <c r="D349" s="89" t="s">
        <v>2054</v>
      </c>
      <c r="E349" s="89"/>
      <c r="F349" s="89"/>
    </row>
    <row r="350" spans="1:6" ht="14.25" customHeight="1">
      <c r="A350" s="1" t="s">
        <v>105</v>
      </c>
      <c r="B350" s="90"/>
      <c r="C350" s="89"/>
      <c r="D350" s="89" t="s">
        <v>2055</v>
      </c>
      <c r="E350" s="89"/>
      <c r="F350" s="89"/>
    </row>
    <row r="351" spans="1:6" ht="14.25" customHeight="1">
      <c r="A351" s="1" t="s">
        <v>105</v>
      </c>
      <c r="B351" s="90" t="s">
        <v>2049</v>
      </c>
      <c r="C351" s="90" t="s">
        <v>775</v>
      </c>
      <c r="D351" s="90" t="s">
        <v>775</v>
      </c>
      <c r="E351" s="90" t="s">
        <v>775</v>
      </c>
      <c r="F351" s="90" t="s">
        <v>775</v>
      </c>
    </row>
    <row r="352" spans="1:6" ht="14.25" customHeight="1">
      <c r="A352" s="1" t="s">
        <v>105</v>
      </c>
      <c r="B352" s="90"/>
      <c r="C352" s="89"/>
      <c r="D352" s="89" t="s">
        <v>2056</v>
      </c>
      <c r="E352" s="89"/>
      <c r="F352" s="89"/>
    </row>
    <row r="353" spans="1:6" ht="14.25" customHeight="1">
      <c r="A353" s="1" t="s">
        <v>105</v>
      </c>
      <c r="B353" s="90"/>
      <c r="C353" s="89"/>
      <c r="D353" s="89" t="s">
        <v>2057</v>
      </c>
      <c r="E353" s="89"/>
      <c r="F353" s="89"/>
    </row>
    <row r="354" spans="1:6" ht="14.25" customHeight="1">
      <c r="A354" s="1" t="s">
        <v>105</v>
      </c>
      <c r="B354" s="90"/>
      <c r="C354" s="89"/>
      <c r="D354" s="89" t="s">
        <v>2058</v>
      </c>
      <c r="E354" s="89"/>
      <c r="F354" s="89"/>
    </row>
    <row r="355" spans="1:6" ht="14.25" customHeight="1">
      <c r="A355" s="1" t="s">
        <v>105</v>
      </c>
      <c r="B355" s="90"/>
      <c r="C355" s="89"/>
      <c r="D355" s="89" t="s">
        <v>2059</v>
      </c>
      <c r="E355" s="89"/>
      <c r="F355" s="89"/>
    </row>
    <row r="356" spans="1:6" ht="14.25" customHeight="1">
      <c r="A356" s="1" t="s">
        <v>105</v>
      </c>
      <c r="B356" s="90"/>
      <c r="C356" s="89"/>
      <c r="D356" s="89" t="s">
        <v>2060</v>
      </c>
      <c r="E356" s="89"/>
      <c r="F356" s="89"/>
    </row>
    <row r="357" spans="1:6" ht="14.25" customHeight="1">
      <c r="A357" s="1" t="s">
        <v>105</v>
      </c>
      <c r="B357" s="90"/>
      <c r="C357" s="89"/>
      <c r="D357" s="89" t="s">
        <v>2061</v>
      </c>
      <c r="E357" s="89"/>
      <c r="F357" s="89"/>
    </row>
    <row r="358" spans="1:6" ht="14.25" customHeight="1">
      <c r="A358" s="1" t="s">
        <v>105</v>
      </c>
      <c r="B358" s="90"/>
      <c r="C358" s="89"/>
      <c r="D358" s="89" t="s">
        <v>2062</v>
      </c>
      <c r="E358" s="89"/>
      <c r="F358" s="89"/>
    </row>
    <row r="359" spans="1:6" ht="14.25" customHeight="1">
      <c r="A359" s="1" t="s">
        <v>105</v>
      </c>
      <c r="B359" s="90"/>
      <c r="C359" s="89"/>
      <c r="D359" s="89" t="s">
        <v>2063</v>
      </c>
      <c r="E359" s="89"/>
      <c r="F359" s="89"/>
    </row>
    <row r="360" spans="1:6" ht="14.25" customHeight="1">
      <c r="A360" s="1" t="s">
        <v>105</v>
      </c>
      <c r="B360" s="90"/>
      <c r="C360" s="89"/>
      <c r="D360" s="89" t="s">
        <v>2064</v>
      </c>
      <c r="E360" s="89"/>
      <c r="F360" s="89"/>
    </row>
    <row r="361" spans="1:6" ht="14.25" customHeight="1">
      <c r="A361" s="1" t="s">
        <v>105</v>
      </c>
      <c r="B361" s="90"/>
      <c r="C361" s="89"/>
      <c r="D361" s="89" t="s">
        <v>2065</v>
      </c>
      <c r="E361" s="89"/>
      <c r="F361" s="89"/>
    </row>
    <row r="362" spans="1:6" ht="14.25" customHeight="1">
      <c r="A362" s="1" t="s">
        <v>105</v>
      </c>
      <c r="B362" s="90"/>
      <c r="C362" s="89"/>
      <c r="D362" s="89" t="s">
        <v>2066</v>
      </c>
      <c r="E362" s="89"/>
      <c r="F362" s="89"/>
    </row>
    <row r="363" spans="1:6" ht="14.25" customHeight="1">
      <c r="A363" s="1" t="s">
        <v>105</v>
      </c>
      <c r="B363" s="90"/>
      <c r="C363" s="89"/>
      <c r="D363" s="89" t="s">
        <v>2067</v>
      </c>
      <c r="E363" s="89"/>
      <c r="F363" s="89"/>
    </row>
    <row r="364" spans="1:6" ht="14.25" customHeight="1">
      <c r="A364" s="1" t="s">
        <v>105</v>
      </c>
      <c r="B364" s="90"/>
      <c r="C364" s="89"/>
      <c r="D364" s="89" t="s">
        <v>2068</v>
      </c>
      <c r="E364" s="89"/>
      <c r="F364" s="89"/>
    </row>
    <row r="365" spans="1:6" ht="14.25" customHeight="1">
      <c r="A365" s="1" t="s">
        <v>105</v>
      </c>
      <c r="B365" s="90"/>
      <c r="C365" s="89"/>
      <c r="D365" s="89" t="s">
        <v>2069</v>
      </c>
      <c r="E365" s="89"/>
      <c r="F365" s="89"/>
    </row>
    <row r="366" spans="1:6" ht="14.25" customHeight="1">
      <c r="A366" s="1" t="s">
        <v>105</v>
      </c>
      <c r="B366" s="90"/>
      <c r="C366" s="89"/>
      <c r="D366" s="89" t="s">
        <v>2070</v>
      </c>
      <c r="E366" s="89"/>
      <c r="F366" s="89"/>
    </row>
    <row r="367" spans="1:6" ht="14.25" customHeight="1">
      <c r="A367" s="1" t="s">
        <v>105</v>
      </c>
      <c r="B367" s="90"/>
      <c r="C367" s="89"/>
      <c r="D367" s="89" t="s">
        <v>2071</v>
      </c>
      <c r="E367" s="89"/>
      <c r="F367" s="89"/>
    </row>
    <row r="368" spans="1:6" ht="14.25" customHeight="1">
      <c r="A368" s="1" t="s">
        <v>105</v>
      </c>
      <c r="B368" s="90" t="s">
        <v>2049</v>
      </c>
      <c r="C368" s="90" t="s">
        <v>776</v>
      </c>
      <c r="D368" s="90" t="s">
        <v>776</v>
      </c>
      <c r="E368" s="90" t="s">
        <v>776</v>
      </c>
      <c r="F368" s="90" t="s">
        <v>776</v>
      </c>
    </row>
    <row r="369" spans="1:6" ht="14.25" customHeight="1">
      <c r="A369" s="1" t="s">
        <v>105</v>
      </c>
      <c r="B369" s="90"/>
      <c r="C369" s="89"/>
      <c r="D369" s="89" t="s">
        <v>2072</v>
      </c>
      <c r="E369" s="89"/>
      <c r="F369" s="89"/>
    </row>
    <row r="370" spans="1:6" ht="14.25" customHeight="1">
      <c r="A370" s="1" t="s">
        <v>105</v>
      </c>
      <c r="B370" s="90"/>
      <c r="C370" s="89"/>
      <c r="D370" s="89" t="s">
        <v>2073</v>
      </c>
      <c r="E370" s="89"/>
      <c r="F370" s="89"/>
    </row>
    <row r="371" spans="1:6" ht="14.25" customHeight="1">
      <c r="A371" s="1" t="s">
        <v>105</v>
      </c>
      <c r="B371" s="90"/>
      <c r="C371" s="89"/>
      <c r="D371" s="89" t="s">
        <v>2074</v>
      </c>
      <c r="E371" s="89"/>
      <c r="F371" s="89"/>
    </row>
    <row r="372" spans="1:6" ht="14.25" customHeight="1">
      <c r="A372" s="1" t="s">
        <v>105</v>
      </c>
      <c r="B372" s="90"/>
      <c r="C372" s="89"/>
      <c r="D372" s="89" t="s">
        <v>2075</v>
      </c>
      <c r="E372" s="89"/>
      <c r="F372" s="89"/>
    </row>
    <row r="373" spans="1:6" ht="14.25" customHeight="1">
      <c r="A373" s="1" t="s">
        <v>105</v>
      </c>
      <c r="B373" s="90"/>
      <c r="C373" s="89"/>
      <c r="D373" s="89" t="s">
        <v>2076</v>
      </c>
      <c r="E373" s="89"/>
      <c r="F373" s="89"/>
    </row>
    <row r="374" spans="1:6" ht="14.25" customHeight="1">
      <c r="A374" s="1" t="s">
        <v>105</v>
      </c>
      <c r="B374" s="90"/>
      <c r="C374" s="89"/>
      <c r="D374" s="89" t="s">
        <v>2077</v>
      </c>
      <c r="E374" s="89"/>
      <c r="F374" s="89"/>
    </row>
    <row r="375" spans="1:6" ht="14.25" customHeight="1">
      <c r="A375" s="1" t="s">
        <v>105</v>
      </c>
      <c r="B375" s="90"/>
      <c r="C375" s="89"/>
      <c r="D375" s="89" t="s">
        <v>2078</v>
      </c>
      <c r="E375" s="89"/>
      <c r="F375" s="89"/>
    </row>
    <row r="376" spans="1:6" ht="14.25" customHeight="1">
      <c r="A376" s="1" t="s">
        <v>105</v>
      </c>
      <c r="B376" s="90"/>
      <c r="C376" s="89"/>
      <c r="D376" s="89" t="s">
        <v>2079</v>
      </c>
      <c r="E376" s="89"/>
      <c r="F376" s="89"/>
    </row>
    <row r="377" spans="1:6" ht="14.25" customHeight="1">
      <c r="A377" s="1" t="s">
        <v>105</v>
      </c>
      <c r="B377" s="90"/>
      <c r="C377" s="89"/>
      <c r="D377" s="89" t="s">
        <v>2080</v>
      </c>
      <c r="E377" s="89"/>
      <c r="F377" s="89"/>
    </row>
    <row r="378" spans="1:6" ht="14.25" customHeight="1">
      <c r="A378" s="1" t="s">
        <v>105</v>
      </c>
      <c r="B378" s="90"/>
      <c r="C378" s="89"/>
      <c r="D378" s="89" t="s">
        <v>2081</v>
      </c>
      <c r="E378" s="89"/>
      <c r="F378" s="89"/>
    </row>
    <row r="379" spans="1:6" ht="14.25" customHeight="1">
      <c r="A379" s="1" t="s">
        <v>105</v>
      </c>
      <c r="B379" s="90"/>
      <c r="C379" s="89"/>
      <c r="D379" s="89" t="s">
        <v>2082</v>
      </c>
      <c r="E379" s="89"/>
      <c r="F379" s="89"/>
    </row>
    <row r="380" spans="1:6" ht="14.25" customHeight="1">
      <c r="A380" s="1" t="s">
        <v>105</v>
      </c>
      <c r="B380" s="90"/>
      <c r="C380" s="89"/>
      <c r="D380" s="89" t="s">
        <v>2083</v>
      </c>
      <c r="E380" s="89"/>
      <c r="F380" s="89"/>
    </row>
    <row r="381" spans="1:6" ht="14.25" customHeight="1">
      <c r="A381" s="1" t="s">
        <v>105</v>
      </c>
      <c r="B381" s="90"/>
      <c r="C381" s="89"/>
      <c r="D381" s="89" t="s">
        <v>2084</v>
      </c>
      <c r="E381" s="89"/>
      <c r="F381" s="89"/>
    </row>
    <row r="382" spans="1:6" ht="14.25" customHeight="1">
      <c r="A382" s="1" t="s">
        <v>105</v>
      </c>
      <c r="B382" s="90"/>
      <c r="C382" s="89"/>
      <c r="D382" s="89" t="s">
        <v>2085</v>
      </c>
      <c r="E382" s="89"/>
      <c r="F382" s="89"/>
    </row>
    <row r="383" spans="1:6" ht="14.25" customHeight="1">
      <c r="A383" s="1" t="s">
        <v>105</v>
      </c>
      <c r="B383" s="90"/>
      <c r="C383" s="89"/>
      <c r="D383" s="89" t="s">
        <v>2086</v>
      </c>
      <c r="E383" s="89"/>
      <c r="F383" s="89"/>
    </row>
    <row r="384" spans="1:6" ht="14.25" customHeight="1">
      <c r="A384" s="1" t="s">
        <v>105</v>
      </c>
      <c r="B384" s="90"/>
      <c r="C384" s="89"/>
      <c r="D384" s="89" t="s">
        <v>2087</v>
      </c>
      <c r="E384" s="89"/>
      <c r="F384" s="89"/>
    </row>
    <row r="385" spans="1:6" ht="14.25" customHeight="1">
      <c r="A385" s="1" t="s">
        <v>105</v>
      </c>
      <c r="B385" s="90" t="s">
        <v>2049</v>
      </c>
      <c r="C385" s="90" t="s">
        <v>777</v>
      </c>
      <c r="D385" s="90" t="s">
        <v>777</v>
      </c>
      <c r="E385" s="90" t="s">
        <v>777</v>
      </c>
      <c r="F385" s="90" t="s">
        <v>777</v>
      </c>
    </row>
    <row r="386" spans="1:6" ht="14.25" customHeight="1">
      <c r="A386" s="1" t="s">
        <v>105</v>
      </c>
      <c r="B386" s="90"/>
      <c r="C386" s="89"/>
      <c r="D386" s="89" t="s">
        <v>2088</v>
      </c>
      <c r="E386" s="89"/>
      <c r="F386" s="89"/>
    </row>
    <row r="387" spans="1:6" ht="14.25" customHeight="1">
      <c r="A387" s="1" t="s">
        <v>105</v>
      </c>
      <c r="B387" s="90"/>
      <c r="C387" s="89"/>
      <c r="D387" s="89" t="s">
        <v>2089</v>
      </c>
      <c r="E387" s="89"/>
      <c r="F387" s="89"/>
    </row>
    <row r="388" spans="1:6" ht="14.25" customHeight="1">
      <c r="A388" s="1" t="s">
        <v>105</v>
      </c>
      <c r="B388" s="90"/>
      <c r="C388" s="89"/>
      <c r="D388" s="89" t="s">
        <v>2090</v>
      </c>
      <c r="E388" s="89"/>
      <c r="F388" s="89"/>
    </row>
    <row r="389" spans="1:6" ht="14.25" customHeight="1">
      <c r="A389" s="1" t="s">
        <v>105</v>
      </c>
      <c r="B389" s="90"/>
      <c r="C389" s="89"/>
      <c r="D389" s="89" t="s">
        <v>2091</v>
      </c>
      <c r="E389" s="89"/>
      <c r="F389" s="89"/>
    </row>
    <row r="390" spans="1:6" ht="14.25" customHeight="1">
      <c r="A390" s="1" t="s">
        <v>105</v>
      </c>
      <c r="B390" s="90"/>
      <c r="C390" s="89"/>
      <c r="D390" s="89" t="s">
        <v>2092</v>
      </c>
      <c r="E390" s="89"/>
      <c r="F390" s="89"/>
    </row>
    <row r="391" spans="1:6" ht="14.25" customHeight="1">
      <c r="A391" s="1" t="s">
        <v>105</v>
      </c>
      <c r="B391" s="90"/>
      <c r="C391" s="89"/>
      <c r="D391" s="89" t="s">
        <v>2093</v>
      </c>
      <c r="E391" s="89"/>
      <c r="F391" s="89"/>
    </row>
    <row r="392" spans="1:6" ht="14.25" customHeight="1">
      <c r="A392" s="1" t="s">
        <v>105</v>
      </c>
      <c r="B392" s="90" t="s">
        <v>2094</v>
      </c>
      <c r="C392" s="90" t="s">
        <v>778</v>
      </c>
      <c r="D392" s="90" t="s">
        <v>778</v>
      </c>
      <c r="E392" s="90" t="s">
        <v>778</v>
      </c>
      <c r="F392" s="90" t="s">
        <v>778</v>
      </c>
    </row>
    <row r="393" spans="1:6" ht="14.25" customHeight="1">
      <c r="A393" s="1" t="s">
        <v>105</v>
      </c>
      <c r="B393" s="90"/>
      <c r="C393" s="89"/>
      <c r="D393" s="89" t="s">
        <v>2095</v>
      </c>
      <c r="E393" s="89"/>
      <c r="F393" s="89"/>
    </row>
    <row r="394" spans="1:6" ht="14.25" customHeight="1">
      <c r="A394" s="1" t="s">
        <v>105</v>
      </c>
      <c r="B394" s="90"/>
      <c r="C394" s="89"/>
      <c r="D394" s="89" t="s">
        <v>2096</v>
      </c>
      <c r="E394" s="89"/>
      <c r="F394" s="89"/>
    </row>
    <row r="395" spans="1:6" ht="14.25" customHeight="1">
      <c r="A395" s="1" t="s">
        <v>105</v>
      </c>
      <c r="B395" s="90"/>
      <c r="C395" s="89"/>
      <c r="D395" s="89" t="s">
        <v>2097</v>
      </c>
      <c r="E395" s="89"/>
      <c r="F395" s="89"/>
    </row>
    <row r="396" spans="1:6" ht="14.25" customHeight="1">
      <c r="A396" s="1" t="s">
        <v>105</v>
      </c>
      <c r="B396" s="90"/>
      <c r="C396" s="89"/>
      <c r="D396" s="89" t="s">
        <v>2098</v>
      </c>
      <c r="E396" s="89"/>
      <c r="F396" s="89"/>
    </row>
    <row r="397" spans="1:6" ht="14.25" customHeight="1">
      <c r="A397" s="1" t="s">
        <v>105</v>
      </c>
      <c r="B397" s="90" t="s">
        <v>2094</v>
      </c>
      <c r="C397" s="90" t="s">
        <v>779</v>
      </c>
      <c r="D397" s="90" t="s">
        <v>779</v>
      </c>
      <c r="E397" s="90" t="s">
        <v>779</v>
      </c>
      <c r="F397" s="90" t="s">
        <v>779</v>
      </c>
    </row>
    <row r="398" spans="1:6" ht="14.25" customHeight="1">
      <c r="A398" s="1" t="s">
        <v>105</v>
      </c>
      <c r="B398" s="90"/>
      <c r="C398" s="89"/>
      <c r="D398" s="89" t="s">
        <v>2099</v>
      </c>
      <c r="E398" s="89"/>
      <c r="F398" s="89"/>
    </row>
    <row r="399" spans="1:6" ht="14.25" customHeight="1">
      <c r="A399" s="1" t="s">
        <v>105</v>
      </c>
      <c r="B399" s="90"/>
      <c r="C399" s="89"/>
      <c r="D399" s="89" t="s">
        <v>2100</v>
      </c>
      <c r="E399" s="89"/>
      <c r="F399" s="89"/>
    </row>
    <row r="400" spans="1:6" ht="14.25" customHeight="1">
      <c r="A400" s="1" t="s">
        <v>105</v>
      </c>
      <c r="B400" s="90"/>
      <c r="C400" s="89"/>
      <c r="D400" s="89" t="s">
        <v>2101</v>
      </c>
      <c r="E400" s="89"/>
      <c r="F400" s="89"/>
    </row>
    <row r="401" spans="1:6" ht="14.25" customHeight="1">
      <c r="A401" s="1" t="s">
        <v>105</v>
      </c>
      <c r="B401" s="90"/>
      <c r="C401" s="89"/>
      <c r="D401" s="89" t="s">
        <v>2102</v>
      </c>
      <c r="E401" s="89"/>
      <c r="F401" s="89"/>
    </row>
    <row r="402" spans="1:6" ht="14.25" customHeight="1">
      <c r="A402" s="1" t="s">
        <v>105</v>
      </c>
      <c r="B402" s="90" t="s">
        <v>2103</v>
      </c>
      <c r="C402" s="90" t="s">
        <v>780</v>
      </c>
      <c r="D402" s="90" t="s">
        <v>780</v>
      </c>
      <c r="E402" s="90" t="s">
        <v>780</v>
      </c>
      <c r="F402" s="90" t="s">
        <v>780</v>
      </c>
    </row>
    <row r="403" spans="1:6" ht="14.25" customHeight="1">
      <c r="A403" s="1" t="s">
        <v>105</v>
      </c>
      <c r="B403" s="90"/>
      <c r="C403" s="89"/>
      <c r="D403" s="89" t="s">
        <v>2104</v>
      </c>
      <c r="E403" s="89"/>
      <c r="F403" s="89"/>
    </row>
    <row r="404" spans="1:6" ht="14.25" customHeight="1">
      <c r="A404" s="1" t="s">
        <v>105</v>
      </c>
      <c r="B404" s="90"/>
      <c r="C404" s="89"/>
      <c r="D404" s="89" t="s">
        <v>2105</v>
      </c>
      <c r="E404" s="89"/>
      <c r="F404" s="89"/>
    </row>
    <row r="405" spans="1:6" ht="14.25" customHeight="1">
      <c r="A405" s="1" t="s">
        <v>105</v>
      </c>
      <c r="B405" s="90"/>
      <c r="C405" s="89"/>
      <c r="D405" s="89" t="s">
        <v>2106</v>
      </c>
      <c r="E405" s="89"/>
      <c r="F405" s="89"/>
    </row>
    <row r="406" spans="1:6" ht="14.25" customHeight="1">
      <c r="A406" s="1" t="s">
        <v>105</v>
      </c>
      <c r="B406" s="90"/>
      <c r="C406" s="89"/>
      <c r="D406" s="89" t="s">
        <v>2107</v>
      </c>
      <c r="E406" s="89"/>
      <c r="F406" s="89"/>
    </row>
    <row r="407" spans="1:6" ht="14.25" customHeight="1">
      <c r="A407" s="1" t="s">
        <v>105</v>
      </c>
      <c r="B407" s="90" t="s">
        <v>2103</v>
      </c>
      <c r="C407" s="90" t="s">
        <v>781</v>
      </c>
      <c r="D407" s="90" t="s">
        <v>781</v>
      </c>
      <c r="E407" s="90" t="s">
        <v>781</v>
      </c>
      <c r="F407" s="90" t="s">
        <v>781</v>
      </c>
    </row>
    <row r="408" spans="1:6" ht="14.25" customHeight="1">
      <c r="A408" s="1" t="s">
        <v>105</v>
      </c>
      <c r="B408" s="90"/>
      <c r="C408" s="89"/>
      <c r="D408" s="89" t="s">
        <v>2108</v>
      </c>
      <c r="E408" s="89"/>
      <c r="F408" s="89"/>
    </row>
    <row r="409" spans="1:6" ht="14.25" customHeight="1">
      <c r="A409" s="1" t="s">
        <v>105</v>
      </c>
      <c r="B409" s="90"/>
      <c r="C409" s="89"/>
      <c r="D409" s="89" t="s">
        <v>2109</v>
      </c>
      <c r="E409" s="89"/>
      <c r="F409" s="89"/>
    </row>
    <row r="410" spans="1:6" ht="14.25" customHeight="1">
      <c r="A410" s="1" t="s">
        <v>105</v>
      </c>
      <c r="B410" s="90"/>
      <c r="C410" s="89"/>
      <c r="D410" s="89" t="s">
        <v>2110</v>
      </c>
      <c r="E410" s="89"/>
      <c r="F410" s="89"/>
    </row>
    <row r="411" spans="1:6" ht="14.25" customHeight="1">
      <c r="A411" s="1" t="s">
        <v>105</v>
      </c>
      <c r="B411" s="90"/>
      <c r="C411" s="89"/>
      <c r="D411" s="89" t="s">
        <v>2111</v>
      </c>
      <c r="E411" s="89"/>
      <c r="F411" s="89"/>
    </row>
    <row r="412" spans="1:6" ht="14.25" customHeight="1">
      <c r="A412" s="1" t="s">
        <v>105</v>
      </c>
      <c r="B412" s="90" t="s">
        <v>2112</v>
      </c>
      <c r="C412" s="90" t="s">
        <v>782</v>
      </c>
      <c r="D412" s="90" t="s">
        <v>782</v>
      </c>
      <c r="E412" s="90" t="s">
        <v>782</v>
      </c>
      <c r="F412" s="90" t="s">
        <v>782</v>
      </c>
    </row>
    <row r="413" spans="1:6" ht="14.25" customHeight="1">
      <c r="A413" s="1" t="s">
        <v>105</v>
      </c>
      <c r="B413" s="90"/>
      <c r="C413" s="89" t="str">
        <f t="shared" ref="C413:C414" si="6">D413</f>
        <v>PL70-1</v>
      </c>
      <c r="D413" s="89" t="s">
        <v>2113</v>
      </c>
      <c r="E413" s="89"/>
      <c r="F413" s="89"/>
    </row>
    <row r="414" spans="1:6" ht="14.25" customHeight="1">
      <c r="A414" s="1" t="s">
        <v>105</v>
      </c>
      <c r="B414" s="90"/>
      <c r="C414" s="89" t="str">
        <f t="shared" si="6"/>
        <v>PL70-2</v>
      </c>
      <c r="D414" s="89" t="s">
        <v>2114</v>
      </c>
      <c r="E414" s="89"/>
      <c r="F414" s="89"/>
    </row>
    <row r="415" spans="1:6" ht="14.25" customHeight="1">
      <c r="A415" s="1" t="s">
        <v>105</v>
      </c>
      <c r="B415" s="90"/>
      <c r="C415" s="89"/>
      <c r="D415" s="89" t="s">
        <v>2115</v>
      </c>
      <c r="E415" s="89"/>
      <c r="F415" s="89"/>
    </row>
    <row r="416" spans="1:6" ht="14.25" customHeight="1">
      <c r="A416" s="1" t="s">
        <v>105</v>
      </c>
      <c r="B416" s="90"/>
      <c r="C416" s="89"/>
      <c r="D416" s="89" t="s">
        <v>2116</v>
      </c>
      <c r="E416" s="89"/>
      <c r="F416" s="89"/>
    </row>
    <row r="417" spans="1:6" ht="14.25" customHeight="1">
      <c r="A417" s="1" t="s">
        <v>105</v>
      </c>
      <c r="B417" s="90"/>
      <c r="C417" s="89"/>
      <c r="D417" s="89" t="s">
        <v>2117</v>
      </c>
      <c r="E417" s="89"/>
      <c r="F417" s="89"/>
    </row>
    <row r="418" spans="1:6" ht="14.25" customHeight="1">
      <c r="A418" s="1" t="s">
        <v>105</v>
      </c>
      <c r="B418" s="90"/>
      <c r="C418" s="89"/>
      <c r="D418" s="89" t="s">
        <v>2118</v>
      </c>
      <c r="E418" s="89"/>
      <c r="F418" s="89"/>
    </row>
    <row r="419" spans="1:6" ht="14.25" customHeight="1">
      <c r="A419" s="1" t="s">
        <v>105</v>
      </c>
      <c r="B419" s="90" t="s">
        <v>2112</v>
      </c>
      <c r="C419" s="90" t="s">
        <v>783</v>
      </c>
      <c r="D419" s="90" t="s">
        <v>783</v>
      </c>
      <c r="E419" s="90" t="s">
        <v>783</v>
      </c>
      <c r="F419" s="90" t="s">
        <v>783</v>
      </c>
    </row>
    <row r="420" spans="1:6" ht="14.25" customHeight="1">
      <c r="A420" s="1" t="s">
        <v>105</v>
      </c>
      <c r="B420" s="90"/>
      <c r="C420" s="89" t="str">
        <f t="shared" ref="C420:C421" si="7">D420</f>
        <v>PL71-1</v>
      </c>
      <c r="D420" s="89" t="s">
        <v>2119</v>
      </c>
      <c r="E420" s="89"/>
      <c r="F420" s="89"/>
    </row>
    <row r="421" spans="1:6" ht="14.25" customHeight="1">
      <c r="A421" s="1" t="s">
        <v>105</v>
      </c>
      <c r="B421" s="90"/>
      <c r="C421" s="89" t="str">
        <f t="shared" si="7"/>
        <v>PL71-2</v>
      </c>
      <c r="D421" s="89" t="s">
        <v>2120</v>
      </c>
      <c r="E421" s="89"/>
      <c r="F421" s="89"/>
    </row>
    <row r="422" spans="1:6" ht="14.25" customHeight="1">
      <c r="A422" s="1" t="s">
        <v>105</v>
      </c>
      <c r="B422" s="90"/>
      <c r="C422" s="89"/>
      <c r="D422" s="89" t="s">
        <v>2121</v>
      </c>
      <c r="E422" s="89"/>
      <c r="F422" s="89"/>
    </row>
    <row r="423" spans="1:6" ht="14.25" customHeight="1">
      <c r="A423" s="1" t="s">
        <v>105</v>
      </c>
      <c r="B423" s="90"/>
      <c r="C423" s="89"/>
      <c r="D423" s="89" t="s">
        <v>2122</v>
      </c>
      <c r="E423" s="89"/>
      <c r="F423" s="89"/>
    </row>
    <row r="424" spans="1:6" ht="14.25" customHeight="1">
      <c r="A424" s="1" t="s">
        <v>105</v>
      </c>
      <c r="B424" s="90"/>
      <c r="C424" s="89"/>
      <c r="D424" s="89" t="s">
        <v>2123</v>
      </c>
      <c r="E424" s="89"/>
      <c r="F424" s="89"/>
    </row>
    <row r="425" spans="1:6" ht="14.25" customHeight="1">
      <c r="A425" s="1" t="s">
        <v>105</v>
      </c>
      <c r="B425" s="90"/>
      <c r="C425" s="89"/>
      <c r="D425" s="89" t="s">
        <v>2124</v>
      </c>
      <c r="E425" s="89"/>
      <c r="F425" s="89"/>
    </row>
    <row r="426" spans="1:6" ht="14.25" customHeight="1">
      <c r="A426" s="1" t="s">
        <v>105</v>
      </c>
      <c r="B426" s="90" t="s">
        <v>2112</v>
      </c>
      <c r="C426" s="90" t="s">
        <v>784</v>
      </c>
      <c r="D426" s="90" t="s">
        <v>784</v>
      </c>
      <c r="E426" s="90" t="s">
        <v>784</v>
      </c>
      <c r="F426" s="90" t="s">
        <v>784</v>
      </c>
    </row>
    <row r="427" spans="1:6" ht="14.25" customHeight="1">
      <c r="A427" s="1" t="s">
        <v>105</v>
      </c>
      <c r="B427" s="90"/>
      <c r="C427" s="89" t="str">
        <f t="shared" ref="C427:C428" si="8">D427</f>
        <v>PL72-1</v>
      </c>
      <c r="D427" s="89" t="s">
        <v>2125</v>
      </c>
      <c r="E427" s="89"/>
      <c r="F427" s="89"/>
    </row>
    <row r="428" spans="1:6" ht="14.25" customHeight="1">
      <c r="A428" s="1" t="s">
        <v>105</v>
      </c>
      <c r="B428" s="90"/>
      <c r="C428" s="89" t="str">
        <f t="shared" si="8"/>
        <v>PL72-2</v>
      </c>
      <c r="D428" s="89" t="s">
        <v>2126</v>
      </c>
      <c r="E428" s="89"/>
      <c r="F428" s="89"/>
    </row>
    <row r="429" spans="1:6" ht="14.25" customHeight="1">
      <c r="A429" s="1" t="s">
        <v>105</v>
      </c>
      <c r="B429" s="90"/>
      <c r="C429" s="89"/>
      <c r="D429" s="89" t="s">
        <v>2127</v>
      </c>
      <c r="E429" s="89"/>
      <c r="F429" s="89"/>
    </row>
    <row r="430" spans="1:6" ht="14.25" customHeight="1">
      <c r="A430" s="1" t="s">
        <v>105</v>
      </c>
      <c r="B430" s="90"/>
      <c r="C430" s="89"/>
      <c r="D430" s="89" t="s">
        <v>2128</v>
      </c>
      <c r="E430" s="89"/>
      <c r="F430" s="89"/>
    </row>
    <row r="431" spans="1:6" ht="14.25" customHeight="1">
      <c r="A431" s="1" t="s">
        <v>105</v>
      </c>
      <c r="B431" s="90"/>
      <c r="C431" s="89"/>
      <c r="D431" s="89" t="s">
        <v>2129</v>
      </c>
      <c r="E431" s="89"/>
      <c r="F431" s="89"/>
    </row>
    <row r="432" spans="1:6" ht="14.25" customHeight="1">
      <c r="A432" s="1" t="s">
        <v>105</v>
      </c>
      <c r="B432" s="90"/>
      <c r="C432" s="89"/>
      <c r="D432" s="89" t="s">
        <v>2130</v>
      </c>
      <c r="E432" s="89"/>
      <c r="F432" s="89"/>
    </row>
    <row r="433" spans="1:6" ht="14.25" customHeight="1">
      <c r="A433" s="1" t="s">
        <v>105</v>
      </c>
      <c r="B433" s="90" t="s">
        <v>2112</v>
      </c>
      <c r="C433" s="90" t="s">
        <v>785</v>
      </c>
      <c r="D433" s="90" t="s">
        <v>785</v>
      </c>
      <c r="E433" s="90" t="s">
        <v>785</v>
      </c>
      <c r="F433" s="90" t="s">
        <v>785</v>
      </c>
    </row>
    <row r="434" spans="1:6" ht="14.25" customHeight="1">
      <c r="A434" s="1" t="s">
        <v>105</v>
      </c>
      <c r="B434" s="90"/>
      <c r="C434" s="89" t="str">
        <f t="shared" ref="C434:C435" si="9">D434</f>
        <v>PL73-1</v>
      </c>
      <c r="D434" s="89" t="s">
        <v>2131</v>
      </c>
      <c r="E434" s="89"/>
      <c r="F434" s="89"/>
    </row>
    <row r="435" spans="1:6" ht="14.25" customHeight="1">
      <c r="A435" s="1" t="s">
        <v>105</v>
      </c>
      <c r="B435" s="90"/>
      <c r="C435" s="89" t="str">
        <f t="shared" si="9"/>
        <v>PL73-2</v>
      </c>
      <c r="D435" s="89" t="s">
        <v>2132</v>
      </c>
      <c r="E435" s="89"/>
      <c r="F435" s="89"/>
    </row>
    <row r="436" spans="1:6" ht="14.25" customHeight="1">
      <c r="A436" s="1" t="s">
        <v>105</v>
      </c>
      <c r="B436" s="90"/>
      <c r="C436" s="89"/>
      <c r="D436" s="89" t="s">
        <v>2133</v>
      </c>
      <c r="E436" s="89"/>
      <c r="F436" s="89"/>
    </row>
    <row r="437" spans="1:6" ht="14.25" customHeight="1">
      <c r="A437" s="1" t="s">
        <v>105</v>
      </c>
      <c r="B437" s="90"/>
      <c r="C437" s="89"/>
      <c r="D437" s="89" t="s">
        <v>2134</v>
      </c>
      <c r="E437" s="89"/>
      <c r="F437" s="89"/>
    </row>
    <row r="438" spans="1:6" ht="14.25" customHeight="1">
      <c r="A438" s="1" t="s">
        <v>105</v>
      </c>
      <c r="B438" s="90"/>
      <c r="C438" s="89"/>
      <c r="D438" s="89" t="s">
        <v>2135</v>
      </c>
      <c r="E438" s="89"/>
      <c r="F438" s="89"/>
    </row>
    <row r="439" spans="1:6" ht="14.25" customHeight="1">
      <c r="A439" s="1" t="s">
        <v>105</v>
      </c>
      <c r="B439" s="90"/>
      <c r="C439" s="89"/>
      <c r="D439" s="89" t="s">
        <v>2136</v>
      </c>
      <c r="E439" s="89"/>
      <c r="F439" s="89"/>
    </row>
    <row r="440" spans="1:6" ht="14.25" customHeight="1">
      <c r="A440" s="1" t="s">
        <v>105</v>
      </c>
      <c r="B440" s="90" t="s">
        <v>2137</v>
      </c>
      <c r="C440" s="90" t="s">
        <v>786</v>
      </c>
      <c r="D440" s="90" t="s">
        <v>786</v>
      </c>
      <c r="E440" s="90" t="s">
        <v>786</v>
      </c>
      <c r="F440" s="90" t="s">
        <v>786</v>
      </c>
    </row>
    <row r="441" spans="1:6" ht="14.25" customHeight="1">
      <c r="A441" s="1" t="s">
        <v>105</v>
      </c>
      <c r="B441" s="90"/>
      <c r="C441" s="89"/>
      <c r="D441" s="89" t="s">
        <v>2138</v>
      </c>
      <c r="E441" s="89"/>
      <c r="F441" s="89"/>
    </row>
    <row r="442" spans="1:6" ht="14.25" customHeight="1">
      <c r="A442" s="1" t="s">
        <v>105</v>
      </c>
      <c r="B442" s="90"/>
      <c r="C442" s="89"/>
      <c r="D442" s="89" t="s">
        <v>2139</v>
      </c>
      <c r="E442" s="89"/>
      <c r="F442" s="89"/>
    </row>
    <row r="443" spans="1:6" ht="14.25" customHeight="1">
      <c r="A443" s="1" t="s">
        <v>105</v>
      </c>
      <c r="B443" s="90"/>
      <c r="C443" s="89"/>
      <c r="D443" s="89" t="s">
        <v>2140</v>
      </c>
      <c r="E443" s="89"/>
      <c r="F443" s="89"/>
    </row>
    <row r="444" spans="1:6" ht="14.25" customHeight="1">
      <c r="A444" s="1" t="s">
        <v>105</v>
      </c>
      <c r="B444" s="90"/>
      <c r="C444" s="89"/>
      <c r="D444" s="89" t="s">
        <v>2141</v>
      </c>
      <c r="E444" s="89"/>
      <c r="F444" s="89"/>
    </row>
    <row r="445" spans="1:6" ht="14.25" customHeight="1">
      <c r="A445" s="1" t="s">
        <v>105</v>
      </c>
      <c r="B445" s="90" t="s">
        <v>2137</v>
      </c>
      <c r="C445" s="90" t="s">
        <v>787</v>
      </c>
      <c r="D445" s="90" t="s">
        <v>787</v>
      </c>
      <c r="E445" s="90" t="s">
        <v>787</v>
      </c>
      <c r="F445" s="90" t="s">
        <v>787</v>
      </c>
    </row>
    <row r="446" spans="1:6" ht="14.25" customHeight="1">
      <c r="A446" s="1" t="s">
        <v>105</v>
      </c>
      <c r="B446" s="90"/>
      <c r="C446" s="89"/>
      <c r="D446" s="89" t="s">
        <v>2142</v>
      </c>
      <c r="E446" s="89"/>
      <c r="F446" s="89"/>
    </row>
    <row r="447" spans="1:6" ht="14.25" customHeight="1">
      <c r="A447" s="1" t="s">
        <v>105</v>
      </c>
      <c r="B447" s="90"/>
      <c r="C447" s="89"/>
      <c r="D447" s="89" t="s">
        <v>2143</v>
      </c>
      <c r="E447" s="89"/>
      <c r="F447" s="89"/>
    </row>
    <row r="448" spans="1:6" ht="14.25" customHeight="1">
      <c r="A448" s="1" t="s">
        <v>105</v>
      </c>
      <c r="B448" s="90"/>
      <c r="C448" s="89"/>
      <c r="D448" s="89" t="s">
        <v>2144</v>
      </c>
      <c r="E448" s="89"/>
      <c r="F448" s="89"/>
    </row>
    <row r="449" spans="1:6" ht="14.25" customHeight="1">
      <c r="A449" s="1" t="s">
        <v>105</v>
      </c>
      <c r="B449" s="90"/>
      <c r="C449" s="89"/>
      <c r="D449" s="89" t="s">
        <v>2145</v>
      </c>
      <c r="E449" s="89"/>
      <c r="F449" s="89"/>
    </row>
    <row r="450" spans="1:6" ht="14.25" customHeight="1">
      <c r="A450" s="1" t="s">
        <v>105</v>
      </c>
      <c r="B450" s="90" t="s">
        <v>2146</v>
      </c>
      <c r="C450" s="90" t="s">
        <v>788</v>
      </c>
      <c r="D450" s="90" t="s">
        <v>788</v>
      </c>
      <c r="E450" s="90" t="s">
        <v>788</v>
      </c>
      <c r="F450" s="90" t="s">
        <v>788</v>
      </c>
    </row>
    <row r="451" spans="1:6" ht="14.25" customHeight="1">
      <c r="A451" s="1" t="s">
        <v>105</v>
      </c>
      <c r="B451" s="90"/>
      <c r="C451" s="89" t="str">
        <f t="shared" ref="C451:C452" si="10">D451</f>
        <v>PL76-1</v>
      </c>
      <c r="D451" s="89" t="s">
        <v>2147</v>
      </c>
      <c r="E451" s="89"/>
      <c r="F451" s="89"/>
    </row>
    <row r="452" spans="1:6" ht="14.25" customHeight="1">
      <c r="A452" s="1" t="s">
        <v>105</v>
      </c>
      <c r="B452" s="90"/>
      <c r="C452" s="89" t="str">
        <f t="shared" si="10"/>
        <v>PL76-2</v>
      </c>
      <c r="D452" s="89" t="s">
        <v>2148</v>
      </c>
      <c r="E452" s="89"/>
      <c r="F452" s="89"/>
    </row>
    <row r="453" spans="1:6" ht="14.25" customHeight="1">
      <c r="A453" s="1" t="s">
        <v>105</v>
      </c>
      <c r="B453" s="90"/>
      <c r="C453" s="89"/>
      <c r="D453" s="89" t="s">
        <v>2149</v>
      </c>
      <c r="E453" s="89"/>
      <c r="F453" s="89"/>
    </row>
    <row r="454" spans="1:6" ht="14.25" customHeight="1">
      <c r="A454" s="1" t="s">
        <v>105</v>
      </c>
      <c r="B454" s="90"/>
      <c r="C454" s="89"/>
      <c r="D454" s="89" t="s">
        <v>2150</v>
      </c>
      <c r="E454" s="89"/>
      <c r="F454" s="89"/>
    </row>
    <row r="455" spans="1:6" ht="14.25" customHeight="1">
      <c r="A455" s="1" t="s">
        <v>105</v>
      </c>
      <c r="B455" s="90"/>
      <c r="C455" s="89"/>
      <c r="D455" s="89" t="s">
        <v>2151</v>
      </c>
      <c r="E455" s="89"/>
      <c r="F455" s="89"/>
    </row>
    <row r="456" spans="1:6" ht="14.25" customHeight="1">
      <c r="A456" s="1" t="s">
        <v>105</v>
      </c>
      <c r="B456" s="90"/>
      <c r="C456" s="89"/>
      <c r="D456" s="89" t="s">
        <v>2152</v>
      </c>
      <c r="E456" s="89"/>
      <c r="F456" s="89"/>
    </row>
    <row r="457" spans="1:6" ht="14.25" customHeight="1">
      <c r="A457" s="1" t="s">
        <v>105</v>
      </c>
      <c r="B457" s="90" t="s">
        <v>2146</v>
      </c>
      <c r="C457" s="90" t="s">
        <v>789</v>
      </c>
      <c r="D457" s="90" t="s">
        <v>789</v>
      </c>
      <c r="E457" s="90" t="s">
        <v>789</v>
      </c>
      <c r="F457" s="90" t="s">
        <v>789</v>
      </c>
    </row>
    <row r="458" spans="1:6" ht="14.25" customHeight="1">
      <c r="A458" s="1" t="s">
        <v>105</v>
      </c>
      <c r="B458" s="90"/>
      <c r="C458" s="89" t="str">
        <f t="shared" ref="C458:C459" si="11">D458</f>
        <v>PL77-1</v>
      </c>
      <c r="D458" s="89" t="s">
        <v>2153</v>
      </c>
      <c r="E458" s="89"/>
      <c r="F458" s="89"/>
    </row>
    <row r="459" spans="1:6" ht="14.25" customHeight="1">
      <c r="A459" s="1" t="s">
        <v>105</v>
      </c>
      <c r="B459" s="90"/>
      <c r="C459" s="89" t="str">
        <f t="shared" si="11"/>
        <v>PL77-2</v>
      </c>
      <c r="D459" s="89" t="s">
        <v>2154</v>
      </c>
      <c r="E459" s="89"/>
      <c r="F459" s="89"/>
    </row>
    <row r="460" spans="1:6" ht="14.25" customHeight="1">
      <c r="A460" s="1" t="s">
        <v>105</v>
      </c>
      <c r="B460" s="90"/>
      <c r="C460" s="89"/>
      <c r="D460" s="89" t="s">
        <v>2155</v>
      </c>
      <c r="E460" s="89"/>
      <c r="F460" s="89"/>
    </row>
    <row r="461" spans="1:6" ht="14.25" customHeight="1">
      <c r="A461" s="1" t="s">
        <v>105</v>
      </c>
      <c r="B461" s="90"/>
      <c r="C461" s="89"/>
      <c r="D461" s="89" t="s">
        <v>2156</v>
      </c>
      <c r="E461" s="89"/>
      <c r="F461" s="89"/>
    </row>
    <row r="462" spans="1:6" ht="14.25" customHeight="1">
      <c r="A462" s="1" t="s">
        <v>105</v>
      </c>
      <c r="B462" s="90"/>
      <c r="C462" s="89"/>
      <c r="D462" s="89" t="s">
        <v>2157</v>
      </c>
      <c r="E462" s="89"/>
      <c r="F462" s="89"/>
    </row>
    <row r="463" spans="1:6" ht="14.25" customHeight="1">
      <c r="A463" s="1" t="s">
        <v>105</v>
      </c>
      <c r="B463" s="90"/>
      <c r="C463" s="89"/>
      <c r="D463" s="89" t="s">
        <v>2158</v>
      </c>
      <c r="E463" s="89"/>
      <c r="F463" s="89"/>
    </row>
    <row r="464" spans="1:6" ht="14.25" customHeight="1">
      <c r="A464" s="1" t="s">
        <v>105</v>
      </c>
      <c r="B464" s="90" t="s">
        <v>2146</v>
      </c>
      <c r="C464" s="90" t="s">
        <v>790</v>
      </c>
      <c r="D464" s="90" t="s">
        <v>790</v>
      </c>
      <c r="E464" s="90" t="s">
        <v>790</v>
      </c>
      <c r="F464" s="90" t="s">
        <v>790</v>
      </c>
    </row>
    <row r="465" spans="1:6" ht="14.25" customHeight="1">
      <c r="A465" s="1" t="s">
        <v>105</v>
      </c>
      <c r="B465" s="90"/>
      <c r="C465" s="89" t="str">
        <f t="shared" ref="C465:C466" si="12">D465</f>
        <v>PL78-1</v>
      </c>
      <c r="D465" s="89" t="s">
        <v>2159</v>
      </c>
      <c r="E465" s="89"/>
      <c r="F465" s="89"/>
    </row>
    <row r="466" spans="1:6" ht="14.25" customHeight="1">
      <c r="A466" s="1" t="s">
        <v>105</v>
      </c>
      <c r="B466" s="90"/>
      <c r="C466" s="89" t="str">
        <f t="shared" si="12"/>
        <v>PL78-2</v>
      </c>
      <c r="D466" s="89" t="s">
        <v>2160</v>
      </c>
      <c r="E466" s="89"/>
      <c r="F466" s="89"/>
    </row>
    <row r="467" spans="1:6" ht="14.25" customHeight="1">
      <c r="A467" s="1" t="s">
        <v>105</v>
      </c>
      <c r="B467" s="90"/>
      <c r="C467" s="89"/>
      <c r="D467" s="89" t="s">
        <v>2161</v>
      </c>
      <c r="E467" s="89"/>
      <c r="F467" s="89"/>
    </row>
    <row r="468" spans="1:6" ht="14.25" customHeight="1">
      <c r="A468" s="1" t="s">
        <v>105</v>
      </c>
      <c r="B468" s="90"/>
      <c r="C468" s="89"/>
      <c r="D468" s="89" t="s">
        <v>2162</v>
      </c>
      <c r="E468" s="89"/>
      <c r="F468" s="89"/>
    </row>
    <row r="469" spans="1:6" ht="14.25" customHeight="1">
      <c r="A469" s="1" t="s">
        <v>105</v>
      </c>
      <c r="B469" s="90"/>
      <c r="C469" s="89"/>
      <c r="D469" s="89" t="s">
        <v>2163</v>
      </c>
      <c r="E469" s="89"/>
      <c r="F469" s="89"/>
    </row>
    <row r="470" spans="1:6" ht="14.25" customHeight="1">
      <c r="A470" s="1" t="s">
        <v>105</v>
      </c>
      <c r="B470" s="90"/>
      <c r="C470" s="89"/>
      <c r="D470" s="89" t="s">
        <v>2164</v>
      </c>
      <c r="E470" s="89"/>
      <c r="F470" s="89"/>
    </row>
    <row r="471" spans="1:6" ht="14.25" customHeight="1">
      <c r="A471" s="1" t="s">
        <v>105</v>
      </c>
      <c r="B471" s="90" t="s">
        <v>2146</v>
      </c>
      <c r="C471" s="90" t="s">
        <v>791</v>
      </c>
      <c r="D471" s="90" t="s">
        <v>791</v>
      </c>
      <c r="E471" s="90" t="s">
        <v>791</v>
      </c>
      <c r="F471" s="90" t="s">
        <v>791</v>
      </c>
    </row>
    <row r="472" spans="1:6" ht="14.25" customHeight="1">
      <c r="A472" s="1" t="s">
        <v>105</v>
      </c>
      <c r="B472" s="90"/>
      <c r="C472" s="89" t="str">
        <f t="shared" ref="C472:C473" si="13">D472</f>
        <v>PL79-1</v>
      </c>
      <c r="D472" s="89" t="s">
        <v>2165</v>
      </c>
      <c r="E472" s="89"/>
      <c r="F472" s="89"/>
    </row>
    <row r="473" spans="1:6" ht="14.25" customHeight="1">
      <c r="A473" s="1" t="s">
        <v>105</v>
      </c>
      <c r="B473" s="90"/>
      <c r="C473" s="89" t="str">
        <f t="shared" si="13"/>
        <v>PL79-2</v>
      </c>
      <c r="D473" s="89" t="s">
        <v>2166</v>
      </c>
      <c r="E473" s="89"/>
      <c r="F473" s="89"/>
    </row>
    <row r="474" spans="1:6" ht="14.25" customHeight="1">
      <c r="A474" s="1" t="s">
        <v>105</v>
      </c>
      <c r="B474" s="90"/>
      <c r="C474" s="89"/>
      <c r="D474" s="89" t="s">
        <v>2167</v>
      </c>
      <c r="E474" s="89"/>
      <c r="F474" s="89"/>
    </row>
    <row r="475" spans="1:6" ht="14.25" customHeight="1">
      <c r="A475" s="1" t="s">
        <v>105</v>
      </c>
      <c r="B475" s="90"/>
      <c r="C475" s="89"/>
      <c r="D475" s="89" t="s">
        <v>2168</v>
      </c>
      <c r="E475" s="89"/>
      <c r="F475" s="89"/>
    </row>
    <row r="476" spans="1:6" ht="14.25" customHeight="1">
      <c r="A476" s="1" t="s">
        <v>105</v>
      </c>
      <c r="B476" s="90"/>
      <c r="C476" s="89"/>
      <c r="D476" s="89" t="s">
        <v>2169</v>
      </c>
      <c r="E476" s="89"/>
      <c r="F476" s="89"/>
    </row>
    <row r="477" spans="1:6" ht="14.25" customHeight="1">
      <c r="A477" s="1" t="s">
        <v>105</v>
      </c>
      <c r="B477" s="90"/>
      <c r="C477" s="89"/>
      <c r="D477" s="89" t="s">
        <v>2170</v>
      </c>
      <c r="E477" s="89"/>
      <c r="F477" s="89"/>
    </row>
    <row r="478" spans="1:6" ht="14.25" customHeight="1">
      <c r="A478" s="1" t="s">
        <v>105</v>
      </c>
      <c r="B478" s="90" t="s">
        <v>2146</v>
      </c>
      <c r="C478" s="90" t="s">
        <v>792</v>
      </c>
      <c r="D478" s="90" t="s">
        <v>792</v>
      </c>
      <c r="E478" s="90" t="s">
        <v>792</v>
      </c>
      <c r="F478" s="90" t="s">
        <v>792</v>
      </c>
    </row>
    <row r="479" spans="1:6" ht="14.25" customHeight="1">
      <c r="A479" s="1" t="s">
        <v>105</v>
      </c>
      <c r="B479" s="90"/>
      <c r="C479" s="89" t="str">
        <f t="shared" ref="C479:C480" si="14">D479</f>
        <v>PL80-1</v>
      </c>
      <c r="D479" s="89" t="s">
        <v>2171</v>
      </c>
      <c r="E479" s="89"/>
      <c r="F479" s="89"/>
    </row>
    <row r="480" spans="1:6" ht="14.25" customHeight="1">
      <c r="A480" s="1" t="s">
        <v>105</v>
      </c>
      <c r="B480" s="90"/>
      <c r="C480" s="89" t="str">
        <f t="shared" si="14"/>
        <v>PL80-2</v>
      </c>
      <c r="D480" s="89" t="s">
        <v>2172</v>
      </c>
      <c r="E480" s="89"/>
      <c r="F480" s="89"/>
    </row>
    <row r="481" spans="1:6" ht="14.25" customHeight="1">
      <c r="A481" s="1" t="s">
        <v>105</v>
      </c>
      <c r="B481" s="90"/>
      <c r="C481" s="89"/>
      <c r="D481" s="89" t="s">
        <v>2173</v>
      </c>
      <c r="E481" s="89"/>
      <c r="F481" s="89"/>
    </row>
    <row r="482" spans="1:6" ht="14.25" customHeight="1">
      <c r="A482" s="1" t="s">
        <v>105</v>
      </c>
      <c r="B482" s="90"/>
      <c r="C482" s="89"/>
      <c r="D482" s="89" t="s">
        <v>2174</v>
      </c>
      <c r="E482" s="89"/>
      <c r="F482" s="89"/>
    </row>
    <row r="483" spans="1:6" ht="14.25" customHeight="1">
      <c r="A483" s="1" t="s">
        <v>105</v>
      </c>
      <c r="B483" s="90"/>
      <c r="C483" s="89"/>
      <c r="D483" s="89" t="s">
        <v>2175</v>
      </c>
      <c r="E483" s="89"/>
      <c r="F483" s="89"/>
    </row>
    <row r="484" spans="1:6" ht="14.25" customHeight="1">
      <c r="A484" s="1" t="s">
        <v>105</v>
      </c>
      <c r="B484" s="90"/>
      <c r="C484" s="89"/>
      <c r="D484" s="89" t="s">
        <v>2176</v>
      </c>
      <c r="E484" s="89"/>
      <c r="F484" s="89"/>
    </row>
    <row r="485" spans="1:6" ht="14.25" customHeight="1">
      <c r="A485" s="1" t="s">
        <v>105</v>
      </c>
      <c r="B485" s="90" t="s">
        <v>2146</v>
      </c>
      <c r="C485" s="90" t="s">
        <v>793</v>
      </c>
      <c r="D485" s="90" t="s">
        <v>793</v>
      </c>
      <c r="E485" s="90" t="s">
        <v>793</v>
      </c>
      <c r="F485" s="90" t="s">
        <v>793</v>
      </c>
    </row>
    <row r="486" spans="1:6" ht="14.25" customHeight="1">
      <c r="A486" s="1" t="s">
        <v>105</v>
      </c>
      <c r="B486" s="90"/>
      <c r="C486" s="89" t="str">
        <f t="shared" ref="C486:C487" si="15">D486</f>
        <v>PL81-1</v>
      </c>
      <c r="D486" s="89" t="s">
        <v>2177</v>
      </c>
      <c r="E486" s="89"/>
      <c r="F486" s="89"/>
    </row>
    <row r="487" spans="1:6" ht="14.25" customHeight="1">
      <c r="A487" s="1" t="s">
        <v>105</v>
      </c>
      <c r="B487" s="90"/>
      <c r="C487" s="89" t="str">
        <f t="shared" si="15"/>
        <v>PL81-2</v>
      </c>
      <c r="D487" s="89" t="s">
        <v>2178</v>
      </c>
      <c r="E487" s="89"/>
      <c r="F487" s="89"/>
    </row>
    <row r="488" spans="1:6" ht="14.25" customHeight="1">
      <c r="A488" s="1" t="s">
        <v>105</v>
      </c>
      <c r="B488" s="90"/>
      <c r="C488" s="89"/>
      <c r="D488" s="89" t="s">
        <v>2179</v>
      </c>
      <c r="E488" s="89"/>
      <c r="F488" s="89"/>
    </row>
    <row r="489" spans="1:6" ht="14.25" customHeight="1">
      <c r="A489" s="1" t="s">
        <v>105</v>
      </c>
      <c r="B489" s="90"/>
      <c r="C489" s="89"/>
      <c r="D489" s="89" t="s">
        <v>2180</v>
      </c>
      <c r="E489" s="89"/>
      <c r="F489" s="89"/>
    </row>
    <row r="490" spans="1:6" ht="14.25" customHeight="1">
      <c r="A490" s="1" t="s">
        <v>105</v>
      </c>
      <c r="B490" s="90"/>
      <c r="C490" s="89"/>
      <c r="D490" s="89" t="s">
        <v>2181</v>
      </c>
      <c r="E490" s="89"/>
      <c r="F490" s="89"/>
    </row>
    <row r="491" spans="1:6" ht="14.25" customHeight="1">
      <c r="A491" s="1" t="s">
        <v>105</v>
      </c>
      <c r="B491" s="90"/>
      <c r="C491" s="89"/>
      <c r="D491" s="89" t="s">
        <v>2182</v>
      </c>
      <c r="E491" s="89"/>
      <c r="F491" s="89"/>
    </row>
    <row r="492" spans="1:6" ht="14.25" customHeight="1">
      <c r="A492" s="1" t="s">
        <v>105</v>
      </c>
      <c r="B492" s="90" t="s">
        <v>2183</v>
      </c>
      <c r="C492" s="90" t="s">
        <v>795</v>
      </c>
      <c r="D492" s="90" t="s">
        <v>795</v>
      </c>
      <c r="E492" s="90" t="s">
        <v>795</v>
      </c>
      <c r="F492" s="90" t="s">
        <v>795</v>
      </c>
    </row>
    <row r="493" spans="1:6" ht="14.25" customHeight="1">
      <c r="A493" s="1" t="s">
        <v>105</v>
      </c>
      <c r="B493" s="90"/>
      <c r="C493" s="89"/>
      <c r="D493" s="89" t="s">
        <v>2184</v>
      </c>
      <c r="E493" s="89"/>
      <c r="F493" s="89"/>
    </row>
    <row r="494" spans="1:6" ht="14.25" customHeight="1">
      <c r="A494" s="1" t="s">
        <v>105</v>
      </c>
      <c r="B494" s="90"/>
      <c r="C494" s="89"/>
      <c r="D494" s="89" t="s">
        <v>2185</v>
      </c>
      <c r="E494" s="89"/>
      <c r="F494" s="89"/>
    </row>
    <row r="495" spans="1:6" ht="14.25" customHeight="1">
      <c r="A495" s="1" t="s">
        <v>105</v>
      </c>
      <c r="B495" s="90"/>
      <c r="C495" s="89"/>
      <c r="D495" s="89" t="s">
        <v>2186</v>
      </c>
      <c r="E495" s="89"/>
      <c r="F495" s="89"/>
    </row>
    <row r="496" spans="1:6" ht="14.25" customHeight="1">
      <c r="A496" s="1" t="s">
        <v>105</v>
      </c>
      <c r="B496" s="90" t="s">
        <v>2183</v>
      </c>
      <c r="C496" s="90" t="s">
        <v>796</v>
      </c>
      <c r="D496" s="90" t="s">
        <v>796</v>
      </c>
      <c r="E496" s="90" t="s">
        <v>796</v>
      </c>
      <c r="F496" s="90" t="s">
        <v>796</v>
      </c>
    </row>
    <row r="497" spans="1:6" ht="14.25" customHeight="1">
      <c r="A497" s="1" t="s">
        <v>105</v>
      </c>
      <c r="B497" s="90"/>
      <c r="C497" s="89"/>
      <c r="D497" s="89" t="s">
        <v>2187</v>
      </c>
      <c r="E497" s="89"/>
      <c r="F497" s="89"/>
    </row>
    <row r="498" spans="1:6" ht="14.25" customHeight="1">
      <c r="A498" s="1" t="s">
        <v>105</v>
      </c>
      <c r="B498" s="90"/>
      <c r="C498" s="89"/>
      <c r="D498" s="89" t="s">
        <v>2188</v>
      </c>
      <c r="E498" s="89"/>
      <c r="F498" s="89"/>
    </row>
    <row r="499" spans="1:6" ht="14.25" customHeight="1">
      <c r="A499" s="1" t="s">
        <v>105</v>
      </c>
      <c r="B499" s="90"/>
      <c r="C499" s="89"/>
      <c r="D499" s="89" t="s">
        <v>2189</v>
      </c>
      <c r="E499" s="89"/>
      <c r="F499" s="89"/>
    </row>
    <row r="500" spans="1:6" ht="14.25" customHeight="1">
      <c r="A500" s="1" t="s">
        <v>105</v>
      </c>
      <c r="B500" s="90" t="s">
        <v>2183</v>
      </c>
      <c r="C500" s="90" t="s">
        <v>797</v>
      </c>
      <c r="D500" s="90" t="s">
        <v>797</v>
      </c>
      <c r="E500" s="90" t="s">
        <v>797</v>
      </c>
      <c r="F500" s="90" t="s">
        <v>797</v>
      </c>
    </row>
    <row r="501" spans="1:6" ht="14.25" customHeight="1">
      <c r="A501" s="1" t="s">
        <v>105</v>
      </c>
      <c r="B501" s="90"/>
      <c r="C501" s="89"/>
      <c r="D501" s="89" t="s">
        <v>2190</v>
      </c>
      <c r="E501" s="89"/>
      <c r="F501" s="89"/>
    </row>
    <row r="502" spans="1:6" ht="14.25" customHeight="1">
      <c r="A502" s="1" t="s">
        <v>105</v>
      </c>
      <c r="B502" s="90"/>
      <c r="C502" s="89"/>
      <c r="D502" s="89" t="s">
        <v>2191</v>
      </c>
      <c r="E502" s="89"/>
      <c r="F502" s="89"/>
    </row>
    <row r="503" spans="1:6" ht="14.25" customHeight="1">
      <c r="A503" s="1" t="s">
        <v>105</v>
      </c>
      <c r="B503" s="90"/>
      <c r="C503" s="89"/>
      <c r="D503" s="89" t="s">
        <v>2192</v>
      </c>
      <c r="E503" s="89"/>
      <c r="F503" s="89"/>
    </row>
    <row r="504" spans="1:6" ht="14.25" customHeight="1">
      <c r="A504" s="1" t="s">
        <v>105</v>
      </c>
      <c r="B504" s="90"/>
      <c r="C504" s="89"/>
      <c r="D504" s="89" t="s">
        <v>2193</v>
      </c>
      <c r="E504" s="89"/>
      <c r="F504" s="89"/>
    </row>
    <row r="505" spans="1:6" ht="14.25" customHeight="1">
      <c r="A505" s="1" t="s">
        <v>105</v>
      </c>
      <c r="B505" s="90" t="s">
        <v>2194</v>
      </c>
      <c r="C505" s="90" t="s">
        <v>798</v>
      </c>
      <c r="D505" s="90" t="s">
        <v>798</v>
      </c>
      <c r="E505" s="90" t="s">
        <v>798</v>
      </c>
      <c r="F505" s="90" t="s">
        <v>798</v>
      </c>
    </row>
    <row r="506" spans="1:6" ht="14.25" customHeight="1">
      <c r="A506" s="1" t="s">
        <v>105</v>
      </c>
      <c r="B506" s="90"/>
      <c r="C506" s="89"/>
      <c r="D506" s="89" t="s">
        <v>2195</v>
      </c>
      <c r="E506" s="89"/>
      <c r="F506" s="89"/>
    </row>
    <row r="507" spans="1:6" ht="14.25" customHeight="1">
      <c r="A507" s="1" t="s">
        <v>105</v>
      </c>
      <c r="B507" s="90"/>
      <c r="C507" s="89"/>
      <c r="D507" s="89" t="s">
        <v>2196</v>
      </c>
      <c r="E507" s="89"/>
      <c r="F507" s="89"/>
    </row>
    <row r="508" spans="1:6" ht="14.25" customHeight="1">
      <c r="A508" s="1" t="s">
        <v>105</v>
      </c>
      <c r="B508" s="90"/>
      <c r="C508" s="89"/>
      <c r="D508" s="89" t="s">
        <v>2197</v>
      </c>
      <c r="E508" s="89"/>
      <c r="F508" s="89"/>
    </row>
    <row r="509" spans="1:6" ht="14.25" customHeight="1">
      <c r="A509" s="1" t="s">
        <v>105</v>
      </c>
      <c r="B509" s="90"/>
      <c r="C509" s="89"/>
      <c r="D509" s="89" t="s">
        <v>2198</v>
      </c>
      <c r="E509" s="89"/>
      <c r="F509" s="89"/>
    </row>
    <row r="510" spans="1:6" ht="14.25" customHeight="1">
      <c r="A510" s="1" t="s">
        <v>105</v>
      </c>
      <c r="B510" s="90"/>
      <c r="C510" s="89"/>
      <c r="D510" s="89" t="s">
        <v>2199</v>
      </c>
      <c r="E510" s="89"/>
      <c r="F510" s="89"/>
    </row>
    <row r="511" spans="1:6" ht="14.25" customHeight="1">
      <c r="A511" s="1" t="s">
        <v>105</v>
      </c>
      <c r="B511" s="90"/>
      <c r="C511" s="89"/>
      <c r="D511" s="89" t="s">
        <v>2200</v>
      </c>
      <c r="E511" s="89"/>
      <c r="F511" s="89"/>
    </row>
    <row r="512" spans="1:6" ht="14.25" customHeight="1">
      <c r="A512" s="1" t="s">
        <v>105</v>
      </c>
      <c r="B512" s="90"/>
      <c r="C512" s="89"/>
      <c r="D512" s="89" t="s">
        <v>2201</v>
      </c>
      <c r="E512" s="89"/>
      <c r="F512" s="89"/>
    </row>
    <row r="513" spans="1:6" ht="14.25" customHeight="1">
      <c r="A513" s="1" t="s">
        <v>105</v>
      </c>
      <c r="B513" s="90"/>
      <c r="C513" s="89"/>
      <c r="D513" s="89" t="s">
        <v>2202</v>
      </c>
      <c r="E513" s="89"/>
      <c r="F513" s="89"/>
    </row>
    <row r="514" spans="1:6" ht="14.25" customHeight="1">
      <c r="A514" s="1" t="s">
        <v>105</v>
      </c>
      <c r="B514" s="90" t="s">
        <v>2194</v>
      </c>
      <c r="C514" s="90" t="s">
        <v>799</v>
      </c>
      <c r="D514" s="90" t="s">
        <v>799</v>
      </c>
      <c r="E514" s="90" t="s">
        <v>799</v>
      </c>
      <c r="F514" s="90" t="s">
        <v>799</v>
      </c>
    </row>
    <row r="515" spans="1:6" ht="14.25" customHeight="1">
      <c r="A515" s="1" t="s">
        <v>105</v>
      </c>
      <c r="B515" s="90"/>
      <c r="C515" s="89"/>
      <c r="D515" s="89" t="s">
        <v>2203</v>
      </c>
      <c r="E515" s="89"/>
      <c r="F515" s="89"/>
    </row>
    <row r="516" spans="1:6" ht="14.25" customHeight="1">
      <c r="A516" s="1" t="s">
        <v>105</v>
      </c>
      <c r="B516" s="90"/>
      <c r="C516" s="89"/>
      <c r="D516" s="89" t="s">
        <v>2204</v>
      </c>
      <c r="E516" s="89"/>
      <c r="F516" s="89"/>
    </row>
    <row r="517" spans="1:6" ht="14.25" customHeight="1">
      <c r="A517" s="1" t="s">
        <v>105</v>
      </c>
      <c r="B517" s="90"/>
      <c r="C517" s="89"/>
      <c r="D517" s="89" t="s">
        <v>2205</v>
      </c>
      <c r="E517" s="89"/>
      <c r="F517" s="89"/>
    </row>
    <row r="518" spans="1:6" ht="14.25" customHeight="1">
      <c r="A518" s="1" t="s">
        <v>105</v>
      </c>
      <c r="B518" s="90"/>
      <c r="C518" s="89"/>
      <c r="D518" s="89" t="s">
        <v>2206</v>
      </c>
      <c r="E518" s="89"/>
      <c r="F518" s="89"/>
    </row>
    <row r="519" spans="1:6" ht="14.25" customHeight="1">
      <c r="A519" s="1" t="s">
        <v>105</v>
      </c>
      <c r="B519" s="90"/>
      <c r="C519" s="89"/>
      <c r="D519" s="89" t="s">
        <v>2207</v>
      </c>
      <c r="E519" s="89"/>
      <c r="F519" s="89"/>
    </row>
    <row r="520" spans="1:6" ht="14.25" customHeight="1">
      <c r="A520" s="1" t="s">
        <v>105</v>
      </c>
      <c r="B520" s="90"/>
      <c r="C520" s="89"/>
      <c r="D520" s="89" t="s">
        <v>2208</v>
      </c>
      <c r="E520" s="89"/>
      <c r="F520" s="89"/>
    </row>
    <row r="521" spans="1:6" ht="14.25" customHeight="1">
      <c r="A521" s="1" t="s">
        <v>105</v>
      </c>
      <c r="B521" s="90"/>
      <c r="C521" s="89"/>
      <c r="D521" s="89" t="s">
        <v>2209</v>
      </c>
      <c r="E521" s="89"/>
      <c r="F521" s="89"/>
    </row>
    <row r="522" spans="1:6" ht="14.25" customHeight="1">
      <c r="A522" s="1" t="s">
        <v>105</v>
      </c>
      <c r="B522" s="90"/>
      <c r="C522" s="89"/>
      <c r="D522" s="89" t="s">
        <v>2210</v>
      </c>
      <c r="E522" s="89"/>
      <c r="F522" s="89"/>
    </row>
    <row r="523" spans="1:6" ht="14.25" customHeight="1">
      <c r="A523" s="1" t="s">
        <v>105</v>
      </c>
      <c r="B523" s="90" t="s">
        <v>2194</v>
      </c>
      <c r="C523" s="90" t="s">
        <v>800</v>
      </c>
      <c r="D523" s="90" t="s">
        <v>800</v>
      </c>
      <c r="E523" s="90" t="s">
        <v>800</v>
      </c>
      <c r="F523" s="90" t="s">
        <v>800</v>
      </c>
    </row>
    <row r="524" spans="1:6" ht="14.25" customHeight="1">
      <c r="A524" s="1" t="s">
        <v>105</v>
      </c>
      <c r="B524" s="90"/>
      <c r="C524" s="89"/>
      <c r="D524" s="89" t="s">
        <v>2211</v>
      </c>
      <c r="E524" s="89"/>
      <c r="F524" s="89"/>
    </row>
    <row r="525" spans="1:6" ht="14.25" customHeight="1">
      <c r="A525" s="1" t="s">
        <v>105</v>
      </c>
      <c r="B525" s="90"/>
      <c r="C525" s="89"/>
      <c r="D525" s="89" t="s">
        <v>2212</v>
      </c>
      <c r="E525" s="89"/>
      <c r="F525" s="89"/>
    </row>
    <row r="526" spans="1:6" ht="14.25" customHeight="1">
      <c r="A526" s="1" t="s">
        <v>105</v>
      </c>
      <c r="B526" s="90"/>
      <c r="C526" s="89"/>
      <c r="D526" s="89" t="s">
        <v>2213</v>
      </c>
      <c r="E526" s="89"/>
      <c r="F526" s="89"/>
    </row>
    <row r="527" spans="1:6" ht="14.25" customHeight="1">
      <c r="A527" s="1" t="s">
        <v>105</v>
      </c>
      <c r="B527" s="90"/>
      <c r="C527" s="89"/>
      <c r="D527" s="89" t="s">
        <v>2214</v>
      </c>
      <c r="E527" s="89"/>
      <c r="F527" s="89"/>
    </row>
    <row r="528" spans="1:6" ht="14.25" customHeight="1">
      <c r="A528" s="1" t="s">
        <v>105</v>
      </c>
      <c r="B528" s="90"/>
      <c r="C528" s="89"/>
      <c r="D528" s="89" t="s">
        <v>2215</v>
      </c>
      <c r="E528" s="89"/>
      <c r="F528" s="89"/>
    </row>
    <row r="529" spans="1:6" ht="14.25" customHeight="1">
      <c r="A529" s="1" t="s">
        <v>105</v>
      </c>
      <c r="B529" s="90"/>
      <c r="C529" s="89"/>
      <c r="D529" s="89" t="s">
        <v>2216</v>
      </c>
      <c r="E529" s="89"/>
      <c r="F529" s="89"/>
    </row>
    <row r="530" spans="1:6" ht="14.25" customHeight="1">
      <c r="A530" s="1" t="s">
        <v>105</v>
      </c>
      <c r="B530" s="90"/>
      <c r="C530" s="89"/>
      <c r="D530" s="89" t="s">
        <v>2217</v>
      </c>
      <c r="E530" s="89"/>
      <c r="F530" s="89"/>
    </row>
    <row r="531" spans="1:6" ht="14.25" customHeight="1">
      <c r="A531" s="1" t="s">
        <v>105</v>
      </c>
      <c r="B531" s="90"/>
      <c r="C531" s="89"/>
      <c r="D531" s="89" t="s">
        <v>2218</v>
      </c>
      <c r="E531" s="89"/>
      <c r="F531" s="89"/>
    </row>
    <row r="532" spans="1:6" ht="14.25" customHeight="1">
      <c r="A532" s="1" t="s">
        <v>105</v>
      </c>
      <c r="B532" s="90" t="s">
        <v>2194</v>
      </c>
      <c r="C532" s="90" t="s">
        <v>801</v>
      </c>
      <c r="D532" s="90" t="s">
        <v>801</v>
      </c>
      <c r="E532" s="90" t="s">
        <v>801</v>
      </c>
      <c r="F532" s="90" t="s">
        <v>801</v>
      </c>
    </row>
    <row r="533" spans="1:6" ht="14.25" customHeight="1">
      <c r="A533" s="1" t="s">
        <v>105</v>
      </c>
      <c r="B533" s="90"/>
      <c r="C533" s="89"/>
      <c r="D533" s="89" t="s">
        <v>2219</v>
      </c>
      <c r="E533" s="89"/>
      <c r="F533" s="89"/>
    </row>
    <row r="534" spans="1:6" ht="14.25" customHeight="1">
      <c r="A534" s="1" t="s">
        <v>105</v>
      </c>
      <c r="B534" s="90"/>
      <c r="C534" s="89"/>
      <c r="D534" s="89" t="s">
        <v>2220</v>
      </c>
      <c r="E534" s="89"/>
      <c r="F534" s="89"/>
    </row>
    <row r="535" spans="1:6" ht="14.25" customHeight="1">
      <c r="A535" s="1" t="s">
        <v>105</v>
      </c>
      <c r="B535" s="90"/>
      <c r="C535" s="89"/>
      <c r="D535" s="89" t="s">
        <v>2221</v>
      </c>
      <c r="E535" s="89"/>
      <c r="F535" s="89"/>
    </row>
    <row r="536" spans="1:6" ht="14.25" customHeight="1">
      <c r="A536" s="1" t="s">
        <v>105</v>
      </c>
      <c r="B536" s="90"/>
      <c r="C536" s="89"/>
      <c r="D536" s="89" t="s">
        <v>2222</v>
      </c>
      <c r="E536" s="89"/>
      <c r="F536" s="89"/>
    </row>
    <row r="537" spans="1:6" ht="14.25" customHeight="1">
      <c r="A537" s="1" t="s">
        <v>105</v>
      </c>
      <c r="B537" s="90"/>
      <c r="C537" s="89"/>
      <c r="D537" s="89" t="s">
        <v>2223</v>
      </c>
      <c r="E537" s="89"/>
      <c r="F537" s="89"/>
    </row>
    <row r="538" spans="1:6" ht="14.25" customHeight="1">
      <c r="A538" s="1" t="s">
        <v>105</v>
      </c>
      <c r="B538" s="90"/>
      <c r="C538" s="89"/>
      <c r="D538" s="89" t="s">
        <v>2224</v>
      </c>
      <c r="E538" s="89"/>
      <c r="F538" s="89"/>
    </row>
    <row r="539" spans="1:6" ht="14.25" customHeight="1">
      <c r="A539" s="1" t="s">
        <v>105</v>
      </c>
      <c r="B539" s="90"/>
      <c r="C539" s="89"/>
      <c r="D539" s="89" t="s">
        <v>2225</v>
      </c>
      <c r="E539" s="89"/>
      <c r="F539" s="89"/>
    </row>
    <row r="540" spans="1:6" ht="14.25" customHeight="1">
      <c r="A540" s="1" t="s">
        <v>105</v>
      </c>
      <c r="B540" s="90"/>
      <c r="C540" s="89"/>
      <c r="D540" s="89" t="s">
        <v>2226</v>
      </c>
      <c r="E540" s="89"/>
      <c r="F540" s="89"/>
    </row>
    <row r="541" spans="1:6" ht="14.25" customHeight="1">
      <c r="A541" s="1" t="s">
        <v>105</v>
      </c>
      <c r="B541" s="90" t="s">
        <v>2194</v>
      </c>
      <c r="C541" s="90" t="s">
        <v>802</v>
      </c>
      <c r="D541" s="90" t="s">
        <v>802</v>
      </c>
      <c r="E541" s="90" t="s">
        <v>802</v>
      </c>
      <c r="F541" s="90" t="s">
        <v>802</v>
      </c>
    </row>
    <row r="542" spans="1:6" ht="14.25" customHeight="1">
      <c r="A542" s="1" t="s">
        <v>105</v>
      </c>
      <c r="B542" s="90"/>
      <c r="C542" s="89" t="str">
        <f t="shared" ref="C542:C543" si="16">D542</f>
        <v>PR6-1</v>
      </c>
      <c r="D542" s="89" t="s">
        <v>2227</v>
      </c>
      <c r="E542" s="89"/>
      <c r="F542" s="89"/>
    </row>
    <row r="543" spans="1:6" ht="14.25" customHeight="1">
      <c r="A543" s="1" t="s">
        <v>105</v>
      </c>
      <c r="B543" s="90"/>
      <c r="C543" s="89" t="str">
        <f t="shared" si="16"/>
        <v>PR6-2</v>
      </c>
      <c r="D543" s="89" t="s">
        <v>2228</v>
      </c>
      <c r="E543" s="89"/>
      <c r="F543" s="89"/>
    </row>
    <row r="544" spans="1:6" ht="14.25" customHeight="1">
      <c r="A544" s="1" t="s">
        <v>105</v>
      </c>
      <c r="B544" s="90"/>
      <c r="C544" s="89"/>
      <c r="D544" s="89" t="s">
        <v>2229</v>
      </c>
      <c r="E544" s="89"/>
      <c r="F544" s="89"/>
    </row>
    <row r="545" spans="1:6" ht="14.25" customHeight="1">
      <c r="A545" s="1" t="s">
        <v>105</v>
      </c>
      <c r="B545" s="90"/>
      <c r="C545" s="89"/>
      <c r="D545" s="89" t="s">
        <v>2230</v>
      </c>
      <c r="E545" s="89"/>
      <c r="F545" s="89"/>
    </row>
    <row r="546" spans="1:6" ht="14.25" customHeight="1">
      <c r="A546" s="1" t="s">
        <v>105</v>
      </c>
      <c r="B546" s="90"/>
      <c r="C546" s="89"/>
      <c r="D546" s="89" t="s">
        <v>2231</v>
      </c>
      <c r="E546" s="89"/>
      <c r="F546" s="89"/>
    </row>
    <row r="547" spans="1:6" ht="14.25" customHeight="1">
      <c r="A547" s="1" t="s">
        <v>105</v>
      </c>
      <c r="B547" s="90"/>
      <c r="C547" s="89"/>
      <c r="D547" s="89" t="s">
        <v>2232</v>
      </c>
      <c r="E547" s="89"/>
      <c r="F547" s="89"/>
    </row>
    <row r="548" spans="1:6" ht="14.25" customHeight="1">
      <c r="A548" s="1" t="s">
        <v>105</v>
      </c>
      <c r="B548" s="90" t="s">
        <v>2233</v>
      </c>
      <c r="C548" s="90" t="s">
        <v>803</v>
      </c>
      <c r="D548" s="90" t="s">
        <v>803</v>
      </c>
      <c r="E548" s="90" t="s">
        <v>803</v>
      </c>
      <c r="F548" s="90" t="s">
        <v>803</v>
      </c>
    </row>
    <row r="549" spans="1:6" ht="14.25" customHeight="1">
      <c r="A549" s="1" t="s">
        <v>105</v>
      </c>
      <c r="B549" s="90"/>
      <c r="C549" s="89"/>
      <c r="D549" s="89" t="s">
        <v>2234</v>
      </c>
      <c r="E549" s="89"/>
      <c r="F549" s="89"/>
    </row>
    <row r="550" spans="1:6" ht="14.25" customHeight="1">
      <c r="A550" s="1" t="s">
        <v>105</v>
      </c>
      <c r="B550" s="90"/>
      <c r="C550" s="89"/>
      <c r="D550" s="89" t="s">
        <v>2235</v>
      </c>
      <c r="E550" s="89"/>
      <c r="F550" s="89"/>
    </row>
    <row r="551" spans="1:6" ht="14.25" customHeight="1">
      <c r="A551" s="1" t="s">
        <v>105</v>
      </c>
      <c r="B551" s="90"/>
      <c r="C551" s="89"/>
      <c r="D551" s="89" t="s">
        <v>2236</v>
      </c>
      <c r="E551" s="89"/>
      <c r="F551" s="89"/>
    </row>
    <row r="552" spans="1:6" ht="14.25" customHeight="1">
      <c r="A552" s="1" t="s">
        <v>105</v>
      </c>
      <c r="B552" s="90"/>
      <c r="C552" s="89"/>
      <c r="D552" s="89" t="s">
        <v>2237</v>
      </c>
      <c r="E552" s="89"/>
      <c r="F552" s="89"/>
    </row>
    <row r="553" spans="1:6" ht="14.25" customHeight="1">
      <c r="A553" s="1" t="s">
        <v>105</v>
      </c>
      <c r="B553" s="90" t="s">
        <v>2233</v>
      </c>
      <c r="C553" s="90" t="s">
        <v>804</v>
      </c>
      <c r="D553" s="90" t="s">
        <v>804</v>
      </c>
      <c r="E553" s="90" t="s">
        <v>804</v>
      </c>
      <c r="F553" s="90" t="s">
        <v>804</v>
      </c>
    </row>
    <row r="554" spans="1:6" ht="14.25" customHeight="1">
      <c r="A554" s="1" t="s">
        <v>105</v>
      </c>
      <c r="B554" s="90"/>
      <c r="C554" s="89"/>
      <c r="D554" s="89" t="s">
        <v>2238</v>
      </c>
      <c r="E554" s="89"/>
      <c r="F554" s="89"/>
    </row>
    <row r="555" spans="1:6" ht="14.25" customHeight="1">
      <c r="A555" s="1" t="s">
        <v>105</v>
      </c>
      <c r="B555" s="90"/>
      <c r="C555" s="89"/>
      <c r="D555" s="89" t="s">
        <v>2239</v>
      </c>
      <c r="E555" s="89"/>
      <c r="F555" s="89"/>
    </row>
    <row r="556" spans="1:6" ht="14.25" customHeight="1">
      <c r="A556" s="1" t="s">
        <v>105</v>
      </c>
      <c r="B556" s="90"/>
      <c r="C556" s="89"/>
      <c r="D556" s="89" t="s">
        <v>2240</v>
      </c>
      <c r="E556" s="89"/>
      <c r="F556" s="89"/>
    </row>
    <row r="557" spans="1:6" ht="14.25" customHeight="1">
      <c r="A557" s="1" t="s">
        <v>105</v>
      </c>
      <c r="B557" s="90"/>
      <c r="C557" s="89"/>
      <c r="D557" s="89" t="s">
        <v>2241</v>
      </c>
      <c r="E557" s="89"/>
      <c r="F557" s="89"/>
    </row>
    <row r="558" spans="1:6" ht="14.25" customHeight="1">
      <c r="A558" s="1" t="s">
        <v>105</v>
      </c>
      <c r="B558" s="90" t="s">
        <v>2233</v>
      </c>
      <c r="C558" s="90" t="s">
        <v>805</v>
      </c>
      <c r="D558" s="90" t="s">
        <v>805</v>
      </c>
      <c r="E558" s="90" t="s">
        <v>805</v>
      </c>
      <c r="F558" s="90" t="s">
        <v>805</v>
      </c>
    </row>
    <row r="559" spans="1:6" ht="14.25" customHeight="1">
      <c r="A559" s="1" t="s">
        <v>105</v>
      </c>
      <c r="B559" s="90"/>
      <c r="C559" s="89"/>
      <c r="D559" s="89" t="s">
        <v>2242</v>
      </c>
      <c r="E559" s="89"/>
      <c r="F559" s="89"/>
    </row>
    <row r="560" spans="1:6" ht="14.25" customHeight="1">
      <c r="A560" s="1" t="s">
        <v>105</v>
      </c>
      <c r="B560" s="90"/>
      <c r="C560" s="89"/>
      <c r="D560" s="89" t="s">
        <v>2243</v>
      </c>
      <c r="E560" s="89"/>
      <c r="F560" s="89"/>
    </row>
    <row r="561" spans="1:6" ht="14.25" customHeight="1">
      <c r="A561" s="1" t="s">
        <v>105</v>
      </c>
      <c r="B561" s="90"/>
      <c r="C561" s="89"/>
      <c r="D561" s="89" t="s">
        <v>2244</v>
      </c>
      <c r="E561" s="89"/>
      <c r="F561" s="89"/>
    </row>
    <row r="562" spans="1:6" ht="14.25" customHeight="1">
      <c r="A562" s="1" t="s">
        <v>105</v>
      </c>
      <c r="B562" s="90"/>
      <c r="C562" s="89"/>
      <c r="D562" s="89" t="s">
        <v>2245</v>
      </c>
      <c r="E562" s="89"/>
      <c r="F562" s="89"/>
    </row>
    <row r="563" spans="1:6" ht="14.25" customHeight="1">
      <c r="A563" s="1" t="s">
        <v>105</v>
      </c>
      <c r="B563" s="90" t="s">
        <v>2246</v>
      </c>
      <c r="C563" s="90" t="s">
        <v>806</v>
      </c>
      <c r="D563" s="90" t="s">
        <v>806</v>
      </c>
      <c r="E563" s="90" t="s">
        <v>806</v>
      </c>
      <c r="F563" s="90" t="s">
        <v>806</v>
      </c>
    </row>
    <row r="564" spans="1:6" ht="14.25" customHeight="1">
      <c r="A564" s="1" t="s">
        <v>105</v>
      </c>
      <c r="B564" s="90"/>
      <c r="C564" s="89"/>
      <c r="D564" s="89" t="s">
        <v>2247</v>
      </c>
      <c r="E564" s="89"/>
      <c r="F564" s="89"/>
    </row>
    <row r="565" spans="1:6" ht="14.25" customHeight="1">
      <c r="A565" s="1" t="s">
        <v>105</v>
      </c>
      <c r="B565" s="90"/>
      <c r="C565" s="89"/>
      <c r="D565" s="89" t="s">
        <v>2248</v>
      </c>
      <c r="E565" s="89"/>
      <c r="F565" s="89"/>
    </row>
    <row r="566" spans="1:6" ht="14.25" customHeight="1">
      <c r="A566" s="1" t="s">
        <v>105</v>
      </c>
      <c r="B566" s="90"/>
      <c r="C566" s="89"/>
      <c r="D566" s="89" t="s">
        <v>2249</v>
      </c>
      <c r="E566" s="89"/>
      <c r="F566" s="89"/>
    </row>
    <row r="567" spans="1:6" ht="14.25" customHeight="1">
      <c r="A567" s="1" t="s">
        <v>105</v>
      </c>
      <c r="B567" s="90"/>
      <c r="C567" s="89"/>
      <c r="D567" s="89" t="s">
        <v>2250</v>
      </c>
      <c r="E567" s="89"/>
      <c r="F567" s="89"/>
    </row>
    <row r="568" spans="1:6" ht="14.25" customHeight="1">
      <c r="A568" s="1" t="s">
        <v>105</v>
      </c>
      <c r="B568" s="90" t="s">
        <v>2246</v>
      </c>
      <c r="C568" s="90" t="s">
        <v>807</v>
      </c>
      <c r="D568" s="90" t="s">
        <v>807</v>
      </c>
      <c r="E568" s="90" t="s">
        <v>807</v>
      </c>
      <c r="F568" s="90" t="s">
        <v>807</v>
      </c>
    </row>
    <row r="569" spans="1:6" ht="14.25" customHeight="1">
      <c r="A569" s="1" t="s">
        <v>105</v>
      </c>
      <c r="B569" s="90"/>
      <c r="C569" s="89"/>
      <c r="D569" s="89" t="s">
        <v>2251</v>
      </c>
      <c r="E569" s="89"/>
      <c r="F569" s="89"/>
    </row>
    <row r="570" spans="1:6" ht="14.25" customHeight="1">
      <c r="A570" s="1" t="s">
        <v>105</v>
      </c>
      <c r="B570" s="90"/>
      <c r="C570" s="89"/>
      <c r="D570" s="89" t="s">
        <v>2252</v>
      </c>
      <c r="E570" s="89"/>
      <c r="F570" s="89"/>
    </row>
    <row r="571" spans="1:6" ht="14.25" customHeight="1">
      <c r="A571" s="1" t="s">
        <v>105</v>
      </c>
      <c r="B571" s="90"/>
      <c r="C571" s="89"/>
      <c r="D571" s="89" t="s">
        <v>2253</v>
      </c>
      <c r="E571" s="89"/>
      <c r="F571" s="89"/>
    </row>
    <row r="572" spans="1:6" ht="14.25" customHeight="1">
      <c r="A572" s="1" t="s">
        <v>105</v>
      </c>
      <c r="B572" s="90"/>
      <c r="C572" s="89"/>
      <c r="D572" s="89" t="s">
        <v>2254</v>
      </c>
      <c r="E572" s="89"/>
      <c r="F572" s="89"/>
    </row>
    <row r="573" spans="1:6" ht="14.25" customHeight="1">
      <c r="A573" s="1" t="s">
        <v>105</v>
      </c>
      <c r="B573" s="90" t="s">
        <v>2255</v>
      </c>
      <c r="C573" s="90" t="s">
        <v>808</v>
      </c>
      <c r="D573" s="90" t="s">
        <v>808</v>
      </c>
      <c r="E573" s="90" t="s">
        <v>808</v>
      </c>
      <c r="F573" s="90" t="s">
        <v>808</v>
      </c>
    </row>
    <row r="574" spans="1:6" ht="14.25" customHeight="1">
      <c r="A574" s="1" t="s">
        <v>105</v>
      </c>
      <c r="B574" s="90"/>
      <c r="C574" s="89" t="str">
        <f t="shared" ref="C574:C575" si="17">D574</f>
        <v>PR12-1</v>
      </c>
      <c r="D574" s="89" t="s">
        <v>2256</v>
      </c>
      <c r="E574" s="89"/>
      <c r="F574" s="89"/>
    </row>
    <row r="575" spans="1:6" ht="14.25" customHeight="1">
      <c r="A575" s="1" t="s">
        <v>105</v>
      </c>
      <c r="B575" s="90"/>
      <c r="C575" s="89" t="str">
        <f t="shared" si="17"/>
        <v>PR12-2</v>
      </c>
      <c r="D575" s="89" t="s">
        <v>2257</v>
      </c>
      <c r="E575" s="89"/>
      <c r="F575" s="89"/>
    </row>
    <row r="576" spans="1:6" ht="14.25" customHeight="1">
      <c r="A576" s="1" t="s">
        <v>105</v>
      </c>
      <c r="B576" s="90"/>
      <c r="C576" s="89"/>
      <c r="D576" s="89" t="s">
        <v>2258</v>
      </c>
      <c r="E576" s="89"/>
      <c r="F576" s="89"/>
    </row>
    <row r="577" spans="1:6" ht="14.25" customHeight="1">
      <c r="A577" s="1" t="s">
        <v>105</v>
      </c>
      <c r="B577" s="90"/>
      <c r="C577" s="89"/>
      <c r="D577" s="89" t="s">
        <v>2259</v>
      </c>
      <c r="E577" s="89"/>
      <c r="F577" s="89"/>
    </row>
    <row r="578" spans="1:6" ht="14.25" customHeight="1">
      <c r="A578" s="1" t="s">
        <v>105</v>
      </c>
      <c r="B578" s="90"/>
      <c r="C578" s="89"/>
      <c r="D578" s="89" t="s">
        <v>2260</v>
      </c>
      <c r="E578" s="89"/>
      <c r="F578" s="89"/>
    </row>
    <row r="579" spans="1:6" ht="14.25" customHeight="1">
      <c r="A579" s="1" t="s">
        <v>105</v>
      </c>
      <c r="B579" s="90"/>
      <c r="C579" s="89"/>
      <c r="D579" s="89" t="s">
        <v>2261</v>
      </c>
      <c r="E579" s="89"/>
      <c r="F579" s="89"/>
    </row>
    <row r="580" spans="1:6" ht="14.25" customHeight="1">
      <c r="A580" s="1" t="s">
        <v>105</v>
      </c>
      <c r="B580" s="90" t="s">
        <v>2255</v>
      </c>
      <c r="C580" s="90" t="s">
        <v>809</v>
      </c>
      <c r="D580" s="90" t="s">
        <v>809</v>
      </c>
      <c r="E580" s="90" t="s">
        <v>809</v>
      </c>
      <c r="F580" s="90" t="s">
        <v>809</v>
      </c>
    </row>
    <row r="581" spans="1:6" ht="14.25" customHeight="1">
      <c r="A581" s="1" t="s">
        <v>105</v>
      </c>
      <c r="B581" s="90"/>
      <c r="C581" s="89" t="str">
        <f t="shared" ref="C581:C582" si="18">D581</f>
        <v>PR13-1</v>
      </c>
      <c r="D581" s="89" t="s">
        <v>2262</v>
      </c>
      <c r="E581" s="89"/>
      <c r="F581" s="89"/>
    </row>
    <row r="582" spans="1:6" ht="14.25" customHeight="1">
      <c r="A582" s="1" t="s">
        <v>105</v>
      </c>
      <c r="B582" s="90"/>
      <c r="C582" s="89" t="str">
        <f t="shared" si="18"/>
        <v>PR13-2</v>
      </c>
      <c r="D582" s="89" t="s">
        <v>2263</v>
      </c>
      <c r="E582" s="89"/>
      <c r="F582" s="89"/>
    </row>
    <row r="583" spans="1:6" ht="14.25" customHeight="1">
      <c r="A583" s="1" t="s">
        <v>105</v>
      </c>
      <c r="B583" s="90"/>
      <c r="C583" s="89"/>
      <c r="D583" s="89" t="s">
        <v>2264</v>
      </c>
      <c r="E583" s="89"/>
      <c r="F583" s="89"/>
    </row>
    <row r="584" spans="1:6" ht="14.25" customHeight="1">
      <c r="A584" s="1" t="s">
        <v>105</v>
      </c>
      <c r="B584" s="90"/>
      <c r="C584" s="89"/>
      <c r="D584" s="89" t="s">
        <v>2265</v>
      </c>
      <c r="E584" s="89"/>
      <c r="F584" s="89"/>
    </row>
    <row r="585" spans="1:6" ht="14.25" customHeight="1">
      <c r="A585" s="1" t="s">
        <v>105</v>
      </c>
      <c r="B585" s="90"/>
      <c r="C585" s="89"/>
      <c r="D585" s="89" t="s">
        <v>2266</v>
      </c>
      <c r="E585" s="89"/>
      <c r="F585" s="89"/>
    </row>
    <row r="586" spans="1:6" ht="14.25" customHeight="1">
      <c r="A586" s="1" t="s">
        <v>105</v>
      </c>
      <c r="B586" s="90"/>
      <c r="C586" s="89"/>
      <c r="D586" s="89" t="s">
        <v>2267</v>
      </c>
      <c r="E586" s="89"/>
      <c r="F586" s="89"/>
    </row>
    <row r="587" spans="1:6" ht="14.25" customHeight="1">
      <c r="A587" s="1" t="s">
        <v>105</v>
      </c>
      <c r="B587" s="90" t="s">
        <v>2255</v>
      </c>
      <c r="C587" s="90" t="s">
        <v>810</v>
      </c>
      <c r="D587" s="90" t="s">
        <v>810</v>
      </c>
      <c r="E587" s="90" t="s">
        <v>810</v>
      </c>
      <c r="F587" s="90" t="s">
        <v>810</v>
      </c>
    </row>
    <row r="588" spans="1:6" ht="14.25" customHeight="1">
      <c r="A588" s="1" t="s">
        <v>105</v>
      </c>
      <c r="B588" s="90"/>
      <c r="C588" s="89" t="str">
        <f t="shared" ref="C588:C589" si="19">D588</f>
        <v>PR14-1</v>
      </c>
      <c r="D588" s="89" t="s">
        <v>2268</v>
      </c>
      <c r="E588" s="89"/>
      <c r="F588" s="89"/>
    </row>
    <row r="589" spans="1:6" ht="14.25" customHeight="1">
      <c r="A589" s="1" t="s">
        <v>105</v>
      </c>
      <c r="B589" s="90"/>
      <c r="C589" s="89" t="str">
        <f t="shared" si="19"/>
        <v>PR14-2</v>
      </c>
      <c r="D589" s="89" t="s">
        <v>2269</v>
      </c>
      <c r="E589" s="89"/>
      <c r="F589" s="89"/>
    </row>
    <row r="590" spans="1:6" ht="14.25" customHeight="1">
      <c r="A590" s="1" t="s">
        <v>105</v>
      </c>
      <c r="B590" s="90"/>
      <c r="C590" s="89"/>
      <c r="D590" s="89" t="s">
        <v>2270</v>
      </c>
      <c r="E590" s="89"/>
      <c r="F590" s="89"/>
    </row>
    <row r="591" spans="1:6" ht="14.25" customHeight="1">
      <c r="A591" s="1" t="s">
        <v>105</v>
      </c>
      <c r="B591" s="90"/>
      <c r="C591" s="89"/>
      <c r="D591" s="89" t="s">
        <v>2271</v>
      </c>
      <c r="E591" s="89"/>
      <c r="F591" s="89"/>
    </row>
    <row r="592" spans="1:6" ht="14.25" customHeight="1">
      <c r="A592" s="1" t="s">
        <v>105</v>
      </c>
      <c r="B592" s="90"/>
      <c r="C592" s="89"/>
      <c r="D592" s="89" t="s">
        <v>2272</v>
      </c>
      <c r="E592" s="89"/>
      <c r="F592" s="89"/>
    </row>
    <row r="593" spans="1:6" ht="14.25" customHeight="1">
      <c r="A593" s="1" t="s">
        <v>105</v>
      </c>
      <c r="B593" s="90"/>
      <c r="C593" s="89"/>
      <c r="D593" s="89" t="s">
        <v>2273</v>
      </c>
      <c r="E593" s="89"/>
      <c r="F593" s="89"/>
    </row>
    <row r="594" spans="1:6" ht="14.25" customHeight="1">
      <c r="A594" s="1" t="s">
        <v>105</v>
      </c>
      <c r="B594" s="90" t="s">
        <v>2255</v>
      </c>
      <c r="C594" s="90" t="s">
        <v>811</v>
      </c>
      <c r="D594" s="90" t="s">
        <v>811</v>
      </c>
      <c r="E594" s="90" t="s">
        <v>811</v>
      </c>
      <c r="F594" s="90" t="s">
        <v>811</v>
      </c>
    </row>
    <row r="595" spans="1:6" ht="14.25" customHeight="1">
      <c r="A595" s="1" t="s">
        <v>105</v>
      </c>
      <c r="B595" s="90"/>
      <c r="C595" s="89" t="str">
        <f t="shared" ref="C595:C596" si="20">D595</f>
        <v>PR15-1</v>
      </c>
      <c r="D595" s="89" t="s">
        <v>2274</v>
      </c>
      <c r="E595" s="89"/>
      <c r="F595" s="89"/>
    </row>
    <row r="596" spans="1:6" ht="14.25" customHeight="1">
      <c r="A596" s="1" t="s">
        <v>105</v>
      </c>
      <c r="B596" s="90"/>
      <c r="C596" s="89" t="str">
        <f t="shared" si="20"/>
        <v>PR15-2</v>
      </c>
      <c r="D596" s="89" t="s">
        <v>2275</v>
      </c>
      <c r="E596" s="89"/>
      <c r="F596" s="89"/>
    </row>
    <row r="597" spans="1:6" ht="14.25" customHeight="1">
      <c r="A597" s="1" t="s">
        <v>105</v>
      </c>
      <c r="B597" s="90"/>
      <c r="C597" s="89"/>
      <c r="D597" s="89" t="s">
        <v>2276</v>
      </c>
      <c r="E597" s="89"/>
      <c r="F597" s="89"/>
    </row>
    <row r="598" spans="1:6" ht="14.25" customHeight="1">
      <c r="A598" s="1" t="s">
        <v>105</v>
      </c>
      <c r="B598" s="90"/>
      <c r="C598" s="89"/>
      <c r="D598" s="89" t="s">
        <v>2277</v>
      </c>
      <c r="E598" s="89"/>
      <c r="F598" s="89"/>
    </row>
    <row r="599" spans="1:6" ht="14.25" customHeight="1">
      <c r="A599" s="1" t="s">
        <v>105</v>
      </c>
      <c r="B599" s="90"/>
      <c r="C599" s="89"/>
      <c r="D599" s="89" t="s">
        <v>2278</v>
      </c>
      <c r="E599" s="89"/>
      <c r="F599" s="89"/>
    </row>
    <row r="600" spans="1:6" ht="14.25" customHeight="1">
      <c r="A600" s="1" t="s">
        <v>105</v>
      </c>
      <c r="B600" s="90"/>
      <c r="C600" s="89"/>
      <c r="D600" s="89" t="s">
        <v>2279</v>
      </c>
      <c r="E600" s="89"/>
      <c r="F600" s="89"/>
    </row>
    <row r="601" spans="1:6" ht="14.25" customHeight="1">
      <c r="A601" s="1" t="s">
        <v>105</v>
      </c>
      <c r="B601" s="90" t="s">
        <v>2280</v>
      </c>
      <c r="C601" s="90" t="s">
        <v>812</v>
      </c>
      <c r="D601" s="90" t="s">
        <v>812</v>
      </c>
      <c r="E601" s="90" t="s">
        <v>812</v>
      </c>
      <c r="F601" s="90" t="s">
        <v>812</v>
      </c>
    </row>
    <row r="602" spans="1:6" ht="14.25" customHeight="1">
      <c r="A602" s="1" t="s">
        <v>105</v>
      </c>
      <c r="B602" s="90"/>
      <c r="C602" s="89"/>
      <c r="D602" s="89" t="s">
        <v>2281</v>
      </c>
      <c r="E602" s="89"/>
      <c r="F602" s="89"/>
    </row>
    <row r="603" spans="1:6" ht="14.25" customHeight="1">
      <c r="A603" s="1" t="s">
        <v>105</v>
      </c>
      <c r="B603" s="90"/>
      <c r="C603" s="89"/>
      <c r="D603" s="89" t="s">
        <v>2282</v>
      </c>
      <c r="E603" s="89"/>
      <c r="F603" s="89"/>
    </row>
    <row r="604" spans="1:6" ht="14.25" customHeight="1">
      <c r="A604" s="1" t="s">
        <v>105</v>
      </c>
      <c r="B604" s="90"/>
      <c r="C604" s="89"/>
      <c r="D604" s="89" t="s">
        <v>2283</v>
      </c>
      <c r="E604" s="89"/>
      <c r="F604" s="89"/>
    </row>
    <row r="605" spans="1:6" ht="14.25" customHeight="1">
      <c r="A605" s="1" t="s">
        <v>105</v>
      </c>
      <c r="B605" s="90"/>
      <c r="C605" s="89"/>
      <c r="D605" s="89" t="s">
        <v>2284</v>
      </c>
      <c r="E605" s="89"/>
      <c r="F605" s="89"/>
    </row>
    <row r="606" spans="1:6" ht="14.25" customHeight="1">
      <c r="A606" s="1" t="s">
        <v>105</v>
      </c>
      <c r="B606" s="90" t="s">
        <v>2280</v>
      </c>
      <c r="C606" s="90" t="s">
        <v>813</v>
      </c>
      <c r="D606" s="90" t="s">
        <v>813</v>
      </c>
      <c r="E606" s="90" t="s">
        <v>813</v>
      </c>
      <c r="F606" s="90" t="s">
        <v>813</v>
      </c>
    </row>
    <row r="607" spans="1:6" ht="14.25" customHeight="1">
      <c r="A607" s="1" t="s">
        <v>105</v>
      </c>
      <c r="B607" s="90"/>
      <c r="C607" s="89"/>
      <c r="D607" s="89" t="s">
        <v>2285</v>
      </c>
      <c r="E607" s="89"/>
      <c r="F607" s="89"/>
    </row>
    <row r="608" spans="1:6" ht="14.25" customHeight="1">
      <c r="A608" s="1" t="s">
        <v>105</v>
      </c>
      <c r="B608" s="90"/>
      <c r="C608" s="89"/>
      <c r="D608" s="89" t="s">
        <v>2286</v>
      </c>
      <c r="E608" s="89"/>
      <c r="F608" s="89"/>
    </row>
    <row r="609" spans="1:6" ht="14.25" customHeight="1">
      <c r="A609" s="1" t="s">
        <v>105</v>
      </c>
      <c r="B609" s="90"/>
      <c r="C609" s="89"/>
      <c r="D609" s="89" t="s">
        <v>2287</v>
      </c>
      <c r="E609" s="89"/>
      <c r="F609" s="89"/>
    </row>
    <row r="610" spans="1:6" ht="14.25" customHeight="1">
      <c r="A610" s="1" t="s">
        <v>105</v>
      </c>
      <c r="B610" s="90"/>
      <c r="C610" s="89"/>
      <c r="D610" s="89" t="s">
        <v>2288</v>
      </c>
      <c r="E610" s="89"/>
      <c r="F610" s="89"/>
    </row>
    <row r="611" spans="1:6" ht="14.25" customHeight="1">
      <c r="A611" s="1" t="s">
        <v>105</v>
      </c>
      <c r="B611" s="90" t="s">
        <v>2289</v>
      </c>
      <c r="C611" s="90" t="s">
        <v>814</v>
      </c>
      <c r="D611" s="90" t="s">
        <v>814</v>
      </c>
      <c r="E611" s="90" t="s">
        <v>814</v>
      </c>
      <c r="F611" s="90" t="s">
        <v>814</v>
      </c>
    </row>
    <row r="612" spans="1:6" ht="14.25" customHeight="1">
      <c r="A612" s="1" t="s">
        <v>105</v>
      </c>
      <c r="B612" s="90"/>
      <c r="C612" s="89"/>
      <c r="D612" s="89" t="s">
        <v>2290</v>
      </c>
      <c r="E612" s="89"/>
      <c r="F612" s="89"/>
    </row>
    <row r="613" spans="1:6" ht="14.25" customHeight="1">
      <c r="A613" s="1" t="s">
        <v>105</v>
      </c>
      <c r="B613" s="90"/>
      <c r="C613" s="89"/>
      <c r="D613" s="89" t="s">
        <v>2291</v>
      </c>
      <c r="E613" s="89"/>
      <c r="F613" s="89"/>
    </row>
    <row r="614" spans="1:6" ht="14.25" customHeight="1">
      <c r="A614" s="1" t="s">
        <v>105</v>
      </c>
      <c r="B614" s="90"/>
      <c r="C614" s="89"/>
      <c r="D614" s="89" t="s">
        <v>2292</v>
      </c>
      <c r="E614" s="89"/>
      <c r="F614" s="89"/>
    </row>
    <row r="615" spans="1:6" ht="14.25" customHeight="1">
      <c r="A615" s="1" t="s">
        <v>105</v>
      </c>
      <c r="B615" s="90"/>
      <c r="C615" s="89"/>
      <c r="D615" s="89" t="s">
        <v>2293</v>
      </c>
      <c r="E615" s="89"/>
      <c r="F615" s="89"/>
    </row>
    <row r="616" spans="1:6" ht="14.25" customHeight="1">
      <c r="A616" s="1" t="s">
        <v>105</v>
      </c>
      <c r="B616" s="90" t="s">
        <v>2289</v>
      </c>
      <c r="C616" s="90" t="s">
        <v>815</v>
      </c>
      <c r="D616" s="90" t="s">
        <v>815</v>
      </c>
      <c r="E616" s="90" t="s">
        <v>815</v>
      </c>
      <c r="F616" s="90" t="s">
        <v>815</v>
      </c>
    </row>
    <row r="617" spans="1:6" ht="14.25" customHeight="1">
      <c r="A617" s="1" t="s">
        <v>105</v>
      </c>
      <c r="B617" s="90"/>
      <c r="C617" s="89"/>
      <c r="D617" s="89" t="s">
        <v>2294</v>
      </c>
      <c r="E617" s="89"/>
      <c r="F617" s="89"/>
    </row>
    <row r="618" spans="1:6" ht="14.25" customHeight="1">
      <c r="A618" s="1" t="s">
        <v>105</v>
      </c>
      <c r="B618" s="90"/>
      <c r="C618" s="89"/>
      <c r="D618" s="89" t="s">
        <v>2295</v>
      </c>
      <c r="E618" s="89"/>
      <c r="F618" s="89"/>
    </row>
    <row r="619" spans="1:6" ht="14.25" customHeight="1">
      <c r="A619" s="1" t="s">
        <v>105</v>
      </c>
      <c r="B619" s="90"/>
      <c r="C619" s="89"/>
      <c r="D619" s="89" t="s">
        <v>2296</v>
      </c>
      <c r="E619" s="89"/>
      <c r="F619" s="89"/>
    </row>
    <row r="620" spans="1:6" ht="14.25" customHeight="1">
      <c r="A620" s="1" t="s">
        <v>105</v>
      </c>
      <c r="B620" s="90"/>
      <c r="C620" s="89"/>
      <c r="D620" s="89" t="s">
        <v>2297</v>
      </c>
      <c r="E620" s="89"/>
      <c r="F620" s="89"/>
    </row>
    <row r="621" spans="1:6" ht="14.25" customHeight="1">
      <c r="A621" s="1" t="s">
        <v>105</v>
      </c>
      <c r="B621" s="90" t="s">
        <v>2289</v>
      </c>
      <c r="C621" s="90" t="s">
        <v>816</v>
      </c>
      <c r="D621" s="90" t="s">
        <v>816</v>
      </c>
      <c r="E621" s="90" t="s">
        <v>816</v>
      </c>
      <c r="F621" s="90" t="s">
        <v>816</v>
      </c>
    </row>
    <row r="622" spans="1:6" ht="14.25" customHeight="1">
      <c r="A622" s="1" t="s">
        <v>105</v>
      </c>
      <c r="B622" s="90"/>
      <c r="C622" s="89"/>
      <c r="D622" s="89" t="s">
        <v>2298</v>
      </c>
      <c r="E622" s="89"/>
      <c r="F622" s="89"/>
    </row>
    <row r="623" spans="1:6" ht="14.25" customHeight="1">
      <c r="A623" s="1" t="s">
        <v>105</v>
      </c>
      <c r="B623" s="90"/>
      <c r="C623" s="89"/>
      <c r="D623" s="89" t="s">
        <v>2299</v>
      </c>
      <c r="E623" s="89"/>
      <c r="F623" s="89"/>
    </row>
    <row r="624" spans="1:6" ht="14.25" customHeight="1">
      <c r="A624" s="1" t="s">
        <v>105</v>
      </c>
      <c r="B624" s="90"/>
      <c r="C624" s="89"/>
      <c r="D624" s="89" t="s">
        <v>2300</v>
      </c>
      <c r="E624" s="89"/>
      <c r="F624" s="89"/>
    </row>
    <row r="625" spans="1:6" ht="14.25" customHeight="1">
      <c r="A625" s="1" t="s">
        <v>105</v>
      </c>
      <c r="B625" s="90"/>
      <c r="C625" s="89"/>
      <c r="D625" s="89" t="s">
        <v>2301</v>
      </c>
      <c r="E625" s="89"/>
      <c r="F625" s="89"/>
    </row>
    <row r="626" spans="1:6" ht="14.25" customHeight="1">
      <c r="A626" s="1" t="s">
        <v>105</v>
      </c>
      <c r="B626" s="90" t="s">
        <v>2289</v>
      </c>
      <c r="C626" s="90" t="s">
        <v>817</v>
      </c>
      <c r="D626" s="90" t="s">
        <v>817</v>
      </c>
      <c r="E626" s="90" t="s">
        <v>817</v>
      </c>
      <c r="F626" s="90" t="s">
        <v>817</v>
      </c>
    </row>
    <row r="627" spans="1:6" ht="14.25" customHeight="1">
      <c r="A627" s="1" t="s">
        <v>105</v>
      </c>
      <c r="B627" s="90"/>
      <c r="C627" s="89"/>
      <c r="D627" s="89" t="s">
        <v>2302</v>
      </c>
      <c r="E627" s="89"/>
      <c r="F627" s="89"/>
    </row>
    <row r="628" spans="1:6" ht="14.25" customHeight="1">
      <c r="A628" s="1" t="s">
        <v>105</v>
      </c>
      <c r="B628" s="90"/>
      <c r="C628" s="89"/>
      <c r="D628" s="89" t="s">
        <v>2303</v>
      </c>
      <c r="E628" s="89"/>
      <c r="F628" s="89"/>
    </row>
    <row r="629" spans="1:6" ht="14.25" customHeight="1">
      <c r="A629" s="1" t="s">
        <v>105</v>
      </c>
      <c r="B629" s="90"/>
      <c r="C629" s="89"/>
      <c r="D629" s="89" t="s">
        <v>2304</v>
      </c>
      <c r="E629" s="89"/>
      <c r="F629" s="89"/>
    </row>
    <row r="630" spans="1:6" ht="14.25" customHeight="1">
      <c r="A630" s="1" t="s">
        <v>105</v>
      </c>
      <c r="B630" s="90"/>
      <c r="C630" s="89"/>
      <c r="D630" s="89" t="s">
        <v>2305</v>
      </c>
      <c r="E630" s="89"/>
      <c r="F630" s="89"/>
    </row>
    <row r="631" spans="1:6" ht="14.25" customHeight="1">
      <c r="A631" s="1" t="s">
        <v>105</v>
      </c>
      <c r="B631" s="90" t="s">
        <v>2289</v>
      </c>
      <c r="C631" s="90" t="s">
        <v>818</v>
      </c>
      <c r="D631" s="90" t="s">
        <v>818</v>
      </c>
      <c r="E631" s="90" t="s">
        <v>818</v>
      </c>
      <c r="F631" s="90" t="s">
        <v>818</v>
      </c>
    </row>
    <row r="632" spans="1:6" ht="14.25" customHeight="1">
      <c r="A632" s="1" t="s">
        <v>105</v>
      </c>
      <c r="B632" s="90"/>
      <c r="C632" s="89"/>
      <c r="D632" s="89" t="s">
        <v>2306</v>
      </c>
      <c r="E632" s="89"/>
      <c r="F632" s="89"/>
    </row>
    <row r="633" spans="1:6" ht="14.25" customHeight="1">
      <c r="A633" s="1" t="s">
        <v>105</v>
      </c>
      <c r="B633" s="90"/>
      <c r="C633" s="89"/>
      <c r="D633" s="89" t="s">
        <v>2307</v>
      </c>
      <c r="E633" s="89"/>
      <c r="F633" s="89"/>
    </row>
    <row r="634" spans="1:6" ht="14.25" customHeight="1">
      <c r="A634" s="1" t="s">
        <v>105</v>
      </c>
      <c r="B634" s="90"/>
      <c r="C634" s="89"/>
      <c r="D634" s="89" t="s">
        <v>2308</v>
      </c>
      <c r="E634" s="89"/>
      <c r="F634" s="89"/>
    </row>
    <row r="635" spans="1:6" ht="14.25" customHeight="1">
      <c r="A635" s="1" t="s">
        <v>105</v>
      </c>
      <c r="B635" s="90"/>
      <c r="C635" s="89"/>
      <c r="D635" s="89" t="s">
        <v>2309</v>
      </c>
      <c r="E635" s="89"/>
      <c r="F635" s="89"/>
    </row>
    <row r="636" spans="1:6" ht="14.25" customHeight="1">
      <c r="A636" s="1" t="s">
        <v>105</v>
      </c>
      <c r="B636" s="90" t="s">
        <v>2310</v>
      </c>
      <c r="C636" s="90" t="s">
        <v>819</v>
      </c>
      <c r="D636" s="90" t="s">
        <v>819</v>
      </c>
      <c r="E636" s="90" t="s">
        <v>819</v>
      </c>
      <c r="F636" s="90" t="s">
        <v>819</v>
      </c>
    </row>
    <row r="637" spans="1:6" ht="14.25" customHeight="1">
      <c r="A637" s="1" t="s">
        <v>105</v>
      </c>
      <c r="B637" s="90"/>
      <c r="C637" s="89"/>
      <c r="D637" s="89" t="s">
        <v>2311</v>
      </c>
      <c r="E637" s="89"/>
      <c r="F637" s="89"/>
    </row>
    <row r="638" spans="1:6" ht="14.25" customHeight="1">
      <c r="A638" s="1" t="s">
        <v>105</v>
      </c>
      <c r="B638" s="90"/>
      <c r="C638" s="89"/>
      <c r="D638" s="89" t="s">
        <v>2312</v>
      </c>
      <c r="E638" s="89"/>
      <c r="F638" s="89"/>
    </row>
    <row r="639" spans="1:6" ht="14.25" customHeight="1">
      <c r="A639" s="1" t="s">
        <v>105</v>
      </c>
      <c r="B639" s="90"/>
      <c r="C639" s="89"/>
      <c r="D639" s="89" t="s">
        <v>2313</v>
      </c>
      <c r="E639" s="89"/>
      <c r="F639" s="89"/>
    </row>
    <row r="640" spans="1:6" ht="14.25" customHeight="1">
      <c r="A640" s="1" t="s">
        <v>105</v>
      </c>
      <c r="B640" s="90"/>
      <c r="C640" s="89"/>
      <c r="D640" s="89" t="s">
        <v>2314</v>
      </c>
      <c r="E640" s="89"/>
      <c r="F640" s="89"/>
    </row>
    <row r="641" spans="1:6" ht="14.25" customHeight="1">
      <c r="A641" s="1" t="s">
        <v>105</v>
      </c>
      <c r="B641" s="90" t="s">
        <v>2310</v>
      </c>
      <c r="C641" s="90" t="s">
        <v>820</v>
      </c>
      <c r="D641" s="90" t="s">
        <v>820</v>
      </c>
      <c r="E641" s="90" t="s">
        <v>820</v>
      </c>
      <c r="F641" s="90" t="s">
        <v>820</v>
      </c>
    </row>
    <row r="642" spans="1:6" ht="14.25" customHeight="1">
      <c r="A642" s="1" t="s">
        <v>105</v>
      </c>
      <c r="B642" s="90"/>
      <c r="C642" s="89"/>
      <c r="D642" s="89" t="s">
        <v>2315</v>
      </c>
      <c r="E642" s="89"/>
      <c r="F642" s="89"/>
    </row>
    <row r="643" spans="1:6" ht="14.25" customHeight="1">
      <c r="A643" s="1" t="s">
        <v>105</v>
      </c>
      <c r="B643" s="90"/>
      <c r="C643" s="89"/>
      <c r="D643" s="89" t="s">
        <v>2316</v>
      </c>
      <c r="E643" s="89"/>
      <c r="F643" s="89"/>
    </row>
    <row r="644" spans="1:6" ht="14.25" customHeight="1">
      <c r="A644" s="1" t="s">
        <v>105</v>
      </c>
      <c r="B644" s="90"/>
      <c r="C644" s="89"/>
      <c r="D644" s="89" t="s">
        <v>2317</v>
      </c>
      <c r="E644" s="89"/>
      <c r="F644" s="89"/>
    </row>
    <row r="645" spans="1:6" ht="14.25" customHeight="1">
      <c r="A645" s="1" t="s">
        <v>105</v>
      </c>
      <c r="B645" s="90"/>
      <c r="C645" s="89"/>
      <c r="D645" s="89" t="s">
        <v>2318</v>
      </c>
      <c r="E645" s="89"/>
      <c r="F645" s="89"/>
    </row>
    <row r="646" spans="1:6" ht="14.25" customHeight="1">
      <c r="A646" s="1" t="s">
        <v>105</v>
      </c>
      <c r="B646" s="90" t="s">
        <v>2310</v>
      </c>
      <c r="C646" s="90" t="s">
        <v>821</v>
      </c>
      <c r="D646" s="90" t="s">
        <v>821</v>
      </c>
      <c r="E646" s="90" t="s">
        <v>821</v>
      </c>
      <c r="F646" s="90" t="s">
        <v>821</v>
      </c>
    </row>
    <row r="647" spans="1:6" ht="14.25" customHeight="1">
      <c r="A647" s="1" t="s">
        <v>105</v>
      </c>
      <c r="B647" s="90"/>
      <c r="C647" s="89"/>
      <c r="D647" s="89" t="s">
        <v>2319</v>
      </c>
      <c r="E647" s="89"/>
      <c r="F647" s="89"/>
    </row>
    <row r="648" spans="1:6" ht="14.25" customHeight="1">
      <c r="A648" s="1" t="s">
        <v>105</v>
      </c>
      <c r="B648" s="90"/>
      <c r="C648" s="89"/>
      <c r="D648" s="89" t="s">
        <v>2320</v>
      </c>
      <c r="E648" s="89"/>
      <c r="F648" s="89"/>
    </row>
    <row r="649" spans="1:6" ht="14.25" customHeight="1">
      <c r="A649" s="1" t="s">
        <v>105</v>
      </c>
      <c r="B649" s="90"/>
      <c r="C649" s="89"/>
      <c r="D649" s="89" t="s">
        <v>2321</v>
      </c>
      <c r="E649" s="89"/>
      <c r="F649" s="89"/>
    </row>
    <row r="650" spans="1:6" ht="14.25" customHeight="1">
      <c r="A650" s="1" t="s">
        <v>105</v>
      </c>
      <c r="B650" s="90"/>
      <c r="C650" s="89"/>
      <c r="D650" s="89" t="s">
        <v>2322</v>
      </c>
      <c r="E650" s="89"/>
      <c r="F650" s="89"/>
    </row>
    <row r="651" spans="1:6" ht="14.25" customHeight="1">
      <c r="A651" s="1" t="s">
        <v>105</v>
      </c>
      <c r="B651" s="90" t="s">
        <v>2310</v>
      </c>
      <c r="C651" s="90" t="s">
        <v>822</v>
      </c>
      <c r="D651" s="90" t="s">
        <v>822</v>
      </c>
      <c r="E651" s="90" t="s">
        <v>822</v>
      </c>
      <c r="F651" s="90" t="s">
        <v>822</v>
      </c>
    </row>
    <row r="652" spans="1:6" ht="14.25" customHeight="1">
      <c r="A652" s="1" t="s">
        <v>105</v>
      </c>
      <c r="B652" s="90"/>
      <c r="C652" s="89"/>
      <c r="D652" s="89" t="s">
        <v>2323</v>
      </c>
      <c r="E652" s="89"/>
      <c r="F652" s="89"/>
    </row>
    <row r="653" spans="1:6" ht="14.25" customHeight="1">
      <c r="A653" s="1" t="s">
        <v>105</v>
      </c>
      <c r="B653" s="90"/>
      <c r="C653" s="89"/>
      <c r="D653" s="89" t="s">
        <v>2324</v>
      </c>
      <c r="E653" s="89"/>
      <c r="F653" s="89"/>
    </row>
    <row r="654" spans="1:6" ht="14.25" customHeight="1">
      <c r="A654" s="1" t="s">
        <v>105</v>
      </c>
      <c r="B654" s="90"/>
      <c r="C654" s="89"/>
      <c r="D654" s="89" t="s">
        <v>2325</v>
      </c>
      <c r="E654" s="89"/>
      <c r="F654" s="89"/>
    </row>
    <row r="655" spans="1:6" ht="14.25" customHeight="1">
      <c r="A655" s="1" t="s">
        <v>105</v>
      </c>
      <c r="B655" s="90"/>
      <c r="C655" s="89"/>
      <c r="D655" s="89" t="s">
        <v>2326</v>
      </c>
      <c r="E655" s="89"/>
      <c r="F655" s="89"/>
    </row>
    <row r="656" spans="1:6" ht="14.25" customHeight="1">
      <c r="A656" s="1" t="s">
        <v>105</v>
      </c>
      <c r="B656" s="90" t="s">
        <v>2310</v>
      </c>
      <c r="C656" s="90" t="s">
        <v>823</v>
      </c>
      <c r="D656" s="90" t="s">
        <v>823</v>
      </c>
      <c r="E656" s="90" t="s">
        <v>823</v>
      </c>
      <c r="F656" s="90" t="s">
        <v>823</v>
      </c>
    </row>
    <row r="657" spans="1:6" ht="14.25" customHeight="1">
      <c r="A657" s="1" t="s">
        <v>105</v>
      </c>
      <c r="B657" s="90"/>
      <c r="C657" s="89"/>
      <c r="D657" s="89" t="s">
        <v>2327</v>
      </c>
      <c r="E657" s="89"/>
      <c r="F657" s="89"/>
    </row>
    <row r="658" spans="1:6" ht="14.25" customHeight="1">
      <c r="A658" s="1" t="s">
        <v>105</v>
      </c>
      <c r="B658" s="90"/>
      <c r="C658" s="89"/>
      <c r="D658" s="89" t="s">
        <v>2328</v>
      </c>
      <c r="E658" s="89"/>
      <c r="F658" s="89"/>
    </row>
    <row r="659" spans="1:6" ht="14.25" customHeight="1">
      <c r="A659" s="1" t="s">
        <v>105</v>
      </c>
      <c r="B659" s="90"/>
      <c r="C659" s="89"/>
      <c r="D659" s="89" t="s">
        <v>2329</v>
      </c>
      <c r="E659" s="89"/>
      <c r="F659" s="89"/>
    </row>
    <row r="660" spans="1:6" ht="14.25" customHeight="1">
      <c r="A660" s="1" t="s">
        <v>105</v>
      </c>
      <c r="B660" s="90"/>
      <c r="C660" s="89"/>
      <c r="D660" s="89" t="s">
        <v>2330</v>
      </c>
      <c r="E660" s="89"/>
      <c r="F660" s="89"/>
    </row>
    <row r="661" spans="1:6" ht="14.25" customHeight="1">
      <c r="A661" s="1" t="s">
        <v>105</v>
      </c>
      <c r="B661" s="90" t="s">
        <v>2331</v>
      </c>
      <c r="C661" s="90" t="s">
        <v>824</v>
      </c>
      <c r="D661" s="90" t="s">
        <v>824</v>
      </c>
      <c r="E661" s="90" t="s">
        <v>824</v>
      </c>
      <c r="F661" s="90" t="s">
        <v>824</v>
      </c>
    </row>
    <row r="662" spans="1:6" ht="14.25" customHeight="1">
      <c r="A662" s="1" t="s">
        <v>105</v>
      </c>
      <c r="B662" s="90"/>
      <c r="C662" s="89"/>
      <c r="D662" s="89" t="s">
        <v>2332</v>
      </c>
      <c r="E662" s="89"/>
      <c r="F662" s="89"/>
    </row>
    <row r="663" spans="1:6" ht="14.25" customHeight="1">
      <c r="A663" s="1" t="s">
        <v>105</v>
      </c>
      <c r="B663" s="90"/>
      <c r="C663" s="89"/>
      <c r="D663" s="89" t="s">
        <v>2333</v>
      </c>
      <c r="E663" s="89"/>
      <c r="F663" s="89"/>
    </row>
    <row r="664" spans="1:6" ht="14.25" customHeight="1">
      <c r="A664" s="1" t="s">
        <v>105</v>
      </c>
      <c r="B664" s="90"/>
      <c r="C664" s="89"/>
      <c r="D664" s="89" t="s">
        <v>2334</v>
      </c>
      <c r="E664" s="89"/>
      <c r="F664" s="89"/>
    </row>
    <row r="665" spans="1:6" ht="14.25" customHeight="1">
      <c r="A665" s="1" t="s">
        <v>105</v>
      </c>
      <c r="B665" s="90"/>
      <c r="C665" s="89"/>
      <c r="D665" s="89" t="s">
        <v>2335</v>
      </c>
      <c r="E665" s="89"/>
      <c r="F665" s="89"/>
    </row>
    <row r="666" spans="1:6" ht="14.25" customHeight="1">
      <c r="A666" s="1" t="s">
        <v>105</v>
      </c>
      <c r="B666" s="90" t="s">
        <v>2331</v>
      </c>
      <c r="C666" s="90" t="s">
        <v>825</v>
      </c>
      <c r="D666" s="90" t="s">
        <v>825</v>
      </c>
      <c r="E666" s="90" t="s">
        <v>825</v>
      </c>
      <c r="F666" s="90" t="s">
        <v>825</v>
      </c>
    </row>
    <row r="667" spans="1:6" ht="14.25" customHeight="1">
      <c r="A667" s="1" t="s">
        <v>105</v>
      </c>
      <c r="B667" s="90"/>
      <c r="C667" s="89"/>
      <c r="D667" s="89" t="s">
        <v>2336</v>
      </c>
      <c r="E667" s="89"/>
      <c r="F667" s="89"/>
    </row>
    <row r="668" spans="1:6" ht="14.25" customHeight="1">
      <c r="A668" s="1" t="s">
        <v>105</v>
      </c>
      <c r="B668" s="90"/>
      <c r="C668" s="89"/>
      <c r="D668" s="89" t="s">
        <v>2337</v>
      </c>
      <c r="E668" s="89"/>
      <c r="F668" s="89"/>
    </row>
    <row r="669" spans="1:6" ht="14.25" customHeight="1">
      <c r="A669" s="1" t="s">
        <v>105</v>
      </c>
      <c r="B669" s="90"/>
      <c r="C669" s="89"/>
      <c r="D669" s="89" t="s">
        <v>2338</v>
      </c>
      <c r="E669" s="89"/>
      <c r="F669" s="89"/>
    </row>
    <row r="670" spans="1:6" ht="14.25" customHeight="1">
      <c r="A670" s="1" t="s">
        <v>105</v>
      </c>
      <c r="B670" s="90"/>
      <c r="C670" s="89"/>
      <c r="D670" s="89" t="s">
        <v>2339</v>
      </c>
      <c r="E670" s="89"/>
      <c r="F670" s="89"/>
    </row>
    <row r="671" spans="1:6" ht="14.25" customHeight="1">
      <c r="A671" s="1" t="s">
        <v>105</v>
      </c>
      <c r="B671" s="90" t="s">
        <v>2331</v>
      </c>
      <c r="C671" s="90" t="s">
        <v>826</v>
      </c>
      <c r="D671" s="90" t="s">
        <v>826</v>
      </c>
      <c r="E671" s="90" t="s">
        <v>826</v>
      </c>
      <c r="F671" s="90" t="s">
        <v>826</v>
      </c>
    </row>
    <row r="672" spans="1:6" ht="14.25" customHeight="1">
      <c r="A672" s="1" t="s">
        <v>105</v>
      </c>
      <c r="B672" s="90"/>
      <c r="C672" s="89"/>
      <c r="D672" s="89" t="s">
        <v>2340</v>
      </c>
      <c r="E672" s="89"/>
      <c r="F672" s="89"/>
    </row>
    <row r="673" spans="1:6" ht="14.25" customHeight="1">
      <c r="A673" s="1" t="s">
        <v>105</v>
      </c>
      <c r="B673" s="90"/>
      <c r="C673" s="89"/>
      <c r="D673" s="89" t="s">
        <v>2341</v>
      </c>
      <c r="E673" s="89"/>
      <c r="F673" s="89"/>
    </row>
    <row r="674" spans="1:6" ht="14.25" customHeight="1">
      <c r="A674" s="1" t="s">
        <v>105</v>
      </c>
      <c r="B674" s="90"/>
      <c r="C674" s="89"/>
      <c r="D674" s="89" t="s">
        <v>2342</v>
      </c>
      <c r="E674" s="89"/>
      <c r="F674" s="89"/>
    </row>
    <row r="675" spans="1:6" ht="14.25" customHeight="1">
      <c r="A675" s="1" t="s">
        <v>105</v>
      </c>
      <c r="B675" s="90"/>
      <c r="C675" s="89"/>
      <c r="D675" s="89" t="s">
        <v>2343</v>
      </c>
      <c r="E675" s="89"/>
      <c r="F675" s="89"/>
    </row>
    <row r="676" spans="1:6" ht="14.25" customHeight="1">
      <c r="A676" s="1" t="s">
        <v>105</v>
      </c>
      <c r="B676" s="90" t="s">
        <v>2331</v>
      </c>
      <c r="C676" s="90" t="s">
        <v>827</v>
      </c>
      <c r="D676" s="90" t="s">
        <v>827</v>
      </c>
      <c r="E676" s="90" t="s">
        <v>827</v>
      </c>
      <c r="F676" s="90" t="s">
        <v>827</v>
      </c>
    </row>
    <row r="677" spans="1:6" ht="14.25" customHeight="1">
      <c r="A677" s="1" t="s">
        <v>105</v>
      </c>
      <c r="B677" s="90"/>
      <c r="C677" s="89"/>
      <c r="D677" s="89" t="s">
        <v>2344</v>
      </c>
      <c r="E677" s="89"/>
      <c r="F677" s="89"/>
    </row>
    <row r="678" spans="1:6" ht="14.25" customHeight="1">
      <c r="A678" s="1" t="s">
        <v>105</v>
      </c>
      <c r="B678" s="90"/>
      <c r="C678" s="89"/>
      <c r="D678" s="89" t="s">
        <v>2345</v>
      </c>
      <c r="E678" s="89"/>
      <c r="F678" s="89"/>
    </row>
    <row r="679" spans="1:6" ht="14.25" customHeight="1">
      <c r="A679" s="1" t="s">
        <v>105</v>
      </c>
      <c r="B679" s="90"/>
      <c r="C679" s="89"/>
      <c r="D679" s="89" t="s">
        <v>2346</v>
      </c>
      <c r="E679" s="89"/>
      <c r="F679" s="89"/>
    </row>
    <row r="680" spans="1:6" ht="14.25" customHeight="1">
      <c r="A680" s="1" t="s">
        <v>105</v>
      </c>
      <c r="B680" s="90"/>
      <c r="C680" s="89"/>
      <c r="D680" s="89" t="s">
        <v>2347</v>
      </c>
      <c r="E680" s="89"/>
      <c r="F680" s="89"/>
    </row>
    <row r="681" spans="1:6" ht="14.25" customHeight="1">
      <c r="A681" s="1" t="s">
        <v>105</v>
      </c>
      <c r="B681" s="90" t="s">
        <v>2348</v>
      </c>
      <c r="C681" s="90" t="s">
        <v>828</v>
      </c>
      <c r="D681" s="90" t="s">
        <v>828</v>
      </c>
      <c r="E681" s="90" t="s">
        <v>828</v>
      </c>
      <c r="F681" s="90" t="s">
        <v>828</v>
      </c>
    </row>
    <row r="682" spans="1:6" ht="14.25" customHeight="1">
      <c r="A682" s="1" t="s">
        <v>105</v>
      </c>
      <c r="B682" s="90"/>
      <c r="C682" s="89"/>
      <c r="D682" s="89" t="s">
        <v>2349</v>
      </c>
      <c r="E682" s="89"/>
      <c r="F682" s="89"/>
    </row>
    <row r="683" spans="1:6" ht="14.25" customHeight="1">
      <c r="A683" s="1" t="s">
        <v>105</v>
      </c>
      <c r="B683" s="90"/>
      <c r="C683" s="89"/>
      <c r="D683" s="89" t="s">
        <v>2350</v>
      </c>
      <c r="E683" s="89"/>
      <c r="F683" s="89"/>
    </row>
    <row r="684" spans="1:6" ht="14.25" customHeight="1">
      <c r="A684" s="1" t="s">
        <v>105</v>
      </c>
      <c r="B684" s="90"/>
      <c r="C684" s="89"/>
      <c r="D684" s="89" t="s">
        <v>2351</v>
      </c>
      <c r="E684" s="89"/>
      <c r="F684" s="89"/>
    </row>
    <row r="685" spans="1:6" ht="14.25" customHeight="1">
      <c r="A685" s="1" t="s">
        <v>105</v>
      </c>
      <c r="B685" s="90"/>
      <c r="C685" s="89"/>
      <c r="D685" s="89" t="s">
        <v>2352</v>
      </c>
      <c r="E685" s="89"/>
      <c r="F685" s="89"/>
    </row>
    <row r="686" spans="1:6" ht="14.25" customHeight="1">
      <c r="A686" s="1" t="s">
        <v>105</v>
      </c>
      <c r="B686" s="90" t="s">
        <v>2348</v>
      </c>
      <c r="C686" s="90" t="s">
        <v>829</v>
      </c>
      <c r="D686" s="90" t="s">
        <v>829</v>
      </c>
      <c r="E686" s="90" t="s">
        <v>829</v>
      </c>
      <c r="F686" s="90" t="s">
        <v>829</v>
      </c>
    </row>
    <row r="687" spans="1:6" ht="14.25" customHeight="1">
      <c r="A687" s="1" t="s">
        <v>105</v>
      </c>
      <c r="B687" s="90"/>
      <c r="C687" s="89"/>
      <c r="D687" s="89" t="s">
        <v>2353</v>
      </c>
      <c r="E687" s="89"/>
      <c r="F687" s="89"/>
    </row>
    <row r="688" spans="1:6" ht="14.25" customHeight="1">
      <c r="A688" s="1" t="s">
        <v>105</v>
      </c>
      <c r="B688" s="90"/>
      <c r="C688" s="89"/>
      <c r="D688" s="89" t="s">
        <v>2354</v>
      </c>
      <c r="E688" s="89"/>
      <c r="F688" s="89"/>
    </row>
    <row r="689" spans="1:6" ht="14.25" customHeight="1">
      <c r="A689" s="1" t="s">
        <v>105</v>
      </c>
      <c r="B689" s="90"/>
      <c r="C689" s="89"/>
      <c r="D689" s="89" t="s">
        <v>2355</v>
      </c>
      <c r="E689" s="89"/>
      <c r="F689" s="89"/>
    </row>
    <row r="690" spans="1:6" ht="14.25" customHeight="1">
      <c r="A690" s="1" t="s">
        <v>105</v>
      </c>
      <c r="B690" s="90"/>
      <c r="C690" s="89"/>
      <c r="D690" s="89" t="s">
        <v>2356</v>
      </c>
      <c r="E690" s="89"/>
      <c r="F690" s="89"/>
    </row>
    <row r="691" spans="1:6" ht="14.25" customHeight="1">
      <c r="A691" s="1" t="s">
        <v>105</v>
      </c>
      <c r="B691" s="90" t="s">
        <v>2348</v>
      </c>
      <c r="C691" s="90" t="s">
        <v>830</v>
      </c>
      <c r="D691" s="90" t="s">
        <v>830</v>
      </c>
      <c r="E691" s="90" t="s">
        <v>830</v>
      </c>
      <c r="F691" s="90" t="s">
        <v>830</v>
      </c>
    </row>
    <row r="692" spans="1:6" ht="14.25" customHeight="1">
      <c r="A692" s="1" t="s">
        <v>105</v>
      </c>
      <c r="B692" s="90"/>
      <c r="C692" s="89"/>
      <c r="D692" s="89" t="s">
        <v>2357</v>
      </c>
      <c r="E692" s="89"/>
      <c r="F692" s="89"/>
    </row>
    <row r="693" spans="1:6" ht="14.25" customHeight="1">
      <c r="A693" s="1" t="s">
        <v>105</v>
      </c>
      <c r="B693" s="90"/>
      <c r="C693" s="89"/>
      <c r="D693" s="89" t="s">
        <v>2358</v>
      </c>
      <c r="E693" s="89"/>
      <c r="F693" s="89"/>
    </row>
    <row r="694" spans="1:6" ht="14.25" customHeight="1">
      <c r="A694" s="1" t="s">
        <v>105</v>
      </c>
      <c r="B694" s="90"/>
      <c r="C694" s="89"/>
      <c r="D694" s="89" t="s">
        <v>2359</v>
      </c>
      <c r="E694" s="89"/>
      <c r="F694" s="89"/>
    </row>
    <row r="695" spans="1:6" ht="14.25" customHeight="1">
      <c r="A695" s="1" t="s">
        <v>105</v>
      </c>
      <c r="B695" s="90"/>
      <c r="C695" s="89"/>
      <c r="D695" s="89" t="s">
        <v>2360</v>
      </c>
      <c r="E695" s="89"/>
      <c r="F695" s="89"/>
    </row>
    <row r="696" spans="1:6" ht="14.25" customHeight="1">
      <c r="A696" s="1" t="s">
        <v>105</v>
      </c>
      <c r="B696" s="90" t="s">
        <v>2361</v>
      </c>
      <c r="C696" s="90" t="s">
        <v>831</v>
      </c>
      <c r="D696" s="90" t="s">
        <v>831</v>
      </c>
      <c r="E696" s="90" t="s">
        <v>831</v>
      </c>
      <c r="F696" s="90" t="s">
        <v>831</v>
      </c>
    </row>
    <row r="697" spans="1:6" ht="14.25" customHeight="1">
      <c r="A697" s="1" t="s">
        <v>105</v>
      </c>
      <c r="B697" s="90"/>
      <c r="C697" s="89" t="str">
        <f t="shared" ref="C697:C698" si="21">D697</f>
        <v>PR35-1</v>
      </c>
      <c r="D697" s="89" t="s">
        <v>2362</v>
      </c>
      <c r="E697" s="89"/>
      <c r="F697" s="89"/>
    </row>
    <row r="698" spans="1:6" ht="14.25" customHeight="1">
      <c r="A698" s="1" t="s">
        <v>105</v>
      </c>
      <c r="B698" s="90"/>
      <c r="C698" s="89" t="str">
        <f t="shared" si="21"/>
        <v>PR35-2</v>
      </c>
      <c r="D698" s="89" t="s">
        <v>2363</v>
      </c>
      <c r="E698" s="89"/>
      <c r="F698" s="89"/>
    </row>
    <row r="699" spans="1:6" ht="14.25" customHeight="1">
      <c r="A699" s="1" t="s">
        <v>105</v>
      </c>
      <c r="B699" s="90"/>
      <c r="C699" s="89"/>
      <c r="D699" s="89" t="s">
        <v>2364</v>
      </c>
      <c r="E699" s="89"/>
      <c r="F699" s="89"/>
    </row>
    <row r="700" spans="1:6" ht="14.25" customHeight="1">
      <c r="A700" s="1" t="s">
        <v>105</v>
      </c>
      <c r="B700" s="90"/>
      <c r="C700" s="89"/>
      <c r="D700" s="89" t="s">
        <v>2365</v>
      </c>
      <c r="E700" s="89"/>
      <c r="F700" s="89"/>
    </row>
    <row r="701" spans="1:6" ht="14.25" customHeight="1">
      <c r="A701" s="1" t="s">
        <v>105</v>
      </c>
      <c r="B701" s="90"/>
      <c r="C701" s="89"/>
      <c r="D701" s="89" t="s">
        <v>2366</v>
      </c>
      <c r="E701" s="89"/>
      <c r="F701" s="89"/>
    </row>
    <row r="702" spans="1:6" ht="14.25" customHeight="1">
      <c r="A702" s="1" t="s">
        <v>105</v>
      </c>
      <c r="B702" s="90"/>
      <c r="C702" s="89"/>
      <c r="D702" s="89" t="s">
        <v>2367</v>
      </c>
      <c r="E702" s="89"/>
      <c r="F702" s="89"/>
    </row>
    <row r="703" spans="1:6" ht="14.25" customHeight="1">
      <c r="A703" s="1" t="s">
        <v>105</v>
      </c>
      <c r="B703" s="90" t="s">
        <v>2368</v>
      </c>
      <c r="C703" s="90" t="s">
        <v>832</v>
      </c>
      <c r="D703" s="90" t="s">
        <v>832</v>
      </c>
      <c r="E703" s="90" t="s">
        <v>832</v>
      </c>
      <c r="F703" s="90" t="s">
        <v>832</v>
      </c>
    </row>
    <row r="704" spans="1:6" ht="14.25" customHeight="1">
      <c r="A704" s="1" t="s">
        <v>105</v>
      </c>
      <c r="B704" s="90"/>
      <c r="C704" s="89" t="str">
        <f t="shared" ref="C704:C705" si="22">D704</f>
        <v>PR36-1</v>
      </c>
      <c r="D704" s="89" t="s">
        <v>2369</v>
      </c>
      <c r="E704" s="89"/>
      <c r="F704" s="89"/>
    </row>
    <row r="705" spans="1:6" ht="14.25" customHeight="1">
      <c r="A705" s="1" t="s">
        <v>105</v>
      </c>
      <c r="B705" s="90"/>
      <c r="C705" s="89" t="str">
        <f t="shared" si="22"/>
        <v>PR36-2</v>
      </c>
      <c r="D705" s="89" t="s">
        <v>2370</v>
      </c>
      <c r="E705" s="89"/>
      <c r="F705" s="89"/>
    </row>
    <row r="706" spans="1:6" ht="14.25" customHeight="1">
      <c r="A706" s="1" t="s">
        <v>105</v>
      </c>
      <c r="B706" s="90"/>
      <c r="C706" s="89"/>
      <c r="D706" s="89" t="s">
        <v>2371</v>
      </c>
      <c r="E706" s="89"/>
      <c r="F706" s="89"/>
    </row>
    <row r="707" spans="1:6" ht="14.25" customHeight="1">
      <c r="A707" s="1" t="s">
        <v>105</v>
      </c>
      <c r="B707" s="90"/>
      <c r="C707" s="89"/>
      <c r="D707" s="89" t="s">
        <v>2372</v>
      </c>
      <c r="E707" s="89"/>
      <c r="F707" s="89"/>
    </row>
    <row r="708" spans="1:6" ht="14.25" customHeight="1">
      <c r="A708" s="1" t="s">
        <v>105</v>
      </c>
      <c r="B708" s="90"/>
      <c r="C708" s="89"/>
      <c r="D708" s="89" t="s">
        <v>2373</v>
      </c>
      <c r="E708" s="89"/>
      <c r="F708" s="89"/>
    </row>
    <row r="709" spans="1:6" ht="14.25" customHeight="1">
      <c r="A709" s="1" t="s">
        <v>105</v>
      </c>
      <c r="B709" s="90"/>
      <c r="C709" s="89"/>
      <c r="D709" s="89" t="s">
        <v>2374</v>
      </c>
      <c r="E709" s="89"/>
      <c r="F709" s="89"/>
    </row>
    <row r="710" spans="1:6" ht="14.25" customHeight="1">
      <c r="A710" s="1" t="s">
        <v>105</v>
      </c>
      <c r="B710" s="90" t="s">
        <v>2375</v>
      </c>
      <c r="C710" s="90" t="s">
        <v>833</v>
      </c>
      <c r="D710" s="90" t="s">
        <v>833</v>
      </c>
      <c r="E710" s="90" t="s">
        <v>833</v>
      </c>
      <c r="F710" s="90" t="s">
        <v>833</v>
      </c>
    </row>
    <row r="711" spans="1:6" ht="14.25" customHeight="1">
      <c r="A711" s="1" t="s">
        <v>105</v>
      </c>
      <c r="B711" s="90"/>
      <c r="C711" s="89"/>
      <c r="D711" s="89" t="s">
        <v>2376</v>
      </c>
      <c r="E711" s="89"/>
      <c r="F711" s="89"/>
    </row>
    <row r="712" spans="1:6" ht="14.25" customHeight="1">
      <c r="A712" s="1" t="s">
        <v>105</v>
      </c>
      <c r="B712" s="90"/>
      <c r="C712" s="89"/>
      <c r="D712" s="89" t="s">
        <v>2377</v>
      </c>
      <c r="E712" s="89"/>
      <c r="F712" s="89"/>
    </row>
    <row r="713" spans="1:6" ht="14.25" customHeight="1">
      <c r="A713" s="1" t="s">
        <v>105</v>
      </c>
      <c r="B713" s="90"/>
      <c r="C713" s="89"/>
      <c r="D713" s="89" t="s">
        <v>2378</v>
      </c>
      <c r="E713" s="89"/>
      <c r="F713" s="89"/>
    </row>
    <row r="714" spans="1:6" ht="14.25" customHeight="1">
      <c r="A714" s="1" t="s">
        <v>105</v>
      </c>
      <c r="B714" s="90"/>
      <c r="C714" s="89"/>
      <c r="D714" s="89" t="s">
        <v>2379</v>
      </c>
      <c r="E714" s="89"/>
      <c r="F714" s="89"/>
    </row>
    <row r="715" spans="1:6" ht="14.25" customHeight="1">
      <c r="A715" s="1" t="s">
        <v>105</v>
      </c>
      <c r="B715" s="90" t="s">
        <v>2375</v>
      </c>
      <c r="C715" s="90" t="s">
        <v>834</v>
      </c>
      <c r="D715" s="90" t="s">
        <v>834</v>
      </c>
      <c r="E715" s="90" t="s">
        <v>834</v>
      </c>
      <c r="F715" s="90" t="s">
        <v>834</v>
      </c>
    </row>
    <row r="716" spans="1:6" ht="14.25" customHeight="1">
      <c r="A716" s="1" t="s">
        <v>105</v>
      </c>
      <c r="B716" s="90"/>
      <c r="C716" s="89"/>
      <c r="D716" s="89" t="s">
        <v>2380</v>
      </c>
      <c r="E716" s="89"/>
      <c r="F716" s="89"/>
    </row>
    <row r="717" spans="1:6" ht="14.25" customHeight="1">
      <c r="A717" s="1" t="s">
        <v>105</v>
      </c>
      <c r="B717" s="90"/>
      <c r="C717" s="89"/>
      <c r="D717" s="89" t="s">
        <v>2381</v>
      </c>
      <c r="E717" s="89"/>
      <c r="F717" s="89"/>
    </row>
    <row r="718" spans="1:6" ht="14.25" customHeight="1">
      <c r="A718" s="1" t="s">
        <v>105</v>
      </c>
      <c r="B718" s="90"/>
      <c r="C718" s="89"/>
      <c r="D718" s="89" t="s">
        <v>2382</v>
      </c>
      <c r="E718" s="89"/>
      <c r="F718" s="89"/>
    </row>
    <row r="719" spans="1:6" ht="14.25" customHeight="1">
      <c r="A719" s="1" t="s">
        <v>105</v>
      </c>
      <c r="B719" s="90"/>
      <c r="C719" s="89"/>
      <c r="D719" s="89" t="s">
        <v>2383</v>
      </c>
      <c r="E719" s="89"/>
      <c r="F719" s="89"/>
    </row>
    <row r="720" spans="1:6" ht="14.25" customHeight="1">
      <c r="A720" s="1" t="s">
        <v>105</v>
      </c>
      <c r="B720" s="90" t="s">
        <v>2375</v>
      </c>
      <c r="C720" s="90" t="s">
        <v>835</v>
      </c>
      <c r="D720" s="90" t="s">
        <v>835</v>
      </c>
      <c r="E720" s="90" t="s">
        <v>835</v>
      </c>
      <c r="F720" s="90" t="s">
        <v>835</v>
      </c>
    </row>
    <row r="721" spans="1:6" ht="14.25" customHeight="1">
      <c r="A721" s="1" t="s">
        <v>105</v>
      </c>
      <c r="B721" s="90"/>
      <c r="C721" s="89"/>
      <c r="D721" s="89" t="s">
        <v>2384</v>
      </c>
      <c r="E721" s="89"/>
      <c r="F721" s="89"/>
    </row>
    <row r="722" spans="1:6" ht="14.25" customHeight="1">
      <c r="A722" s="1" t="s">
        <v>105</v>
      </c>
      <c r="B722" s="90"/>
      <c r="C722" s="89"/>
      <c r="D722" s="89" t="s">
        <v>2385</v>
      </c>
      <c r="E722" s="89"/>
      <c r="F722" s="89"/>
    </row>
    <row r="723" spans="1:6" ht="14.25" customHeight="1">
      <c r="A723" s="1" t="s">
        <v>105</v>
      </c>
      <c r="B723" s="90"/>
      <c r="C723" s="89"/>
      <c r="D723" s="89" t="s">
        <v>2386</v>
      </c>
      <c r="E723" s="89"/>
      <c r="F723" s="89"/>
    </row>
    <row r="724" spans="1:6" ht="14.25" customHeight="1">
      <c r="A724" s="1" t="s">
        <v>105</v>
      </c>
      <c r="B724" s="90"/>
      <c r="C724" s="89"/>
      <c r="D724" s="89" t="s">
        <v>2387</v>
      </c>
      <c r="E724" s="89"/>
      <c r="F724" s="89"/>
    </row>
    <row r="725" spans="1:6" ht="14.25" customHeight="1">
      <c r="A725" s="1" t="s">
        <v>105</v>
      </c>
      <c r="B725" s="90" t="s">
        <v>2375</v>
      </c>
      <c r="C725" s="90" t="s">
        <v>836</v>
      </c>
      <c r="D725" s="90" t="s">
        <v>836</v>
      </c>
      <c r="E725" s="90" t="s">
        <v>836</v>
      </c>
      <c r="F725" s="90" t="s">
        <v>836</v>
      </c>
    </row>
    <row r="726" spans="1:6" ht="14.25" customHeight="1">
      <c r="A726" s="1" t="s">
        <v>105</v>
      </c>
      <c r="B726" s="90"/>
      <c r="C726" s="89"/>
      <c r="D726" s="89" t="s">
        <v>2388</v>
      </c>
      <c r="E726" s="89"/>
      <c r="F726" s="89"/>
    </row>
    <row r="727" spans="1:6" ht="14.25" customHeight="1">
      <c r="A727" s="1" t="s">
        <v>105</v>
      </c>
      <c r="B727" s="90"/>
      <c r="C727" s="89"/>
      <c r="D727" s="89" t="s">
        <v>2389</v>
      </c>
      <c r="E727" s="89"/>
      <c r="F727" s="89"/>
    </row>
    <row r="728" spans="1:6" ht="14.25" customHeight="1">
      <c r="A728" s="1" t="s">
        <v>105</v>
      </c>
      <c r="B728" s="90"/>
      <c r="C728" s="89"/>
      <c r="D728" s="89" t="s">
        <v>2390</v>
      </c>
      <c r="E728" s="89"/>
      <c r="F728" s="89"/>
    </row>
    <row r="729" spans="1:6" ht="14.25" customHeight="1">
      <c r="A729" s="1" t="s">
        <v>105</v>
      </c>
      <c r="B729" s="90"/>
      <c r="C729" s="89"/>
      <c r="D729" s="89" t="s">
        <v>2391</v>
      </c>
      <c r="E729" s="89"/>
      <c r="F729" s="89"/>
    </row>
    <row r="730" spans="1:6" ht="14.25" customHeight="1">
      <c r="A730" s="1" t="s">
        <v>105</v>
      </c>
      <c r="B730" s="90" t="s">
        <v>2375</v>
      </c>
      <c r="C730" s="90" t="s">
        <v>837</v>
      </c>
      <c r="D730" s="90" t="s">
        <v>837</v>
      </c>
      <c r="E730" s="90" t="s">
        <v>837</v>
      </c>
      <c r="F730" s="90" t="s">
        <v>837</v>
      </c>
    </row>
    <row r="731" spans="1:6" ht="14.25" customHeight="1">
      <c r="A731" s="1" t="s">
        <v>105</v>
      </c>
      <c r="B731" s="90"/>
      <c r="C731" s="89"/>
      <c r="D731" s="89" t="s">
        <v>2392</v>
      </c>
      <c r="E731" s="89"/>
      <c r="F731" s="89"/>
    </row>
    <row r="732" spans="1:6" ht="14.25" customHeight="1">
      <c r="A732" s="1" t="s">
        <v>105</v>
      </c>
      <c r="B732" s="90"/>
      <c r="C732" s="89"/>
      <c r="D732" s="89" t="s">
        <v>2393</v>
      </c>
      <c r="E732" s="89"/>
      <c r="F732" s="89"/>
    </row>
    <row r="733" spans="1:6" ht="14.25" customHeight="1">
      <c r="A733" s="1" t="s">
        <v>105</v>
      </c>
      <c r="B733" s="90"/>
      <c r="C733" s="89"/>
      <c r="D733" s="89" t="s">
        <v>2394</v>
      </c>
      <c r="E733" s="89"/>
      <c r="F733" s="89"/>
    </row>
    <row r="734" spans="1:6" ht="14.25" customHeight="1">
      <c r="A734" s="1" t="s">
        <v>105</v>
      </c>
      <c r="B734" s="90"/>
      <c r="C734" s="89"/>
      <c r="D734" s="89" t="s">
        <v>2395</v>
      </c>
      <c r="E734" s="89"/>
      <c r="F734" s="89"/>
    </row>
    <row r="735" spans="1:6" ht="14.25" customHeight="1">
      <c r="A735" s="1" t="s">
        <v>105</v>
      </c>
      <c r="B735" s="90" t="s">
        <v>2396</v>
      </c>
      <c r="C735" s="90" t="s">
        <v>838</v>
      </c>
      <c r="D735" s="90" t="s">
        <v>838</v>
      </c>
      <c r="E735" s="90" t="s">
        <v>838</v>
      </c>
      <c r="F735" s="90" t="s">
        <v>838</v>
      </c>
    </row>
    <row r="736" spans="1:6" ht="14.25" customHeight="1">
      <c r="A736" s="1" t="s">
        <v>105</v>
      </c>
      <c r="B736" s="90"/>
      <c r="C736" s="89"/>
      <c r="D736" s="89" t="s">
        <v>2397</v>
      </c>
      <c r="E736" s="89"/>
      <c r="F736" s="89"/>
    </row>
    <row r="737" spans="1:6" ht="14.25" customHeight="1">
      <c r="A737" s="1" t="s">
        <v>105</v>
      </c>
      <c r="B737" s="90"/>
      <c r="C737" s="89"/>
      <c r="D737" s="89" t="s">
        <v>2398</v>
      </c>
      <c r="E737" s="89"/>
      <c r="F737" s="89"/>
    </row>
    <row r="738" spans="1:6" ht="14.25" customHeight="1">
      <c r="A738" s="1" t="s">
        <v>105</v>
      </c>
      <c r="B738" s="90"/>
      <c r="C738" s="89"/>
      <c r="D738" s="89" t="s">
        <v>2399</v>
      </c>
      <c r="E738" s="89"/>
      <c r="F738" s="89"/>
    </row>
    <row r="739" spans="1:6" ht="14.25" customHeight="1">
      <c r="A739" s="1" t="s">
        <v>105</v>
      </c>
      <c r="B739" s="90"/>
      <c r="C739" s="89"/>
      <c r="D739" s="89" t="s">
        <v>2400</v>
      </c>
      <c r="E739" s="89"/>
      <c r="F739" s="89"/>
    </row>
    <row r="740" spans="1:6" ht="14.25" customHeight="1">
      <c r="A740" s="1" t="s">
        <v>105</v>
      </c>
      <c r="B740" s="90" t="s">
        <v>2396</v>
      </c>
      <c r="C740" s="90" t="s">
        <v>839</v>
      </c>
      <c r="D740" s="90" t="s">
        <v>839</v>
      </c>
      <c r="E740" s="90" t="s">
        <v>839</v>
      </c>
      <c r="F740" s="90" t="s">
        <v>839</v>
      </c>
    </row>
    <row r="741" spans="1:6" ht="14.25" customHeight="1">
      <c r="A741" s="1" t="s">
        <v>105</v>
      </c>
      <c r="B741" s="90"/>
      <c r="C741" s="89"/>
      <c r="D741" s="89" t="s">
        <v>2401</v>
      </c>
      <c r="E741" s="89"/>
      <c r="F741" s="89"/>
    </row>
    <row r="742" spans="1:6" ht="14.25" customHeight="1">
      <c r="A742" s="1" t="s">
        <v>105</v>
      </c>
      <c r="B742" s="90"/>
      <c r="C742" s="89"/>
      <c r="D742" s="89" t="s">
        <v>2402</v>
      </c>
      <c r="E742" s="89"/>
      <c r="F742" s="89"/>
    </row>
    <row r="743" spans="1:6" ht="14.25" customHeight="1">
      <c r="A743" s="1" t="s">
        <v>105</v>
      </c>
      <c r="B743" s="90"/>
      <c r="C743" s="89"/>
      <c r="D743" s="89" t="s">
        <v>2403</v>
      </c>
      <c r="E743" s="89"/>
      <c r="F743" s="89"/>
    </row>
    <row r="744" spans="1:6" ht="14.25" customHeight="1">
      <c r="A744" s="1" t="s">
        <v>105</v>
      </c>
      <c r="B744" s="90"/>
      <c r="C744" s="89"/>
      <c r="D744" s="89" t="s">
        <v>2404</v>
      </c>
      <c r="E744" s="89"/>
      <c r="F744" s="89"/>
    </row>
    <row r="745" spans="1:6" ht="14.25" customHeight="1">
      <c r="A745" s="1" t="s">
        <v>105</v>
      </c>
      <c r="B745" s="90" t="s">
        <v>2396</v>
      </c>
      <c r="C745" s="90" t="s">
        <v>840</v>
      </c>
      <c r="D745" s="90" t="s">
        <v>840</v>
      </c>
      <c r="E745" s="90" t="s">
        <v>840</v>
      </c>
      <c r="F745" s="90" t="s">
        <v>840</v>
      </c>
    </row>
    <row r="746" spans="1:6" ht="14.25" customHeight="1">
      <c r="A746" s="1" t="s">
        <v>105</v>
      </c>
      <c r="B746" s="90"/>
      <c r="C746" s="89"/>
      <c r="D746" s="89" t="s">
        <v>2405</v>
      </c>
      <c r="E746" s="89"/>
      <c r="F746" s="89"/>
    </row>
    <row r="747" spans="1:6" ht="14.25" customHeight="1">
      <c r="A747" s="1" t="s">
        <v>105</v>
      </c>
      <c r="B747" s="90"/>
      <c r="C747" s="89"/>
      <c r="D747" s="89" t="s">
        <v>2406</v>
      </c>
      <c r="E747" s="89"/>
      <c r="F747" s="89"/>
    </row>
    <row r="748" spans="1:6" ht="14.25" customHeight="1">
      <c r="A748" s="1" t="s">
        <v>105</v>
      </c>
      <c r="B748" s="90"/>
      <c r="C748" s="89"/>
      <c r="D748" s="89" t="s">
        <v>2407</v>
      </c>
      <c r="E748" s="89"/>
      <c r="F748" s="89"/>
    </row>
    <row r="749" spans="1:6" ht="14.25" customHeight="1">
      <c r="A749" s="1" t="s">
        <v>105</v>
      </c>
      <c r="B749" s="90"/>
      <c r="C749" s="89"/>
      <c r="D749" s="89" t="s">
        <v>2408</v>
      </c>
      <c r="E749" s="89"/>
      <c r="F749" s="89"/>
    </row>
    <row r="750" spans="1:6" ht="14.25" customHeight="1">
      <c r="A750" s="1" t="s">
        <v>105</v>
      </c>
      <c r="B750" s="90" t="s">
        <v>2396</v>
      </c>
      <c r="C750" s="90" t="s">
        <v>841</v>
      </c>
      <c r="D750" s="90" t="s">
        <v>841</v>
      </c>
      <c r="E750" s="90" t="s">
        <v>841</v>
      </c>
      <c r="F750" s="90" t="s">
        <v>841</v>
      </c>
    </row>
    <row r="751" spans="1:6" ht="14.25" customHeight="1">
      <c r="A751" s="1" t="s">
        <v>105</v>
      </c>
      <c r="B751" s="90"/>
      <c r="C751" s="89"/>
      <c r="D751" s="89" t="s">
        <v>2409</v>
      </c>
      <c r="E751" s="89"/>
      <c r="F751" s="89"/>
    </row>
    <row r="752" spans="1:6" ht="14.25" customHeight="1">
      <c r="A752" s="1" t="s">
        <v>105</v>
      </c>
      <c r="B752" s="90"/>
      <c r="C752" s="89"/>
      <c r="D752" s="89" t="s">
        <v>2410</v>
      </c>
      <c r="E752" s="89"/>
      <c r="F752" s="89"/>
    </row>
    <row r="753" spans="1:6" ht="14.25" customHeight="1">
      <c r="A753" s="1" t="s">
        <v>105</v>
      </c>
      <c r="B753" s="90"/>
      <c r="C753" s="89"/>
      <c r="D753" s="89" t="s">
        <v>2411</v>
      </c>
      <c r="E753" s="89"/>
      <c r="F753" s="89"/>
    </row>
    <row r="754" spans="1:6" ht="14.25" customHeight="1">
      <c r="A754" s="1" t="s">
        <v>105</v>
      </c>
      <c r="B754" s="90"/>
      <c r="C754" s="89"/>
      <c r="D754" s="89" t="s">
        <v>2412</v>
      </c>
      <c r="E754" s="89"/>
      <c r="F754" s="89"/>
    </row>
    <row r="755" spans="1:6" ht="14.25" customHeight="1">
      <c r="A755" s="1" t="s">
        <v>105</v>
      </c>
      <c r="B755" s="90" t="s">
        <v>2413</v>
      </c>
      <c r="C755" s="90" t="s">
        <v>842</v>
      </c>
      <c r="D755" s="90" t="s">
        <v>842</v>
      </c>
      <c r="E755" s="90" t="s">
        <v>842</v>
      </c>
      <c r="F755" s="90" t="s">
        <v>842</v>
      </c>
    </row>
    <row r="756" spans="1:6" ht="14.25" customHeight="1">
      <c r="A756" s="1" t="s">
        <v>105</v>
      </c>
      <c r="B756" s="90"/>
      <c r="C756" s="89"/>
      <c r="D756" s="89" t="s">
        <v>2414</v>
      </c>
      <c r="E756" s="89"/>
      <c r="F756" s="89"/>
    </row>
    <row r="757" spans="1:6" ht="14.25" customHeight="1">
      <c r="A757" s="1" t="s">
        <v>105</v>
      </c>
      <c r="B757" s="90"/>
      <c r="C757" s="89"/>
      <c r="D757" s="89" t="s">
        <v>2415</v>
      </c>
      <c r="E757" s="89"/>
      <c r="F757" s="89"/>
    </row>
    <row r="758" spans="1:6" ht="14.25" customHeight="1">
      <c r="A758" s="1" t="s">
        <v>105</v>
      </c>
      <c r="B758" s="90"/>
      <c r="C758" s="89"/>
      <c r="D758" s="89" t="s">
        <v>2416</v>
      </c>
      <c r="E758" s="89"/>
      <c r="F758" s="89"/>
    </row>
    <row r="759" spans="1:6" ht="14.25" customHeight="1">
      <c r="A759" s="1" t="s">
        <v>105</v>
      </c>
      <c r="B759" s="90"/>
      <c r="C759" s="89"/>
      <c r="D759" s="89" t="s">
        <v>2417</v>
      </c>
      <c r="E759" s="89"/>
      <c r="F759" s="89"/>
    </row>
    <row r="760" spans="1:6" ht="14.25" customHeight="1">
      <c r="A760" s="1" t="s">
        <v>105</v>
      </c>
      <c r="B760" s="90" t="s">
        <v>2413</v>
      </c>
      <c r="C760" s="90" t="s">
        <v>843</v>
      </c>
      <c r="D760" s="90" t="s">
        <v>843</v>
      </c>
      <c r="E760" s="90" t="s">
        <v>843</v>
      </c>
      <c r="F760" s="90" t="s">
        <v>843</v>
      </c>
    </row>
    <row r="761" spans="1:6" ht="14.25" customHeight="1">
      <c r="A761" s="1" t="s">
        <v>105</v>
      </c>
      <c r="B761" s="90"/>
      <c r="C761" s="89"/>
      <c r="D761" s="89" t="s">
        <v>2418</v>
      </c>
      <c r="E761" s="89"/>
      <c r="F761" s="89"/>
    </row>
    <row r="762" spans="1:6" ht="14.25" customHeight="1">
      <c r="A762" s="1" t="s">
        <v>105</v>
      </c>
      <c r="B762" s="90"/>
      <c r="C762" s="89"/>
      <c r="D762" s="89" t="s">
        <v>2419</v>
      </c>
      <c r="E762" s="89"/>
      <c r="F762" s="89"/>
    </row>
    <row r="763" spans="1:6" ht="14.25" customHeight="1">
      <c r="A763" s="1" t="s">
        <v>105</v>
      </c>
      <c r="B763" s="90"/>
      <c r="C763" s="89"/>
      <c r="D763" s="89" t="s">
        <v>2420</v>
      </c>
      <c r="E763" s="89"/>
      <c r="F763" s="89"/>
    </row>
    <row r="764" spans="1:6" ht="14.25" customHeight="1">
      <c r="A764" s="1" t="s">
        <v>105</v>
      </c>
      <c r="B764" s="90"/>
      <c r="C764" s="89"/>
      <c r="D764" s="89" t="s">
        <v>2421</v>
      </c>
      <c r="E764" s="89"/>
      <c r="F764" s="89"/>
    </row>
    <row r="765" spans="1:6" ht="14.25" customHeight="1">
      <c r="A765" s="1" t="s">
        <v>105</v>
      </c>
      <c r="B765" s="90" t="s">
        <v>2413</v>
      </c>
      <c r="C765" s="90" t="s">
        <v>844</v>
      </c>
      <c r="D765" s="90" t="s">
        <v>844</v>
      </c>
      <c r="E765" s="90" t="s">
        <v>844</v>
      </c>
      <c r="F765" s="90" t="s">
        <v>844</v>
      </c>
    </row>
    <row r="766" spans="1:6" ht="14.25" customHeight="1">
      <c r="A766" s="1" t="s">
        <v>105</v>
      </c>
      <c r="B766" s="90"/>
      <c r="C766" s="89"/>
      <c r="D766" s="89" t="s">
        <v>2422</v>
      </c>
      <c r="E766" s="89"/>
      <c r="F766" s="89"/>
    </row>
    <row r="767" spans="1:6" ht="14.25" customHeight="1">
      <c r="A767" s="1" t="s">
        <v>105</v>
      </c>
      <c r="B767" s="90"/>
      <c r="C767" s="89"/>
      <c r="D767" s="89" t="s">
        <v>2423</v>
      </c>
      <c r="E767" s="89"/>
      <c r="F767" s="89"/>
    </row>
    <row r="768" spans="1:6" ht="14.25" customHeight="1">
      <c r="A768" s="1" t="s">
        <v>105</v>
      </c>
      <c r="B768" s="90"/>
      <c r="C768" s="89"/>
      <c r="D768" s="89" t="s">
        <v>2424</v>
      </c>
      <c r="E768" s="89"/>
      <c r="F768" s="89"/>
    </row>
    <row r="769" spans="1:6" ht="14.25" customHeight="1">
      <c r="A769" s="1" t="s">
        <v>105</v>
      </c>
      <c r="B769" s="90"/>
      <c r="C769" s="89"/>
      <c r="D769" s="89" t="s">
        <v>2425</v>
      </c>
      <c r="E769" s="89"/>
      <c r="F769" s="89"/>
    </row>
    <row r="770" spans="1:6" ht="14.25" customHeight="1">
      <c r="A770" s="1" t="s">
        <v>105</v>
      </c>
      <c r="B770" s="90" t="s">
        <v>2413</v>
      </c>
      <c r="C770" s="90" t="s">
        <v>845</v>
      </c>
      <c r="D770" s="90" t="s">
        <v>845</v>
      </c>
      <c r="E770" s="90" t="s">
        <v>845</v>
      </c>
      <c r="F770" s="90" t="s">
        <v>845</v>
      </c>
    </row>
    <row r="771" spans="1:6" ht="14.25" customHeight="1">
      <c r="A771" s="1" t="s">
        <v>105</v>
      </c>
      <c r="B771" s="90"/>
      <c r="C771" s="89"/>
      <c r="D771" s="89" t="s">
        <v>2426</v>
      </c>
      <c r="E771" s="89"/>
      <c r="F771" s="89"/>
    </row>
    <row r="772" spans="1:6" ht="14.25" customHeight="1">
      <c r="A772" s="1" t="s">
        <v>105</v>
      </c>
      <c r="B772" s="90"/>
      <c r="C772" s="89"/>
      <c r="D772" s="89" t="s">
        <v>2427</v>
      </c>
      <c r="E772" s="89"/>
      <c r="F772" s="89"/>
    </row>
    <row r="773" spans="1:6" ht="14.25" customHeight="1">
      <c r="A773" s="1" t="s">
        <v>105</v>
      </c>
      <c r="B773" s="90"/>
      <c r="C773" s="89"/>
      <c r="D773" s="89" t="s">
        <v>2428</v>
      </c>
      <c r="E773" s="89"/>
      <c r="F773" s="89"/>
    </row>
    <row r="774" spans="1:6" ht="14.25" customHeight="1">
      <c r="A774" s="1" t="s">
        <v>105</v>
      </c>
      <c r="B774" s="90"/>
      <c r="C774" s="89"/>
      <c r="D774" s="89" t="s">
        <v>2429</v>
      </c>
      <c r="E774" s="89"/>
      <c r="F774" s="89"/>
    </row>
    <row r="775" spans="1:6" ht="14.25" customHeight="1">
      <c r="A775" s="1" t="s">
        <v>105</v>
      </c>
      <c r="B775" s="90" t="s">
        <v>2430</v>
      </c>
      <c r="C775" s="90" t="s">
        <v>846</v>
      </c>
      <c r="D775" s="90" t="s">
        <v>846</v>
      </c>
      <c r="E775" s="90" t="s">
        <v>846</v>
      </c>
      <c r="F775" s="90" t="s">
        <v>846</v>
      </c>
    </row>
    <row r="776" spans="1:6" ht="14.25" customHeight="1">
      <c r="A776" s="1" t="s">
        <v>105</v>
      </c>
      <c r="B776" s="90"/>
      <c r="C776" s="89"/>
      <c r="D776" s="89" t="s">
        <v>2431</v>
      </c>
      <c r="E776" s="89"/>
      <c r="F776" s="89"/>
    </row>
    <row r="777" spans="1:6" ht="14.25" customHeight="1">
      <c r="A777" s="1" t="s">
        <v>105</v>
      </c>
      <c r="B777" s="90"/>
      <c r="C777" s="89"/>
      <c r="D777" s="89" t="s">
        <v>2432</v>
      </c>
      <c r="E777" s="89"/>
      <c r="F777" s="89"/>
    </row>
    <row r="778" spans="1:6" ht="14.25" customHeight="1">
      <c r="A778" s="1" t="s">
        <v>105</v>
      </c>
      <c r="B778" s="90"/>
      <c r="C778" s="89"/>
      <c r="D778" s="89" t="s">
        <v>2433</v>
      </c>
      <c r="E778" s="89"/>
      <c r="F778" s="89"/>
    </row>
    <row r="779" spans="1:6" ht="14.25" customHeight="1">
      <c r="A779" s="1" t="s">
        <v>105</v>
      </c>
      <c r="B779" s="90"/>
      <c r="C779" s="89"/>
      <c r="D779" s="89" t="s">
        <v>2434</v>
      </c>
      <c r="E779" s="89"/>
      <c r="F779" s="89"/>
    </row>
    <row r="780" spans="1:6" ht="14.25" customHeight="1">
      <c r="A780" s="1" t="s">
        <v>105</v>
      </c>
      <c r="B780" s="90" t="s">
        <v>2430</v>
      </c>
      <c r="C780" s="90" t="s">
        <v>847</v>
      </c>
      <c r="D780" s="90" t="s">
        <v>847</v>
      </c>
      <c r="E780" s="90" t="s">
        <v>847</v>
      </c>
      <c r="F780" s="90" t="s">
        <v>847</v>
      </c>
    </row>
    <row r="781" spans="1:6" ht="14.25" customHeight="1">
      <c r="A781" s="1" t="s">
        <v>105</v>
      </c>
      <c r="B781" s="90"/>
      <c r="C781" s="89"/>
      <c r="D781" s="89" t="s">
        <v>2435</v>
      </c>
      <c r="E781" s="89"/>
      <c r="F781" s="89"/>
    </row>
    <row r="782" spans="1:6" ht="14.25" customHeight="1">
      <c r="A782" s="1" t="s">
        <v>105</v>
      </c>
      <c r="B782" s="90"/>
      <c r="C782" s="89"/>
      <c r="D782" s="89" t="s">
        <v>2436</v>
      </c>
      <c r="E782" s="89"/>
      <c r="F782" s="89"/>
    </row>
    <row r="783" spans="1:6" ht="14.25" customHeight="1">
      <c r="A783" s="1" t="s">
        <v>105</v>
      </c>
      <c r="B783" s="90"/>
      <c r="C783" s="89"/>
      <c r="D783" s="89" t="s">
        <v>2437</v>
      </c>
      <c r="E783" s="89"/>
      <c r="F783" s="89"/>
    </row>
    <row r="784" spans="1:6" ht="14.25" customHeight="1">
      <c r="A784" s="1" t="s">
        <v>105</v>
      </c>
      <c r="B784" s="90"/>
      <c r="C784" s="89"/>
      <c r="D784" s="89" t="s">
        <v>2438</v>
      </c>
      <c r="E784" s="89"/>
      <c r="F784" s="89"/>
    </row>
    <row r="785" spans="1:6" ht="14.25" customHeight="1">
      <c r="A785" s="1" t="s">
        <v>105</v>
      </c>
      <c r="B785" s="90" t="s">
        <v>2430</v>
      </c>
      <c r="C785" s="90" t="s">
        <v>848</v>
      </c>
      <c r="D785" s="90" t="s">
        <v>848</v>
      </c>
      <c r="E785" s="90" t="s">
        <v>848</v>
      </c>
      <c r="F785" s="90" t="s">
        <v>848</v>
      </c>
    </row>
    <row r="786" spans="1:6" ht="14.25" customHeight="1">
      <c r="A786" s="1" t="s">
        <v>105</v>
      </c>
      <c r="B786" s="90"/>
      <c r="C786" s="89"/>
      <c r="D786" s="89" t="s">
        <v>2439</v>
      </c>
      <c r="E786" s="89"/>
      <c r="F786" s="89"/>
    </row>
    <row r="787" spans="1:6" ht="14.25" customHeight="1">
      <c r="A787" s="1" t="s">
        <v>105</v>
      </c>
      <c r="B787" s="90"/>
      <c r="C787" s="89"/>
      <c r="D787" s="89" t="s">
        <v>2440</v>
      </c>
      <c r="E787" s="89"/>
      <c r="F787" s="89"/>
    </row>
    <row r="788" spans="1:6" ht="14.25" customHeight="1">
      <c r="A788" s="1" t="s">
        <v>105</v>
      </c>
      <c r="B788" s="90"/>
      <c r="C788" s="89"/>
      <c r="D788" s="89" t="s">
        <v>2441</v>
      </c>
      <c r="E788" s="89"/>
      <c r="F788" s="89"/>
    </row>
    <row r="789" spans="1:6" ht="14.25" customHeight="1">
      <c r="A789" s="1" t="s">
        <v>105</v>
      </c>
      <c r="B789" s="90"/>
      <c r="C789" s="89"/>
      <c r="D789" s="89" t="s">
        <v>2442</v>
      </c>
      <c r="E789" s="89"/>
      <c r="F789" s="89"/>
    </row>
    <row r="790" spans="1:6" ht="14.25" customHeight="1">
      <c r="A790" s="1" t="s">
        <v>105</v>
      </c>
      <c r="B790" s="90" t="s">
        <v>2430</v>
      </c>
      <c r="C790" s="90" t="s">
        <v>849</v>
      </c>
      <c r="D790" s="90" t="s">
        <v>849</v>
      </c>
      <c r="E790" s="90" t="s">
        <v>849</v>
      </c>
      <c r="F790" s="90" t="s">
        <v>849</v>
      </c>
    </row>
    <row r="791" spans="1:6" ht="14.25" customHeight="1">
      <c r="A791" s="1" t="s">
        <v>105</v>
      </c>
      <c r="B791" s="90"/>
      <c r="C791" s="89"/>
      <c r="D791" s="89" t="s">
        <v>2443</v>
      </c>
      <c r="E791" s="89"/>
      <c r="F791" s="89"/>
    </row>
    <row r="792" spans="1:6" ht="14.25" customHeight="1">
      <c r="A792" s="1" t="s">
        <v>105</v>
      </c>
      <c r="B792" s="90"/>
      <c r="C792" s="89"/>
      <c r="D792" s="89" t="s">
        <v>2444</v>
      </c>
      <c r="E792" s="89"/>
      <c r="F792" s="89"/>
    </row>
    <row r="793" spans="1:6" ht="14.25" customHeight="1">
      <c r="A793" s="1" t="s">
        <v>105</v>
      </c>
      <c r="B793" s="90"/>
      <c r="C793" s="89"/>
      <c r="D793" s="89" t="s">
        <v>2445</v>
      </c>
      <c r="E793" s="89"/>
      <c r="F793" s="89"/>
    </row>
    <row r="794" spans="1:6" ht="14.25" customHeight="1">
      <c r="A794" s="1" t="s">
        <v>105</v>
      </c>
      <c r="B794" s="90"/>
      <c r="C794" s="89"/>
      <c r="D794" s="89" t="s">
        <v>2446</v>
      </c>
      <c r="E794" s="89"/>
      <c r="F794" s="89"/>
    </row>
    <row r="795" spans="1:6" ht="14.25" customHeight="1">
      <c r="A795" s="1" t="s">
        <v>105</v>
      </c>
      <c r="B795" s="90" t="s">
        <v>2447</v>
      </c>
      <c r="C795" s="90" t="s">
        <v>850</v>
      </c>
      <c r="D795" s="90" t="s">
        <v>850</v>
      </c>
      <c r="E795" s="90" t="s">
        <v>850</v>
      </c>
      <c r="F795" s="90" t="s">
        <v>850</v>
      </c>
    </row>
    <row r="796" spans="1:6" ht="14.25" customHeight="1">
      <c r="A796" s="1" t="s">
        <v>105</v>
      </c>
      <c r="B796" s="90"/>
      <c r="C796" s="89"/>
      <c r="D796" s="89" t="s">
        <v>2448</v>
      </c>
      <c r="E796" s="89"/>
      <c r="F796" s="89"/>
    </row>
    <row r="797" spans="1:6" ht="14.25" customHeight="1">
      <c r="A797" s="1" t="s">
        <v>105</v>
      </c>
      <c r="B797" s="90"/>
      <c r="C797" s="89"/>
      <c r="D797" s="89" t="s">
        <v>2449</v>
      </c>
      <c r="E797" s="89"/>
      <c r="F797" s="89"/>
    </row>
    <row r="798" spans="1:6" ht="14.25" customHeight="1">
      <c r="A798" s="1" t="s">
        <v>105</v>
      </c>
      <c r="B798" s="90"/>
      <c r="C798" s="89"/>
      <c r="D798" s="89" t="s">
        <v>2450</v>
      </c>
      <c r="E798" s="89"/>
      <c r="F798" s="89"/>
    </row>
    <row r="799" spans="1:6" ht="14.25" customHeight="1">
      <c r="A799" s="1" t="s">
        <v>105</v>
      </c>
      <c r="B799" s="90"/>
      <c r="C799" s="89"/>
      <c r="D799" s="89" t="s">
        <v>2451</v>
      </c>
      <c r="E799" s="89"/>
      <c r="F799" s="89"/>
    </row>
    <row r="800" spans="1:6" ht="14.25" customHeight="1">
      <c r="A800" s="1" t="s">
        <v>105</v>
      </c>
      <c r="B800" s="90" t="s">
        <v>2447</v>
      </c>
      <c r="C800" s="90" t="s">
        <v>851</v>
      </c>
      <c r="D800" s="90" t="s">
        <v>851</v>
      </c>
      <c r="E800" s="90" t="s">
        <v>851</v>
      </c>
      <c r="F800" s="90" t="s">
        <v>851</v>
      </c>
    </row>
    <row r="801" spans="1:6" ht="14.25" customHeight="1">
      <c r="A801" s="1" t="s">
        <v>105</v>
      </c>
      <c r="B801" s="90"/>
      <c r="C801" s="89"/>
      <c r="D801" s="89" t="s">
        <v>2452</v>
      </c>
      <c r="E801" s="89"/>
      <c r="F801" s="89"/>
    </row>
    <row r="802" spans="1:6" ht="14.25" customHeight="1">
      <c r="A802" s="1" t="s">
        <v>105</v>
      </c>
      <c r="B802" s="90"/>
      <c r="C802" s="89"/>
      <c r="D802" s="89" t="s">
        <v>2453</v>
      </c>
      <c r="E802" s="89"/>
      <c r="F802" s="89"/>
    </row>
    <row r="803" spans="1:6" ht="14.25" customHeight="1">
      <c r="A803" s="1" t="s">
        <v>105</v>
      </c>
      <c r="B803" s="90"/>
      <c r="C803" s="89"/>
      <c r="D803" s="89" t="s">
        <v>2454</v>
      </c>
      <c r="E803" s="89"/>
      <c r="F803" s="89"/>
    </row>
    <row r="804" spans="1:6" ht="14.25" customHeight="1">
      <c r="A804" s="1" t="s">
        <v>105</v>
      </c>
      <c r="B804" s="90"/>
      <c r="C804" s="89"/>
      <c r="D804" s="89" t="s">
        <v>2455</v>
      </c>
      <c r="E804" s="89"/>
      <c r="F804" s="89"/>
    </row>
    <row r="805" spans="1:6" ht="14.25" customHeight="1">
      <c r="A805" s="1" t="s">
        <v>105</v>
      </c>
      <c r="B805" s="90" t="s">
        <v>2447</v>
      </c>
      <c r="C805" s="90" t="s">
        <v>852</v>
      </c>
      <c r="D805" s="90" t="s">
        <v>852</v>
      </c>
      <c r="E805" s="90" t="s">
        <v>852</v>
      </c>
      <c r="F805" s="90" t="s">
        <v>852</v>
      </c>
    </row>
    <row r="806" spans="1:6" ht="14.25" customHeight="1">
      <c r="A806" s="1" t="s">
        <v>105</v>
      </c>
      <c r="B806" s="90"/>
      <c r="C806" s="89"/>
      <c r="D806" s="89" t="s">
        <v>2456</v>
      </c>
      <c r="E806" s="89"/>
      <c r="F806" s="89"/>
    </row>
    <row r="807" spans="1:6" ht="14.25" customHeight="1">
      <c r="A807" s="1" t="s">
        <v>105</v>
      </c>
      <c r="B807" s="90"/>
      <c r="C807" s="89"/>
      <c r="D807" s="89" t="s">
        <v>2457</v>
      </c>
      <c r="E807" s="89"/>
      <c r="F807" s="89"/>
    </row>
    <row r="808" spans="1:6" ht="14.25" customHeight="1">
      <c r="A808" s="1" t="s">
        <v>105</v>
      </c>
      <c r="B808" s="90"/>
      <c r="C808" s="89"/>
      <c r="D808" s="89" t="s">
        <v>2458</v>
      </c>
      <c r="E808" s="89"/>
      <c r="F808" s="89"/>
    </row>
    <row r="809" spans="1:6" ht="14.25" customHeight="1">
      <c r="A809" s="1" t="s">
        <v>105</v>
      </c>
      <c r="B809" s="90"/>
      <c r="C809" s="89"/>
      <c r="D809" s="89" t="s">
        <v>2459</v>
      </c>
      <c r="E809" s="89"/>
      <c r="F809" s="89"/>
    </row>
    <row r="810" spans="1:6" ht="14.25" customHeight="1">
      <c r="A810" s="1" t="s">
        <v>105</v>
      </c>
      <c r="B810" s="90" t="s">
        <v>2460</v>
      </c>
      <c r="C810" s="90" t="s">
        <v>853</v>
      </c>
      <c r="D810" s="90" t="s">
        <v>853</v>
      </c>
      <c r="E810" s="90" t="s">
        <v>853</v>
      </c>
      <c r="F810" s="90" t="s">
        <v>853</v>
      </c>
    </row>
    <row r="811" spans="1:6" ht="14.25" customHeight="1">
      <c r="A811" s="1" t="s">
        <v>105</v>
      </c>
      <c r="B811" s="90"/>
      <c r="C811" s="89"/>
      <c r="D811" s="89" t="s">
        <v>2461</v>
      </c>
      <c r="E811" s="89"/>
      <c r="F811" s="89"/>
    </row>
    <row r="812" spans="1:6" ht="14.25" customHeight="1">
      <c r="A812" s="1" t="s">
        <v>105</v>
      </c>
      <c r="B812" s="90"/>
      <c r="C812" s="89"/>
      <c r="D812" s="89" t="s">
        <v>2462</v>
      </c>
      <c r="E812" s="89"/>
      <c r="F812" s="89"/>
    </row>
    <row r="813" spans="1:6" ht="14.25" customHeight="1">
      <c r="A813" s="1" t="s">
        <v>105</v>
      </c>
      <c r="B813" s="90"/>
      <c r="C813" s="89"/>
      <c r="D813" s="89" t="s">
        <v>2463</v>
      </c>
      <c r="E813" s="89"/>
      <c r="F813" s="89"/>
    </row>
    <row r="814" spans="1:6" ht="14.25" customHeight="1">
      <c r="A814" s="1" t="s">
        <v>105</v>
      </c>
      <c r="B814" s="90"/>
      <c r="C814" s="89"/>
      <c r="D814" s="89" t="s">
        <v>2464</v>
      </c>
      <c r="E814" s="89"/>
      <c r="F814" s="89"/>
    </row>
    <row r="815" spans="1:6" ht="14.25" customHeight="1">
      <c r="A815" s="1" t="s">
        <v>105</v>
      </c>
      <c r="B815" s="90" t="s">
        <v>2460</v>
      </c>
      <c r="C815" s="90" t="s">
        <v>854</v>
      </c>
      <c r="D815" s="90" t="s">
        <v>854</v>
      </c>
      <c r="E815" s="90" t="s">
        <v>854</v>
      </c>
      <c r="F815" s="90" t="s">
        <v>854</v>
      </c>
    </row>
    <row r="816" spans="1:6" ht="14.25" customHeight="1">
      <c r="A816" s="1" t="s">
        <v>105</v>
      </c>
      <c r="B816" s="90"/>
      <c r="C816" s="89"/>
      <c r="D816" s="89" t="s">
        <v>2465</v>
      </c>
      <c r="E816" s="89"/>
      <c r="F816" s="89"/>
    </row>
    <row r="817" spans="1:6" ht="14.25" customHeight="1">
      <c r="A817" s="1" t="s">
        <v>105</v>
      </c>
      <c r="B817" s="90"/>
      <c r="C817" s="89"/>
      <c r="D817" s="89" t="s">
        <v>2466</v>
      </c>
      <c r="E817" s="89"/>
      <c r="F817" s="89"/>
    </row>
    <row r="818" spans="1:6" ht="14.25" customHeight="1">
      <c r="A818" s="1" t="s">
        <v>105</v>
      </c>
      <c r="B818" s="90"/>
      <c r="C818" s="89"/>
      <c r="D818" s="89" t="s">
        <v>2467</v>
      </c>
      <c r="E818" s="89"/>
      <c r="F818" s="89"/>
    </row>
    <row r="819" spans="1:6" ht="14.25" customHeight="1">
      <c r="A819" s="1" t="s">
        <v>105</v>
      </c>
      <c r="B819" s="90"/>
      <c r="C819" s="89"/>
      <c r="D819" s="89" t="s">
        <v>2468</v>
      </c>
      <c r="E819" s="89"/>
      <c r="F819" s="89"/>
    </row>
    <row r="820" spans="1:6" ht="14.25" customHeight="1">
      <c r="A820" s="1" t="s">
        <v>105</v>
      </c>
      <c r="B820" s="90" t="s">
        <v>2460</v>
      </c>
      <c r="C820" s="90" t="s">
        <v>855</v>
      </c>
      <c r="D820" s="90" t="s">
        <v>855</v>
      </c>
      <c r="E820" s="90" t="s">
        <v>855</v>
      </c>
      <c r="F820" s="90" t="s">
        <v>855</v>
      </c>
    </row>
    <row r="821" spans="1:6" ht="14.25" customHeight="1">
      <c r="A821" s="1" t="s">
        <v>105</v>
      </c>
      <c r="B821" s="90"/>
      <c r="C821" s="89"/>
      <c r="D821" s="89" t="s">
        <v>2469</v>
      </c>
      <c r="E821" s="89"/>
      <c r="F821" s="89"/>
    </row>
    <row r="822" spans="1:6" ht="14.25" customHeight="1">
      <c r="A822" s="1" t="s">
        <v>105</v>
      </c>
      <c r="B822" s="90"/>
      <c r="C822" s="89"/>
      <c r="D822" s="89" t="s">
        <v>2470</v>
      </c>
      <c r="E822" s="89"/>
      <c r="F822" s="89"/>
    </row>
    <row r="823" spans="1:6" ht="14.25" customHeight="1">
      <c r="A823" s="1" t="s">
        <v>105</v>
      </c>
      <c r="B823" s="90"/>
      <c r="C823" s="89"/>
      <c r="D823" s="89" t="s">
        <v>2471</v>
      </c>
      <c r="E823" s="89"/>
      <c r="F823" s="89"/>
    </row>
    <row r="824" spans="1:6" ht="14.25" customHeight="1">
      <c r="A824" s="1" t="s">
        <v>105</v>
      </c>
      <c r="B824" s="90"/>
      <c r="C824" s="89"/>
      <c r="D824" s="89" t="s">
        <v>2472</v>
      </c>
      <c r="E824" s="89"/>
      <c r="F824" s="89"/>
    </row>
    <row r="825" spans="1:6" ht="14.25" customHeight="1">
      <c r="A825" s="1" t="s">
        <v>105</v>
      </c>
      <c r="B825" s="90" t="s">
        <v>2460</v>
      </c>
      <c r="C825" s="90" t="s">
        <v>856</v>
      </c>
      <c r="D825" s="90" t="s">
        <v>856</v>
      </c>
      <c r="E825" s="90" t="s">
        <v>856</v>
      </c>
      <c r="F825" s="90" t="s">
        <v>856</v>
      </c>
    </row>
    <row r="826" spans="1:6" ht="14.25" customHeight="1">
      <c r="A826" s="1" t="s">
        <v>105</v>
      </c>
      <c r="B826" s="90"/>
      <c r="C826" s="89"/>
      <c r="D826" s="89" t="s">
        <v>2473</v>
      </c>
      <c r="E826" s="89"/>
      <c r="F826" s="89"/>
    </row>
    <row r="827" spans="1:6" ht="14.25" customHeight="1">
      <c r="A827" s="1" t="s">
        <v>105</v>
      </c>
      <c r="B827" s="90"/>
      <c r="C827" s="89"/>
      <c r="D827" s="89" t="s">
        <v>2474</v>
      </c>
      <c r="E827" s="89"/>
      <c r="F827" s="89"/>
    </row>
    <row r="828" spans="1:6" ht="14.25" customHeight="1">
      <c r="A828" s="1" t="s">
        <v>105</v>
      </c>
      <c r="B828" s="90"/>
      <c r="C828" s="89"/>
      <c r="D828" s="89" t="s">
        <v>2475</v>
      </c>
      <c r="E828" s="89"/>
      <c r="F828" s="89"/>
    </row>
    <row r="829" spans="1:6" ht="14.25" customHeight="1">
      <c r="A829" s="1" t="s">
        <v>105</v>
      </c>
      <c r="B829" s="90"/>
      <c r="C829" s="89"/>
      <c r="D829" s="89" t="s">
        <v>2476</v>
      </c>
      <c r="E829" s="89"/>
      <c r="F829" s="89"/>
    </row>
    <row r="830" spans="1:6" ht="14.25" customHeight="1">
      <c r="A830" s="1" t="s">
        <v>105</v>
      </c>
      <c r="B830" s="90" t="s">
        <v>2460</v>
      </c>
      <c r="C830" s="90" t="s">
        <v>857</v>
      </c>
      <c r="D830" s="90" t="s">
        <v>857</v>
      </c>
      <c r="E830" s="90" t="s">
        <v>857</v>
      </c>
      <c r="F830" s="90" t="s">
        <v>857</v>
      </c>
    </row>
    <row r="831" spans="1:6" ht="14.25" customHeight="1">
      <c r="A831" s="1" t="s">
        <v>105</v>
      </c>
      <c r="B831" s="90"/>
      <c r="C831" s="89"/>
      <c r="D831" s="89" t="s">
        <v>2477</v>
      </c>
      <c r="E831" s="89"/>
      <c r="F831" s="89"/>
    </row>
    <row r="832" spans="1:6" ht="14.25" customHeight="1">
      <c r="A832" s="1" t="s">
        <v>105</v>
      </c>
      <c r="B832" s="90"/>
      <c r="C832" s="89"/>
      <c r="D832" s="89" t="s">
        <v>2478</v>
      </c>
      <c r="E832" s="89"/>
      <c r="F832" s="89"/>
    </row>
    <row r="833" spans="1:6" ht="14.25" customHeight="1">
      <c r="A833" s="1" t="s">
        <v>105</v>
      </c>
      <c r="B833" s="90"/>
      <c r="C833" s="89"/>
      <c r="D833" s="89" t="s">
        <v>2479</v>
      </c>
      <c r="E833" s="89"/>
      <c r="F833" s="89"/>
    </row>
    <row r="834" spans="1:6" ht="14.25" customHeight="1">
      <c r="A834" s="1" t="s">
        <v>105</v>
      </c>
      <c r="B834" s="90"/>
      <c r="C834" s="89"/>
      <c r="D834" s="89" t="s">
        <v>2480</v>
      </c>
      <c r="E834" s="89"/>
      <c r="F834" s="89"/>
    </row>
    <row r="835" spans="1:6" ht="14.25" customHeight="1">
      <c r="A835" s="1" t="s">
        <v>105</v>
      </c>
      <c r="B835" s="90" t="s">
        <v>2481</v>
      </c>
      <c r="C835" s="90" t="s">
        <v>858</v>
      </c>
      <c r="D835" s="90" t="s">
        <v>858</v>
      </c>
      <c r="E835" s="90" t="s">
        <v>858</v>
      </c>
      <c r="F835" s="90" t="s">
        <v>858</v>
      </c>
    </row>
    <row r="836" spans="1:6" ht="14.25" customHeight="1">
      <c r="A836" s="1" t="s">
        <v>105</v>
      </c>
      <c r="B836" s="90"/>
      <c r="C836" s="89"/>
      <c r="D836" s="89" t="s">
        <v>2482</v>
      </c>
      <c r="E836" s="89"/>
      <c r="F836" s="89"/>
    </row>
    <row r="837" spans="1:6" ht="14.25" customHeight="1">
      <c r="A837" s="1" t="s">
        <v>105</v>
      </c>
      <c r="B837" s="90"/>
      <c r="C837" s="89"/>
      <c r="D837" s="89" t="s">
        <v>2483</v>
      </c>
      <c r="E837" s="89"/>
      <c r="F837" s="89"/>
    </row>
    <row r="838" spans="1:6" ht="14.25" customHeight="1">
      <c r="A838" s="1" t="s">
        <v>105</v>
      </c>
      <c r="B838" s="90"/>
      <c r="C838" s="89"/>
      <c r="D838" s="89" t="s">
        <v>2484</v>
      </c>
      <c r="E838" s="89"/>
      <c r="F838" s="89"/>
    </row>
    <row r="839" spans="1:6" ht="14.25" customHeight="1">
      <c r="A839" s="1" t="s">
        <v>105</v>
      </c>
      <c r="B839" s="90"/>
      <c r="C839" s="89"/>
      <c r="D839" s="89" t="s">
        <v>2485</v>
      </c>
      <c r="E839" s="89"/>
      <c r="F839" s="89"/>
    </row>
    <row r="840" spans="1:6" ht="14.25" customHeight="1">
      <c r="A840" s="1" t="s">
        <v>105</v>
      </c>
      <c r="B840" s="90"/>
      <c r="C840" s="89"/>
      <c r="D840" s="89" t="s">
        <v>2486</v>
      </c>
      <c r="E840" s="89"/>
      <c r="F840" s="89"/>
    </row>
    <row r="841" spans="1:6" ht="14.25" customHeight="1">
      <c r="A841" s="1" t="s">
        <v>105</v>
      </c>
      <c r="B841" s="90"/>
      <c r="C841" s="89"/>
      <c r="D841" s="89" t="s">
        <v>2487</v>
      </c>
      <c r="E841" s="89"/>
      <c r="F841" s="89"/>
    </row>
    <row r="842" spans="1:6" ht="14.25" customHeight="1">
      <c r="A842" s="1" t="s">
        <v>105</v>
      </c>
      <c r="B842" s="90" t="s">
        <v>2481</v>
      </c>
      <c r="C842" s="90" t="s">
        <v>859</v>
      </c>
      <c r="D842" s="90" t="s">
        <v>859</v>
      </c>
      <c r="E842" s="90" t="s">
        <v>859</v>
      </c>
      <c r="F842" s="90" t="s">
        <v>859</v>
      </c>
    </row>
    <row r="843" spans="1:6" ht="14.25" customHeight="1">
      <c r="A843" s="1" t="s">
        <v>105</v>
      </c>
      <c r="B843" s="90"/>
      <c r="C843" s="89"/>
      <c r="D843" s="89" t="s">
        <v>2488</v>
      </c>
      <c r="E843" s="89"/>
      <c r="F843" s="89"/>
    </row>
    <row r="844" spans="1:6" ht="14.25" customHeight="1">
      <c r="A844" s="1" t="s">
        <v>105</v>
      </c>
      <c r="B844" s="90"/>
      <c r="C844" s="89"/>
      <c r="D844" s="89" t="s">
        <v>2489</v>
      </c>
      <c r="E844" s="89"/>
      <c r="F844" s="89"/>
    </row>
    <row r="845" spans="1:6" ht="14.25" customHeight="1">
      <c r="A845" s="1" t="s">
        <v>105</v>
      </c>
      <c r="B845" s="90"/>
      <c r="C845" s="89"/>
      <c r="D845" s="89" t="s">
        <v>2490</v>
      </c>
      <c r="E845" s="89"/>
      <c r="F845" s="89"/>
    </row>
    <row r="846" spans="1:6" ht="14.25" customHeight="1">
      <c r="A846" s="1" t="s">
        <v>105</v>
      </c>
      <c r="B846" s="90"/>
      <c r="C846" s="89"/>
      <c r="D846" s="89" t="s">
        <v>2491</v>
      </c>
      <c r="E846" s="89"/>
      <c r="F846" s="89"/>
    </row>
    <row r="847" spans="1:6" ht="14.25" customHeight="1">
      <c r="A847" s="1" t="s">
        <v>105</v>
      </c>
      <c r="B847" s="90"/>
      <c r="C847" s="89"/>
      <c r="D847" s="89" t="s">
        <v>2492</v>
      </c>
      <c r="E847" s="89"/>
      <c r="F847" s="89"/>
    </row>
    <row r="848" spans="1:6" ht="14.25" customHeight="1">
      <c r="A848" s="1" t="s">
        <v>105</v>
      </c>
      <c r="B848" s="90"/>
      <c r="C848" s="89"/>
      <c r="D848" s="89" t="s">
        <v>2493</v>
      </c>
      <c r="E848" s="89"/>
      <c r="F848" s="89"/>
    </row>
    <row r="849" spans="1:6" ht="14.25" customHeight="1">
      <c r="A849" s="1" t="s">
        <v>105</v>
      </c>
      <c r="B849" s="90"/>
      <c r="C849" s="89"/>
      <c r="D849" s="89" t="s">
        <v>2494</v>
      </c>
      <c r="E849" s="89"/>
      <c r="F849" s="89"/>
    </row>
    <row r="850" spans="1:6" ht="14.25" customHeight="1">
      <c r="A850" s="1" t="s">
        <v>105</v>
      </c>
      <c r="B850" s="90"/>
      <c r="C850" s="89"/>
      <c r="D850" s="89" t="s">
        <v>2495</v>
      </c>
      <c r="E850" s="89"/>
      <c r="F850" s="89"/>
    </row>
    <row r="851" spans="1:6" ht="14.25" customHeight="1">
      <c r="A851" s="1" t="s">
        <v>105</v>
      </c>
      <c r="B851" s="90"/>
      <c r="C851" s="89"/>
      <c r="D851" s="89" t="s">
        <v>2496</v>
      </c>
      <c r="E851" s="89"/>
      <c r="F851" s="89"/>
    </row>
    <row r="852" spans="1:6" ht="14.25" customHeight="1">
      <c r="A852" s="1" t="s">
        <v>105</v>
      </c>
      <c r="B852" s="90"/>
      <c r="C852" s="89"/>
      <c r="D852" s="89" t="s">
        <v>2497</v>
      </c>
      <c r="E852" s="89"/>
      <c r="F852" s="89"/>
    </row>
    <row r="853" spans="1:6" ht="14.25" customHeight="1">
      <c r="A853" s="1" t="s">
        <v>105</v>
      </c>
      <c r="B853" s="90"/>
      <c r="C853" s="89"/>
      <c r="D853" s="89" t="s">
        <v>2498</v>
      </c>
      <c r="E853" s="89"/>
      <c r="F853" s="89"/>
    </row>
    <row r="854" spans="1:6" ht="14.25" customHeight="1">
      <c r="A854" s="1" t="s">
        <v>105</v>
      </c>
      <c r="B854" s="90"/>
      <c r="C854" s="89"/>
      <c r="D854" s="89" t="s">
        <v>2499</v>
      </c>
      <c r="E854" s="89"/>
      <c r="F854" s="89"/>
    </row>
    <row r="855" spans="1:6" ht="14.25" customHeight="1">
      <c r="A855" s="1" t="s">
        <v>105</v>
      </c>
      <c r="B855" s="90"/>
      <c r="C855" s="89"/>
      <c r="D855" s="89" t="s">
        <v>2500</v>
      </c>
      <c r="E855" s="89"/>
      <c r="F855" s="89"/>
    </row>
    <row r="856" spans="1:6" ht="14.25" customHeight="1">
      <c r="A856" s="1" t="s">
        <v>105</v>
      </c>
      <c r="B856" s="90"/>
      <c r="C856" s="89"/>
      <c r="D856" s="89" t="s">
        <v>2501</v>
      </c>
      <c r="E856" s="89"/>
      <c r="F856" s="89"/>
    </row>
    <row r="857" spans="1:6" ht="14.25" customHeight="1">
      <c r="A857" s="1" t="s">
        <v>105</v>
      </c>
      <c r="B857" s="90"/>
      <c r="C857" s="89"/>
      <c r="D857" s="89" t="s">
        <v>2502</v>
      </c>
      <c r="E857" s="89"/>
      <c r="F857" s="89"/>
    </row>
    <row r="858" spans="1:6" ht="14.25" customHeight="1">
      <c r="A858" s="1" t="s">
        <v>105</v>
      </c>
      <c r="B858" s="90"/>
      <c r="C858" s="89"/>
      <c r="D858" s="89" t="s">
        <v>2503</v>
      </c>
      <c r="E858" s="89"/>
      <c r="F858" s="89"/>
    </row>
    <row r="859" spans="1:6" ht="14.25" customHeight="1">
      <c r="A859" s="1" t="s">
        <v>105</v>
      </c>
      <c r="B859" s="90" t="s">
        <v>2481</v>
      </c>
      <c r="C859" s="90" t="s">
        <v>860</v>
      </c>
      <c r="D859" s="90" t="s">
        <v>860</v>
      </c>
      <c r="E859" s="90" t="s">
        <v>860</v>
      </c>
      <c r="F859" s="90" t="s">
        <v>860</v>
      </c>
    </row>
    <row r="860" spans="1:6" ht="14.25" customHeight="1">
      <c r="A860" s="1" t="s">
        <v>105</v>
      </c>
      <c r="B860" s="90"/>
      <c r="C860" s="89"/>
      <c r="D860" s="89" t="s">
        <v>2504</v>
      </c>
      <c r="E860" s="89"/>
      <c r="F860" s="89"/>
    </row>
    <row r="861" spans="1:6" ht="14.25" customHeight="1">
      <c r="A861" s="1" t="s">
        <v>105</v>
      </c>
      <c r="B861" s="90"/>
      <c r="C861" s="89"/>
      <c r="D861" s="89" t="s">
        <v>2505</v>
      </c>
      <c r="E861" s="89"/>
      <c r="F861" s="89"/>
    </row>
    <row r="862" spans="1:6" ht="14.25" customHeight="1">
      <c r="A862" s="1" t="s">
        <v>105</v>
      </c>
      <c r="B862" s="90"/>
      <c r="C862" s="89"/>
      <c r="D862" s="89" t="s">
        <v>2506</v>
      </c>
      <c r="E862" s="89"/>
      <c r="F862" s="89"/>
    </row>
    <row r="863" spans="1:6" ht="14.25" customHeight="1">
      <c r="A863" s="1" t="s">
        <v>105</v>
      </c>
      <c r="B863" s="90"/>
      <c r="C863" s="89"/>
      <c r="D863" s="89" t="s">
        <v>2507</v>
      </c>
      <c r="E863" s="89"/>
      <c r="F863" s="89"/>
    </row>
    <row r="864" spans="1:6" ht="14.25" customHeight="1">
      <c r="A864" s="1" t="s">
        <v>105</v>
      </c>
      <c r="B864" s="90"/>
      <c r="C864" s="89"/>
      <c r="D864" s="89" t="s">
        <v>2508</v>
      </c>
      <c r="E864" s="89"/>
      <c r="F864" s="89"/>
    </row>
    <row r="865" spans="1:6" ht="14.25" customHeight="1">
      <c r="A865" s="1" t="s">
        <v>105</v>
      </c>
      <c r="B865" s="90"/>
      <c r="C865" s="89"/>
      <c r="D865" s="89" t="s">
        <v>2509</v>
      </c>
      <c r="E865" s="89"/>
      <c r="F865" s="89"/>
    </row>
    <row r="866" spans="1:6" ht="14.25" customHeight="1">
      <c r="A866" s="1" t="s">
        <v>105</v>
      </c>
      <c r="B866" s="90"/>
      <c r="C866" s="89"/>
      <c r="D866" s="89" t="s">
        <v>2510</v>
      </c>
      <c r="E866" s="89"/>
      <c r="F866" s="89"/>
    </row>
    <row r="867" spans="1:6" ht="14.25" customHeight="1">
      <c r="A867" s="1" t="s">
        <v>105</v>
      </c>
      <c r="B867" s="90"/>
      <c r="C867" s="89"/>
      <c r="D867" s="89" t="s">
        <v>2511</v>
      </c>
      <c r="E867" s="89"/>
      <c r="F867" s="89"/>
    </row>
    <row r="868" spans="1:6" ht="14.25" customHeight="1">
      <c r="A868" s="1" t="s">
        <v>105</v>
      </c>
      <c r="B868" s="90"/>
      <c r="C868" s="89"/>
      <c r="D868" s="89" t="s">
        <v>2512</v>
      </c>
      <c r="E868" s="89"/>
      <c r="F868" s="89"/>
    </row>
    <row r="869" spans="1:6" ht="14.25" customHeight="1">
      <c r="A869" s="1" t="s">
        <v>105</v>
      </c>
      <c r="B869" s="90"/>
      <c r="C869" s="89"/>
      <c r="D869" s="89" t="s">
        <v>2513</v>
      </c>
      <c r="E869" s="89"/>
      <c r="F869" s="89"/>
    </row>
    <row r="870" spans="1:6" ht="14.25" customHeight="1">
      <c r="A870" s="1" t="s">
        <v>105</v>
      </c>
      <c r="B870" s="90"/>
      <c r="C870" s="89"/>
      <c r="D870" s="89" t="s">
        <v>2514</v>
      </c>
      <c r="E870" s="89"/>
      <c r="F870" s="89"/>
    </row>
    <row r="871" spans="1:6" ht="14.25" customHeight="1">
      <c r="A871" s="1" t="s">
        <v>105</v>
      </c>
      <c r="B871" s="90"/>
      <c r="C871" s="89"/>
      <c r="D871" s="89" t="s">
        <v>2515</v>
      </c>
      <c r="E871" s="89"/>
      <c r="F871" s="89"/>
    </row>
    <row r="872" spans="1:6" ht="14.25" customHeight="1">
      <c r="A872" s="1" t="s">
        <v>105</v>
      </c>
      <c r="B872" s="90"/>
      <c r="C872" s="89"/>
      <c r="D872" s="89" t="s">
        <v>2516</v>
      </c>
      <c r="E872" s="89"/>
      <c r="F872" s="89"/>
    </row>
    <row r="873" spans="1:6" ht="14.25" customHeight="1">
      <c r="A873" s="1" t="s">
        <v>105</v>
      </c>
      <c r="B873" s="90"/>
      <c r="C873" s="89"/>
      <c r="D873" s="89" t="s">
        <v>2517</v>
      </c>
      <c r="E873" s="89"/>
      <c r="F873" s="89"/>
    </row>
    <row r="874" spans="1:6" ht="14.25" customHeight="1">
      <c r="A874" s="1" t="s">
        <v>105</v>
      </c>
      <c r="B874" s="90"/>
      <c r="C874" s="89"/>
      <c r="D874" s="89" t="s">
        <v>2518</v>
      </c>
      <c r="E874" s="89"/>
      <c r="F874" s="89"/>
    </row>
    <row r="875" spans="1:6" ht="14.25" customHeight="1">
      <c r="A875" s="1" t="s">
        <v>105</v>
      </c>
      <c r="B875" s="90"/>
      <c r="C875" s="89"/>
      <c r="D875" s="89" t="s">
        <v>2519</v>
      </c>
      <c r="E875" s="89"/>
      <c r="F875" s="89"/>
    </row>
    <row r="876" spans="1:6" ht="14.25" customHeight="1">
      <c r="A876" s="1" t="s">
        <v>105</v>
      </c>
      <c r="B876" s="90" t="s">
        <v>2481</v>
      </c>
      <c r="C876" s="90" t="s">
        <v>861</v>
      </c>
      <c r="D876" s="90" t="s">
        <v>861</v>
      </c>
      <c r="E876" s="90" t="s">
        <v>861</v>
      </c>
      <c r="F876" s="90" t="s">
        <v>861</v>
      </c>
    </row>
    <row r="877" spans="1:6" ht="14.25" customHeight="1">
      <c r="A877" s="1" t="s">
        <v>105</v>
      </c>
      <c r="B877" s="90"/>
      <c r="C877" s="89"/>
      <c r="D877" s="89" t="s">
        <v>2520</v>
      </c>
      <c r="E877" s="89"/>
      <c r="F877" s="89"/>
    </row>
    <row r="878" spans="1:6" ht="14.25" customHeight="1">
      <c r="A878" s="1" t="s">
        <v>105</v>
      </c>
      <c r="B878" s="90"/>
      <c r="C878" s="89"/>
      <c r="D878" s="89" t="s">
        <v>2521</v>
      </c>
      <c r="E878" s="89"/>
      <c r="F878" s="89"/>
    </row>
    <row r="879" spans="1:6" ht="14.25" customHeight="1">
      <c r="A879" s="1" t="s">
        <v>105</v>
      </c>
      <c r="B879" s="90"/>
      <c r="C879" s="89"/>
      <c r="D879" s="89" t="s">
        <v>2522</v>
      </c>
      <c r="E879" s="89"/>
      <c r="F879" s="89"/>
    </row>
    <row r="880" spans="1:6" ht="14.25" customHeight="1">
      <c r="A880" s="1" t="s">
        <v>105</v>
      </c>
      <c r="B880" s="90"/>
      <c r="C880" s="89"/>
      <c r="D880" s="89" t="s">
        <v>2523</v>
      </c>
      <c r="E880" s="89"/>
      <c r="F880" s="89"/>
    </row>
    <row r="881" spans="1:6" ht="14.25" customHeight="1">
      <c r="A881" s="1" t="s">
        <v>105</v>
      </c>
      <c r="B881" s="90"/>
      <c r="C881" s="89"/>
      <c r="D881" s="89" t="s">
        <v>2524</v>
      </c>
      <c r="E881" s="89"/>
      <c r="F881" s="89"/>
    </row>
    <row r="882" spans="1:6" ht="14.25" customHeight="1">
      <c r="A882" s="1" t="s">
        <v>105</v>
      </c>
      <c r="B882" s="90"/>
      <c r="C882" s="89"/>
      <c r="D882" s="89" t="s">
        <v>2525</v>
      </c>
      <c r="E882" s="89"/>
      <c r="F882" s="89"/>
    </row>
    <row r="883" spans="1:6" ht="14.25" customHeight="1">
      <c r="A883" s="1" t="s">
        <v>105</v>
      </c>
      <c r="B883" s="90" t="s">
        <v>2526</v>
      </c>
      <c r="C883" s="90" t="s">
        <v>862</v>
      </c>
      <c r="D883" s="90" t="s">
        <v>862</v>
      </c>
      <c r="E883" s="90" t="s">
        <v>862</v>
      </c>
      <c r="F883" s="90" t="s">
        <v>862</v>
      </c>
    </row>
    <row r="884" spans="1:6" ht="14.25" customHeight="1">
      <c r="A884" s="1" t="s">
        <v>105</v>
      </c>
      <c r="B884" s="90"/>
      <c r="C884" s="89"/>
      <c r="D884" s="89" t="s">
        <v>2527</v>
      </c>
      <c r="E884" s="89"/>
      <c r="F884" s="89"/>
    </row>
    <row r="885" spans="1:6" ht="14.25" customHeight="1">
      <c r="A885" s="1" t="s">
        <v>105</v>
      </c>
      <c r="B885" s="90"/>
      <c r="C885" s="89"/>
      <c r="D885" s="89" t="s">
        <v>2528</v>
      </c>
      <c r="E885" s="89"/>
      <c r="F885" s="89"/>
    </row>
    <row r="886" spans="1:6" ht="14.25" customHeight="1">
      <c r="A886" s="1" t="s">
        <v>105</v>
      </c>
      <c r="B886" s="90"/>
      <c r="C886" s="89"/>
      <c r="D886" s="89" t="s">
        <v>2529</v>
      </c>
      <c r="E886" s="89"/>
      <c r="F886" s="89"/>
    </row>
    <row r="887" spans="1:6" ht="14.25" customHeight="1">
      <c r="A887" s="1" t="s">
        <v>105</v>
      </c>
      <c r="B887" s="90"/>
      <c r="C887" s="89"/>
      <c r="D887" s="89" t="s">
        <v>2530</v>
      </c>
      <c r="E887" s="89"/>
      <c r="F887" s="89"/>
    </row>
    <row r="888" spans="1:6" ht="14.25" customHeight="1">
      <c r="A888" s="1" t="s">
        <v>105</v>
      </c>
      <c r="B888" s="90" t="s">
        <v>2526</v>
      </c>
      <c r="C888" s="90" t="s">
        <v>863</v>
      </c>
      <c r="D888" s="90" t="s">
        <v>863</v>
      </c>
      <c r="E888" s="90" t="s">
        <v>863</v>
      </c>
      <c r="F888" s="90" t="s">
        <v>863</v>
      </c>
    </row>
    <row r="889" spans="1:6" ht="14.25" customHeight="1">
      <c r="A889" s="1" t="s">
        <v>105</v>
      </c>
      <c r="B889" s="90"/>
      <c r="C889" s="89"/>
      <c r="D889" s="89" t="s">
        <v>2531</v>
      </c>
      <c r="E889" s="89"/>
      <c r="F889" s="89"/>
    </row>
    <row r="890" spans="1:6" ht="14.25" customHeight="1">
      <c r="A890" s="1" t="s">
        <v>105</v>
      </c>
      <c r="B890" s="90"/>
      <c r="C890" s="89"/>
      <c r="D890" s="89" t="s">
        <v>2532</v>
      </c>
      <c r="E890" s="89"/>
      <c r="F890" s="89"/>
    </row>
    <row r="891" spans="1:6" ht="14.25" customHeight="1">
      <c r="A891" s="1" t="s">
        <v>105</v>
      </c>
      <c r="B891" s="90"/>
      <c r="C891" s="89"/>
      <c r="D891" s="89" t="s">
        <v>2533</v>
      </c>
      <c r="E891" s="89"/>
      <c r="F891" s="89"/>
    </row>
    <row r="892" spans="1:6" ht="14.25" customHeight="1">
      <c r="A892" s="1" t="s">
        <v>105</v>
      </c>
      <c r="B892" s="90"/>
      <c r="C892" s="89"/>
      <c r="D892" s="89" t="s">
        <v>2534</v>
      </c>
      <c r="E892" s="89"/>
      <c r="F892" s="89"/>
    </row>
    <row r="893" spans="1:6" ht="14.25" customHeight="1">
      <c r="A893" s="1" t="s">
        <v>105</v>
      </c>
      <c r="B893" s="90" t="s">
        <v>2535</v>
      </c>
      <c r="C893" s="90" t="s">
        <v>864</v>
      </c>
      <c r="D893" s="90" t="s">
        <v>864</v>
      </c>
      <c r="E893" s="90" t="s">
        <v>864</v>
      </c>
      <c r="F893" s="90" t="s">
        <v>864</v>
      </c>
    </row>
    <row r="894" spans="1:6" ht="14.25" customHeight="1">
      <c r="A894" s="1" t="s">
        <v>105</v>
      </c>
      <c r="B894" s="90"/>
      <c r="C894" s="89" t="str">
        <f t="shared" ref="C894:C895" si="23">D894</f>
        <v>PR68-1</v>
      </c>
      <c r="D894" s="89" t="s">
        <v>2536</v>
      </c>
      <c r="E894" s="89"/>
      <c r="F894" s="89"/>
    </row>
    <row r="895" spans="1:6" ht="14.25" customHeight="1">
      <c r="A895" s="1" t="s">
        <v>105</v>
      </c>
      <c r="B895" s="90"/>
      <c r="C895" s="89" t="str">
        <f t="shared" si="23"/>
        <v>PR68-2</v>
      </c>
      <c r="D895" s="89" t="s">
        <v>2537</v>
      </c>
      <c r="E895" s="89"/>
      <c r="F895" s="89"/>
    </row>
    <row r="896" spans="1:6" ht="14.25" customHeight="1">
      <c r="A896" s="1" t="s">
        <v>105</v>
      </c>
      <c r="B896" s="90"/>
      <c r="C896" s="89"/>
      <c r="D896" s="89" t="s">
        <v>2538</v>
      </c>
      <c r="E896" s="89"/>
      <c r="F896" s="89"/>
    </row>
    <row r="897" spans="1:6" ht="14.25" customHeight="1">
      <c r="A897" s="1" t="s">
        <v>105</v>
      </c>
      <c r="B897" s="90"/>
      <c r="C897" s="89"/>
      <c r="D897" s="89" t="s">
        <v>2539</v>
      </c>
      <c r="E897" s="89"/>
      <c r="F897" s="89"/>
    </row>
    <row r="898" spans="1:6" ht="14.25" customHeight="1">
      <c r="A898" s="1" t="s">
        <v>105</v>
      </c>
      <c r="B898" s="90"/>
      <c r="C898" s="89"/>
      <c r="D898" s="89" t="s">
        <v>2540</v>
      </c>
      <c r="E898" s="89"/>
      <c r="F898" s="89"/>
    </row>
    <row r="899" spans="1:6" ht="14.25" customHeight="1">
      <c r="A899" s="1" t="s">
        <v>105</v>
      </c>
      <c r="B899" s="90"/>
      <c r="C899" s="89"/>
      <c r="D899" s="89" t="s">
        <v>2541</v>
      </c>
      <c r="E899" s="89"/>
      <c r="F899" s="89"/>
    </row>
    <row r="900" spans="1:6" ht="14.25" customHeight="1">
      <c r="A900" s="1" t="s">
        <v>105</v>
      </c>
      <c r="B900" s="90" t="s">
        <v>2535</v>
      </c>
      <c r="C900" s="90" t="s">
        <v>865</v>
      </c>
      <c r="D900" s="90" t="s">
        <v>865</v>
      </c>
      <c r="E900" s="90" t="s">
        <v>865</v>
      </c>
      <c r="F900" s="90" t="s">
        <v>865</v>
      </c>
    </row>
    <row r="901" spans="1:6" ht="14.25" customHeight="1">
      <c r="A901" s="1" t="s">
        <v>105</v>
      </c>
      <c r="B901" s="90"/>
      <c r="C901" s="89" t="str">
        <f t="shared" ref="C901:C902" si="24">D901</f>
        <v>PR69-1</v>
      </c>
      <c r="D901" s="89" t="s">
        <v>2542</v>
      </c>
      <c r="E901" s="89"/>
      <c r="F901" s="89"/>
    </row>
    <row r="902" spans="1:6" ht="14.25" customHeight="1">
      <c r="A902" s="1" t="s">
        <v>105</v>
      </c>
      <c r="B902" s="90"/>
      <c r="C902" s="89" t="str">
        <f t="shared" si="24"/>
        <v>PR69-2</v>
      </c>
      <c r="D902" s="89" t="s">
        <v>2543</v>
      </c>
      <c r="E902" s="89"/>
      <c r="F902" s="89"/>
    </row>
    <row r="903" spans="1:6" ht="14.25" customHeight="1">
      <c r="A903" s="1" t="s">
        <v>105</v>
      </c>
      <c r="B903" s="90"/>
      <c r="C903" s="89"/>
      <c r="D903" s="89" t="s">
        <v>2544</v>
      </c>
      <c r="E903" s="89"/>
      <c r="F903" s="89"/>
    </row>
    <row r="904" spans="1:6" ht="14.25" customHeight="1">
      <c r="A904" s="1" t="s">
        <v>105</v>
      </c>
      <c r="B904" s="90"/>
      <c r="C904" s="89"/>
      <c r="D904" s="89" t="s">
        <v>2545</v>
      </c>
      <c r="E904" s="89"/>
      <c r="F904" s="89"/>
    </row>
    <row r="905" spans="1:6" ht="14.25" customHeight="1">
      <c r="A905" s="1" t="s">
        <v>105</v>
      </c>
      <c r="B905" s="90"/>
      <c r="C905" s="89"/>
      <c r="D905" s="89" t="s">
        <v>2546</v>
      </c>
      <c r="E905" s="89"/>
      <c r="F905" s="89"/>
    </row>
    <row r="906" spans="1:6" ht="14.25" customHeight="1">
      <c r="A906" s="1" t="s">
        <v>105</v>
      </c>
      <c r="B906" s="90"/>
      <c r="C906" s="89"/>
      <c r="D906" s="89" t="s">
        <v>2547</v>
      </c>
      <c r="E906" s="89"/>
      <c r="F906" s="89"/>
    </row>
    <row r="907" spans="1:6" ht="14.25" customHeight="1">
      <c r="A907" s="1" t="s">
        <v>105</v>
      </c>
      <c r="B907" s="90" t="s">
        <v>2535</v>
      </c>
      <c r="C907" s="90" t="s">
        <v>866</v>
      </c>
      <c r="D907" s="90" t="s">
        <v>866</v>
      </c>
      <c r="E907" s="90" t="s">
        <v>866</v>
      </c>
      <c r="F907" s="90" t="s">
        <v>866</v>
      </c>
    </row>
    <row r="908" spans="1:6" ht="14.25" customHeight="1">
      <c r="A908" s="1" t="s">
        <v>105</v>
      </c>
      <c r="B908" s="90"/>
      <c r="C908" s="89" t="str">
        <f t="shared" ref="C908:C909" si="25">D908</f>
        <v>PR70-1</v>
      </c>
      <c r="D908" s="89" t="s">
        <v>2548</v>
      </c>
      <c r="E908" s="89"/>
      <c r="F908" s="89"/>
    </row>
    <row r="909" spans="1:6" ht="14.25" customHeight="1">
      <c r="A909" s="1" t="s">
        <v>105</v>
      </c>
      <c r="B909" s="90"/>
      <c r="C909" s="89" t="str">
        <f t="shared" si="25"/>
        <v>PR70-2</v>
      </c>
      <c r="D909" s="89" t="s">
        <v>2549</v>
      </c>
      <c r="E909" s="89"/>
      <c r="F909" s="89"/>
    </row>
    <row r="910" spans="1:6" ht="14.25" customHeight="1">
      <c r="A910" s="1" t="s">
        <v>105</v>
      </c>
      <c r="B910" s="90"/>
      <c r="C910" s="89"/>
      <c r="D910" s="89" t="s">
        <v>2550</v>
      </c>
      <c r="E910" s="89"/>
      <c r="F910" s="89"/>
    </row>
    <row r="911" spans="1:6" ht="14.25" customHeight="1">
      <c r="A911" s="1" t="s">
        <v>105</v>
      </c>
      <c r="B911" s="90"/>
      <c r="C911" s="89"/>
      <c r="D911" s="89" t="s">
        <v>2551</v>
      </c>
      <c r="E911" s="89"/>
      <c r="F911" s="89"/>
    </row>
    <row r="912" spans="1:6" ht="14.25" customHeight="1">
      <c r="A912" s="1" t="s">
        <v>105</v>
      </c>
      <c r="B912" s="90"/>
      <c r="C912" s="89"/>
      <c r="D912" s="89" t="s">
        <v>2552</v>
      </c>
      <c r="E912" s="89"/>
      <c r="F912" s="89"/>
    </row>
    <row r="913" spans="1:6" ht="14.25" customHeight="1">
      <c r="A913" s="1" t="s">
        <v>105</v>
      </c>
      <c r="B913" s="90"/>
      <c r="C913" s="89"/>
      <c r="D913" s="89" t="s">
        <v>2553</v>
      </c>
      <c r="E913" s="89"/>
      <c r="F913" s="89"/>
    </row>
    <row r="914" spans="1:6" ht="14.25" customHeight="1">
      <c r="A914" s="1" t="s">
        <v>105</v>
      </c>
      <c r="B914" s="90" t="s">
        <v>2535</v>
      </c>
      <c r="C914" s="90" t="s">
        <v>867</v>
      </c>
      <c r="D914" s="90" t="s">
        <v>867</v>
      </c>
      <c r="E914" s="90" t="s">
        <v>867</v>
      </c>
      <c r="F914" s="90" t="s">
        <v>867</v>
      </c>
    </row>
    <row r="915" spans="1:6" ht="14.25" customHeight="1">
      <c r="A915" s="1" t="s">
        <v>105</v>
      </c>
      <c r="B915" s="90"/>
      <c r="C915" s="89" t="str">
        <f t="shared" ref="C915:C916" si="26">D915</f>
        <v>PR71-1</v>
      </c>
      <c r="D915" s="89" t="s">
        <v>2554</v>
      </c>
      <c r="E915" s="89"/>
      <c r="F915" s="89"/>
    </row>
    <row r="916" spans="1:6" ht="14.25" customHeight="1">
      <c r="A916" s="1" t="s">
        <v>105</v>
      </c>
      <c r="B916" s="90"/>
      <c r="C916" s="89" t="str">
        <f t="shared" si="26"/>
        <v>PR71-2</v>
      </c>
      <c r="D916" s="89" t="s">
        <v>2555</v>
      </c>
      <c r="E916" s="89"/>
      <c r="F916" s="89"/>
    </row>
    <row r="917" spans="1:6" ht="14.25" customHeight="1">
      <c r="A917" s="1" t="s">
        <v>105</v>
      </c>
      <c r="B917" s="90"/>
      <c r="C917" s="89"/>
      <c r="D917" s="89" t="s">
        <v>2556</v>
      </c>
      <c r="E917" s="89"/>
      <c r="F917" s="89"/>
    </row>
    <row r="918" spans="1:6" ht="14.25" customHeight="1">
      <c r="A918" s="1" t="s">
        <v>105</v>
      </c>
      <c r="B918" s="90"/>
      <c r="C918" s="89"/>
      <c r="D918" s="89" t="s">
        <v>2557</v>
      </c>
      <c r="E918" s="89"/>
      <c r="F918" s="89"/>
    </row>
    <row r="919" spans="1:6" ht="14.25" customHeight="1">
      <c r="A919" s="1" t="s">
        <v>105</v>
      </c>
      <c r="B919" s="90"/>
      <c r="C919" s="89"/>
      <c r="D919" s="89" t="s">
        <v>2558</v>
      </c>
      <c r="E919" s="89"/>
      <c r="F919" s="89"/>
    </row>
    <row r="920" spans="1:6" ht="14.25" customHeight="1">
      <c r="A920" s="1" t="s">
        <v>105</v>
      </c>
      <c r="B920" s="90"/>
      <c r="C920" s="89"/>
      <c r="D920" s="89" t="s">
        <v>2559</v>
      </c>
      <c r="E920" s="89"/>
      <c r="F920" s="89"/>
    </row>
    <row r="921" spans="1:6" ht="14.25" customHeight="1">
      <c r="A921" s="1" t="s">
        <v>105</v>
      </c>
      <c r="B921" s="90" t="s">
        <v>2535</v>
      </c>
      <c r="C921" s="90" t="s">
        <v>868</v>
      </c>
      <c r="D921" s="90" t="s">
        <v>868</v>
      </c>
      <c r="E921" s="90" t="s">
        <v>868</v>
      </c>
      <c r="F921" s="90" t="s">
        <v>868</v>
      </c>
    </row>
    <row r="922" spans="1:6" ht="14.25" customHeight="1">
      <c r="A922" s="1" t="s">
        <v>105</v>
      </c>
      <c r="B922" s="90"/>
      <c r="C922" s="89" t="str">
        <f t="shared" ref="C922:C923" si="27">D922</f>
        <v>PR72-1</v>
      </c>
      <c r="D922" s="89" t="s">
        <v>2560</v>
      </c>
      <c r="E922" s="89"/>
      <c r="F922" s="89"/>
    </row>
    <row r="923" spans="1:6" ht="14.25" customHeight="1">
      <c r="A923" s="1" t="s">
        <v>105</v>
      </c>
      <c r="B923" s="90"/>
      <c r="C923" s="89" t="str">
        <f t="shared" si="27"/>
        <v>PR72-2</v>
      </c>
      <c r="D923" s="89" t="s">
        <v>2561</v>
      </c>
      <c r="E923" s="89"/>
      <c r="F923" s="89"/>
    </row>
    <row r="924" spans="1:6" ht="14.25" customHeight="1">
      <c r="A924" s="1" t="s">
        <v>105</v>
      </c>
      <c r="B924" s="90"/>
      <c r="C924" s="89"/>
      <c r="D924" s="89" t="s">
        <v>2562</v>
      </c>
      <c r="E924" s="89"/>
      <c r="F924" s="89"/>
    </row>
    <row r="925" spans="1:6" ht="14.25" customHeight="1">
      <c r="A925" s="1" t="s">
        <v>105</v>
      </c>
      <c r="B925" s="90"/>
      <c r="C925" s="89"/>
      <c r="D925" s="89" t="s">
        <v>2563</v>
      </c>
      <c r="E925" s="89"/>
      <c r="F925" s="89"/>
    </row>
    <row r="926" spans="1:6" ht="14.25" customHeight="1">
      <c r="A926" s="1" t="s">
        <v>105</v>
      </c>
      <c r="B926" s="90"/>
      <c r="C926" s="89"/>
      <c r="D926" s="89" t="s">
        <v>2564</v>
      </c>
      <c r="E926" s="89"/>
      <c r="F926" s="89"/>
    </row>
    <row r="927" spans="1:6" ht="14.25" customHeight="1">
      <c r="A927" s="1" t="s">
        <v>105</v>
      </c>
      <c r="B927" s="90"/>
      <c r="C927" s="89"/>
      <c r="D927" s="89" t="s">
        <v>2565</v>
      </c>
      <c r="E927" s="89"/>
      <c r="F927" s="89"/>
    </row>
    <row r="928" spans="1:6" ht="14.25" customHeight="1">
      <c r="A928" s="1" t="s">
        <v>105</v>
      </c>
      <c r="B928" s="90" t="s">
        <v>2535</v>
      </c>
      <c r="C928" s="90" t="s">
        <v>869</v>
      </c>
      <c r="D928" s="90" t="s">
        <v>869</v>
      </c>
      <c r="E928" s="90" t="s">
        <v>869</v>
      </c>
      <c r="F928" s="90" t="s">
        <v>869</v>
      </c>
    </row>
    <row r="929" spans="1:6" ht="14.25" customHeight="1">
      <c r="A929" s="1" t="s">
        <v>105</v>
      </c>
      <c r="B929" s="90"/>
      <c r="C929" s="89" t="str">
        <f t="shared" ref="C929:C930" si="28">D929</f>
        <v>PR73-1</v>
      </c>
      <c r="D929" s="89" t="s">
        <v>2566</v>
      </c>
      <c r="E929" s="89"/>
      <c r="F929" s="89"/>
    </row>
    <row r="930" spans="1:6" ht="14.25" customHeight="1">
      <c r="A930" s="1" t="s">
        <v>105</v>
      </c>
      <c r="B930" s="90"/>
      <c r="C930" s="89" t="str">
        <f t="shared" si="28"/>
        <v>PR73-2</v>
      </c>
      <c r="D930" s="89" t="s">
        <v>2567</v>
      </c>
      <c r="E930" s="89"/>
      <c r="F930" s="89"/>
    </row>
    <row r="931" spans="1:6" ht="14.25" customHeight="1">
      <c r="A931" s="1" t="s">
        <v>105</v>
      </c>
      <c r="B931" s="90"/>
      <c r="C931" s="89"/>
      <c r="D931" s="89" t="s">
        <v>2568</v>
      </c>
      <c r="E931" s="89"/>
      <c r="F931" s="89"/>
    </row>
    <row r="932" spans="1:6" ht="14.25" customHeight="1">
      <c r="A932" s="1" t="s">
        <v>105</v>
      </c>
      <c r="B932" s="90"/>
      <c r="C932" s="89"/>
      <c r="D932" s="89" t="s">
        <v>2569</v>
      </c>
      <c r="E932" s="89"/>
      <c r="F932" s="89"/>
    </row>
    <row r="933" spans="1:6" ht="14.25" customHeight="1">
      <c r="A933" s="1" t="s">
        <v>105</v>
      </c>
      <c r="B933" s="90"/>
      <c r="C933" s="89"/>
      <c r="D933" s="89" t="s">
        <v>2570</v>
      </c>
      <c r="E933" s="89"/>
      <c r="F933" s="89"/>
    </row>
    <row r="934" spans="1:6" ht="14.25" customHeight="1">
      <c r="A934" s="1" t="s">
        <v>105</v>
      </c>
      <c r="B934" s="90"/>
      <c r="C934" s="89"/>
      <c r="D934" s="89" t="s">
        <v>2571</v>
      </c>
      <c r="E934" s="89"/>
      <c r="F934" s="89"/>
    </row>
    <row r="935" spans="1:6" ht="14.25" customHeight="1">
      <c r="A935" s="1" t="s">
        <v>105</v>
      </c>
      <c r="B935" s="90" t="s">
        <v>2572</v>
      </c>
      <c r="C935" s="90" t="s">
        <v>870</v>
      </c>
      <c r="D935" s="90" t="s">
        <v>870</v>
      </c>
      <c r="E935" s="90" t="s">
        <v>870</v>
      </c>
      <c r="F935" s="90" t="s">
        <v>870</v>
      </c>
    </row>
    <row r="936" spans="1:6" ht="14.25" customHeight="1">
      <c r="A936" s="1" t="s">
        <v>105</v>
      </c>
      <c r="B936" s="90"/>
      <c r="C936" s="89"/>
      <c r="D936" s="89" t="s">
        <v>2573</v>
      </c>
      <c r="E936" s="89"/>
      <c r="F936" s="89"/>
    </row>
    <row r="937" spans="1:6" ht="14.25" customHeight="1">
      <c r="A937" s="1" t="s">
        <v>105</v>
      </c>
      <c r="B937" s="90"/>
      <c r="C937" s="89"/>
      <c r="D937" s="89" t="s">
        <v>2574</v>
      </c>
      <c r="E937" s="89"/>
      <c r="F937" s="89"/>
    </row>
    <row r="938" spans="1:6" ht="14.25" customHeight="1">
      <c r="A938" s="1" t="s">
        <v>105</v>
      </c>
      <c r="B938" s="90"/>
      <c r="C938" s="89"/>
      <c r="D938" s="89" t="s">
        <v>2575</v>
      </c>
      <c r="E938" s="89"/>
      <c r="F938" s="89"/>
    </row>
    <row r="939" spans="1:6" ht="14.25" customHeight="1">
      <c r="A939" s="1" t="s">
        <v>105</v>
      </c>
      <c r="B939" s="90"/>
      <c r="C939" s="89"/>
      <c r="D939" s="89" t="s">
        <v>2576</v>
      </c>
      <c r="E939" s="89"/>
      <c r="F939" s="89"/>
    </row>
    <row r="940" spans="1:6" ht="14.25" customHeight="1">
      <c r="A940" s="1" t="s">
        <v>105</v>
      </c>
      <c r="B940" s="90" t="s">
        <v>2572</v>
      </c>
      <c r="C940" s="90" t="s">
        <v>871</v>
      </c>
      <c r="D940" s="90" t="s">
        <v>871</v>
      </c>
      <c r="E940" s="90" t="s">
        <v>871</v>
      </c>
      <c r="F940" s="90" t="s">
        <v>871</v>
      </c>
    </row>
    <row r="941" spans="1:6" ht="14.25" customHeight="1">
      <c r="A941" s="1" t="s">
        <v>105</v>
      </c>
      <c r="B941" s="90"/>
      <c r="C941" s="89"/>
      <c r="D941" s="89" t="s">
        <v>2577</v>
      </c>
      <c r="E941" s="89"/>
      <c r="F941" s="89"/>
    </row>
    <row r="942" spans="1:6" ht="14.25" customHeight="1">
      <c r="A942" s="1" t="s">
        <v>105</v>
      </c>
      <c r="B942" s="90"/>
      <c r="C942" s="89"/>
      <c r="D942" s="89" t="s">
        <v>2578</v>
      </c>
      <c r="E942" s="89"/>
      <c r="F942" s="89"/>
    </row>
    <row r="943" spans="1:6" ht="14.25" customHeight="1">
      <c r="A943" s="1" t="s">
        <v>105</v>
      </c>
      <c r="B943" s="90"/>
      <c r="C943" s="89"/>
      <c r="D943" s="89" t="s">
        <v>2579</v>
      </c>
      <c r="E943" s="89"/>
      <c r="F943" s="89"/>
    </row>
    <row r="944" spans="1:6" ht="14.25" customHeight="1">
      <c r="A944" s="1" t="s">
        <v>105</v>
      </c>
      <c r="B944" s="90"/>
      <c r="C944" s="89"/>
      <c r="D944" s="89" t="s">
        <v>2580</v>
      </c>
      <c r="E944" s="89"/>
      <c r="F944" s="89"/>
    </row>
    <row r="945" spans="1:6" ht="14.25" customHeight="1">
      <c r="A945" s="1" t="s">
        <v>105</v>
      </c>
      <c r="B945" s="90" t="s">
        <v>2572</v>
      </c>
      <c r="C945" s="90" t="s">
        <v>872</v>
      </c>
      <c r="D945" s="90" t="s">
        <v>872</v>
      </c>
      <c r="E945" s="90" t="s">
        <v>872</v>
      </c>
      <c r="F945" s="90" t="s">
        <v>872</v>
      </c>
    </row>
    <row r="946" spans="1:6" ht="14.25" customHeight="1">
      <c r="A946" s="1" t="s">
        <v>105</v>
      </c>
      <c r="B946" s="90"/>
      <c r="C946" s="89"/>
      <c r="D946" s="89" t="s">
        <v>2581</v>
      </c>
      <c r="E946" s="89"/>
      <c r="F946" s="89"/>
    </row>
    <row r="947" spans="1:6" ht="14.25" customHeight="1">
      <c r="A947" s="1" t="s">
        <v>105</v>
      </c>
      <c r="B947" s="90"/>
      <c r="C947" s="89"/>
      <c r="D947" s="89" t="s">
        <v>2582</v>
      </c>
      <c r="E947" s="89"/>
      <c r="F947" s="89"/>
    </row>
    <row r="948" spans="1:6" ht="14.25" customHeight="1">
      <c r="A948" s="1" t="s">
        <v>105</v>
      </c>
      <c r="B948" s="90"/>
      <c r="C948" s="89"/>
      <c r="D948" s="89" t="s">
        <v>2583</v>
      </c>
      <c r="E948" s="89"/>
      <c r="F948" s="89"/>
    </row>
    <row r="949" spans="1:6" ht="14.25" customHeight="1">
      <c r="A949" s="1" t="s">
        <v>105</v>
      </c>
      <c r="B949" s="90"/>
      <c r="C949" s="89"/>
      <c r="D949" s="89" t="s">
        <v>2584</v>
      </c>
      <c r="E949" s="89"/>
      <c r="F949" s="89"/>
    </row>
    <row r="950" spans="1:6" ht="14.25" customHeight="1">
      <c r="A950" s="1" t="s">
        <v>105</v>
      </c>
      <c r="B950" s="90" t="s">
        <v>2585</v>
      </c>
      <c r="C950" s="90" t="s">
        <v>873</v>
      </c>
      <c r="D950" s="90" t="s">
        <v>873</v>
      </c>
      <c r="E950" s="90" t="s">
        <v>873</v>
      </c>
      <c r="F950" s="90" t="s">
        <v>873</v>
      </c>
    </row>
    <row r="951" spans="1:6" ht="14.25" customHeight="1">
      <c r="A951" s="1" t="s">
        <v>105</v>
      </c>
      <c r="B951" s="90"/>
      <c r="C951" s="89"/>
      <c r="D951" s="89" t="s">
        <v>2586</v>
      </c>
      <c r="E951" s="89"/>
      <c r="F951" s="89"/>
    </row>
    <row r="952" spans="1:6" ht="14.25" customHeight="1">
      <c r="A952" s="1" t="s">
        <v>105</v>
      </c>
      <c r="B952" s="90"/>
      <c r="C952" s="89"/>
      <c r="D952" s="89" t="s">
        <v>2587</v>
      </c>
      <c r="E952" s="89"/>
      <c r="F952" s="89"/>
    </row>
    <row r="953" spans="1:6" ht="14.25" customHeight="1">
      <c r="A953" s="1" t="s">
        <v>105</v>
      </c>
      <c r="B953" s="90"/>
      <c r="C953" s="89"/>
      <c r="D953" s="89" t="s">
        <v>2588</v>
      </c>
      <c r="E953" s="89"/>
      <c r="F953" s="89"/>
    </row>
    <row r="954" spans="1:6" ht="14.25" customHeight="1">
      <c r="A954" s="1" t="s">
        <v>105</v>
      </c>
      <c r="B954" s="90"/>
      <c r="C954" s="89"/>
      <c r="D954" s="89" t="s">
        <v>2589</v>
      </c>
      <c r="E954" s="89"/>
      <c r="F954" s="89"/>
    </row>
    <row r="955" spans="1:6" ht="14.25" customHeight="1">
      <c r="A955" s="1" t="s">
        <v>105</v>
      </c>
      <c r="B955" s="90" t="s">
        <v>2590</v>
      </c>
      <c r="C955" s="90" t="s">
        <v>874</v>
      </c>
      <c r="D955" s="90" t="s">
        <v>874</v>
      </c>
      <c r="E955" s="90" t="s">
        <v>874</v>
      </c>
      <c r="F955" s="90" t="s">
        <v>874</v>
      </c>
    </row>
    <row r="956" spans="1:6" ht="14.25" customHeight="1">
      <c r="A956" s="1" t="s">
        <v>105</v>
      </c>
      <c r="B956" s="90"/>
      <c r="C956" s="89" t="str">
        <f t="shared" ref="C956:C957" si="29">D956</f>
        <v>PR78-1</v>
      </c>
      <c r="D956" s="89" t="s">
        <v>2591</v>
      </c>
      <c r="E956" s="89"/>
      <c r="F956" s="89"/>
    </row>
    <row r="957" spans="1:6" ht="14.25" customHeight="1">
      <c r="A957" s="1" t="s">
        <v>105</v>
      </c>
      <c r="B957" s="90"/>
      <c r="C957" s="89" t="str">
        <f t="shared" si="29"/>
        <v>PR78-2</v>
      </c>
      <c r="D957" s="89" t="s">
        <v>2592</v>
      </c>
      <c r="E957" s="89"/>
      <c r="F957" s="89"/>
    </row>
    <row r="958" spans="1:6" ht="14.25" customHeight="1">
      <c r="A958" s="1" t="s">
        <v>105</v>
      </c>
      <c r="B958" s="90"/>
      <c r="C958" s="89"/>
      <c r="D958" s="89" t="s">
        <v>2593</v>
      </c>
      <c r="E958" s="89"/>
      <c r="F958" s="89"/>
    </row>
    <row r="959" spans="1:6" ht="14.25" customHeight="1">
      <c r="A959" s="1" t="s">
        <v>105</v>
      </c>
      <c r="B959" s="90"/>
      <c r="C959" s="89"/>
      <c r="D959" s="89" t="s">
        <v>2594</v>
      </c>
      <c r="E959" s="89"/>
      <c r="F959" s="89"/>
    </row>
    <row r="960" spans="1:6" ht="14.25" customHeight="1">
      <c r="A960" s="1" t="s">
        <v>105</v>
      </c>
      <c r="B960" s="90"/>
      <c r="C960" s="89"/>
      <c r="D960" s="89" t="s">
        <v>2595</v>
      </c>
      <c r="E960" s="89"/>
      <c r="F960" s="89"/>
    </row>
    <row r="961" spans="1:6" ht="14.25" customHeight="1">
      <c r="A961" s="1" t="s">
        <v>105</v>
      </c>
      <c r="B961" s="90"/>
      <c r="C961" s="89"/>
      <c r="D961" s="89" t="s">
        <v>2596</v>
      </c>
      <c r="E961" s="89"/>
      <c r="F961" s="89"/>
    </row>
    <row r="962" spans="1:6" ht="14.25" customHeight="1">
      <c r="A962" s="1" t="s">
        <v>105</v>
      </c>
      <c r="B962" s="90" t="s">
        <v>2590</v>
      </c>
      <c r="C962" s="90" t="s">
        <v>875</v>
      </c>
      <c r="D962" s="90" t="s">
        <v>875</v>
      </c>
      <c r="E962" s="90" t="s">
        <v>875</v>
      </c>
      <c r="F962" s="90" t="s">
        <v>875</v>
      </c>
    </row>
    <row r="963" spans="1:6" ht="14.25" customHeight="1">
      <c r="A963" s="1" t="s">
        <v>105</v>
      </c>
      <c r="B963" s="90"/>
      <c r="C963" s="89" t="str">
        <f t="shared" ref="C963:C964" si="30">D963</f>
        <v>PR79-1</v>
      </c>
      <c r="D963" s="89" t="s">
        <v>2597</v>
      </c>
      <c r="E963" s="89"/>
      <c r="F963" s="89"/>
    </row>
    <row r="964" spans="1:6" ht="14.25" customHeight="1">
      <c r="A964" s="1" t="s">
        <v>105</v>
      </c>
      <c r="B964" s="90"/>
      <c r="C964" s="89" t="str">
        <f t="shared" si="30"/>
        <v>PR79-2</v>
      </c>
      <c r="D964" s="89" t="s">
        <v>2598</v>
      </c>
      <c r="E964" s="89"/>
      <c r="F964" s="89"/>
    </row>
    <row r="965" spans="1:6" ht="14.25" customHeight="1">
      <c r="A965" s="1" t="s">
        <v>105</v>
      </c>
      <c r="B965" s="90"/>
      <c r="C965" s="89"/>
      <c r="D965" s="89" t="s">
        <v>2599</v>
      </c>
      <c r="E965" s="89"/>
      <c r="F965" s="89"/>
    </row>
    <row r="966" spans="1:6" ht="14.25" customHeight="1">
      <c r="A966" s="1" t="s">
        <v>105</v>
      </c>
      <c r="B966" s="90"/>
      <c r="C966" s="89"/>
      <c r="D966" s="89" t="s">
        <v>2600</v>
      </c>
      <c r="E966" s="89"/>
      <c r="F966" s="89"/>
    </row>
    <row r="967" spans="1:6" ht="14.25" customHeight="1">
      <c r="A967" s="1" t="s">
        <v>105</v>
      </c>
      <c r="B967" s="90"/>
      <c r="C967" s="89"/>
      <c r="D967" s="89" t="s">
        <v>2601</v>
      </c>
      <c r="E967" s="89"/>
      <c r="F967" s="89"/>
    </row>
    <row r="968" spans="1:6" ht="14.25" customHeight="1">
      <c r="A968" s="1" t="s">
        <v>105</v>
      </c>
      <c r="B968" s="90"/>
      <c r="C968" s="89"/>
      <c r="D968" s="89" t="s">
        <v>2602</v>
      </c>
      <c r="E968" s="89"/>
      <c r="F968" s="89"/>
    </row>
    <row r="969" spans="1:6" ht="14.25" customHeight="1">
      <c r="A969" s="1" t="s">
        <v>105</v>
      </c>
      <c r="B969" s="90" t="s">
        <v>2590</v>
      </c>
      <c r="C969" s="90" t="s">
        <v>876</v>
      </c>
      <c r="D969" s="90" t="s">
        <v>876</v>
      </c>
      <c r="E969" s="90" t="s">
        <v>876</v>
      </c>
      <c r="F969" s="90" t="s">
        <v>876</v>
      </c>
    </row>
    <row r="970" spans="1:6" ht="14.25" customHeight="1">
      <c r="A970" s="1" t="s">
        <v>105</v>
      </c>
      <c r="B970" s="90"/>
      <c r="C970" s="89" t="str">
        <f t="shared" ref="C970:C971" si="31">D970</f>
        <v>PR80-1</v>
      </c>
      <c r="D970" s="89" t="s">
        <v>2603</v>
      </c>
      <c r="E970" s="89"/>
      <c r="F970" s="89"/>
    </row>
    <row r="971" spans="1:6" ht="14.25" customHeight="1">
      <c r="A971" s="1" t="s">
        <v>105</v>
      </c>
      <c r="B971" s="90"/>
      <c r="C971" s="89" t="str">
        <f t="shared" si="31"/>
        <v>PR80-2</v>
      </c>
      <c r="D971" s="89" t="s">
        <v>2604</v>
      </c>
      <c r="E971" s="89"/>
      <c r="F971" s="89"/>
    </row>
    <row r="972" spans="1:6" ht="14.25" customHeight="1">
      <c r="A972" s="1" t="s">
        <v>105</v>
      </c>
      <c r="B972" s="90"/>
      <c r="C972" s="89"/>
      <c r="D972" s="89" t="s">
        <v>2605</v>
      </c>
      <c r="E972" s="89"/>
      <c r="F972" s="89"/>
    </row>
    <row r="973" spans="1:6" ht="14.25" customHeight="1">
      <c r="A973" s="1" t="s">
        <v>105</v>
      </c>
      <c r="B973" s="90"/>
      <c r="C973" s="89"/>
      <c r="D973" s="89" t="s">
        <v>2606</v>
      </c>
      <c r="E973" s="89"/>
      <c r="F973" s="89"/>
    </row>
    <row r="974" spans="1:6" ht="14.25" customHeight="1">
      <c r="A974" s="1" t="s">
        <v>105</v>
      </c>
      <c r="B974" s="90"/>
      <c r="C974" s="89"/>
      <c r="D974" s="89" t="s">
        <v>2607</v>
      </c>
      <c r="E974" s="89"/>
      <c r="F974" s="89"/>
    </row>
    <row r="975" spans="1:6" ht="14.25" customHeight="1">
      <c r="A975" s="1" t="s">
        <v>105</v>
      </c>
      <c r="B975" s="90"/>
      <c r="C975" s="89"/>
      <c r="D975" s="89" t="s">
        <v>2608</v>
      </c>
      <c r="E975" s="89"/>
      <c r="F975" s="89"/>
    </row>
    <row r="976" spans="1:6" ht="14.25" customHeight="1">
      <c r="A976" s="1" t="s">
        <v>105</v>
      </c>
      <c r="B976" s="90" t="s">
        <v>2590</v>
      </c>
      <c r="C976" s="90" t="s">
        <v>877</v>
      </c>
      <c r="D976" s="90" t="s">
        <v>877</v>
      </c>
      <c r="E976" s="90" t="s">
        <v>877</v>
      </c>
      <c r="F976" s="90" t="s">
        <v>877</v>
      </c>
    </row>
    <row r="977" spans="1:5" ht="14.25" customHeight="1">
      <c r="A977" s="1" t="s">
        <v>105</v>
      </c>
      <c r="B977" s="90"/>
      <c r="C977" s="89" t="str">
        <f t="shared" ref="C977:C978" si="32">D977</f>
        <v>PR81-1</v>
      </c>
      <c r="D977" s="89" t="s">
        <v>2609</v>
      </c>
      <c r="E977" s="89"/>
    </row>
    <row r="978" spans="1:5" ht="14.25" customHeight="1">
      <c r="A978" s="1" t="s">
        <v>105</v>
      </c>
      <c r="B978" s="90"/>
      <c r="C978" s="89" t="str">
        <f t="shared" si="32"/>
        <v>PR81-2</v>
      </c>
      <c r="D978" s="89" t="s">
        <v>2610</v>
      </c>
      <c r="E978" s="89"/>
    </row>
    <row r="979" spans="1:5" ht="14.25" customHeight="1">
      <c r="A979" s="1" t="s">
        <v>105</v>
      </c>
      <c r="B979" s="90"/>
      <c r="C979" s="89"/>
      <c r="D979" s="89" t="s">
        <v>2611</v>
      </c>
      <c r="E979" s="89"/>
    </row>
    <row r="980" spans="1:5" ht="14.25" customHeight="1">
      <c r="A980" s="1" t="s">
        <v>105</v>
      </c>
      <c r="B980" s="90"/>
      <c r="C980" s="89"/>
      <c r="D980" s="89" t="s">
        <v>2612</v>
      </c>
      <c r="E980" s="89"/>
    </row>
    <row r="981" spans="1:5" ht="14.25" customHeight="1">
      <c r="A981" s="1" t="s">
        <v>105</v>
      </c>
      <c r="B981" s="90"/>
      <c r="C981" s="89"/>
      <c r="D981" s="89" t="s">
        <v>2613</v>
      </c>
      <c r="E981" s="89"/>
    </row>
    <row r="982" spans="1:5" ht="14.25" customHeight="1">
      <c r="A982" s="1" t="s">
        <v>105</v>
      </c>
      <c r="B982" s="90"/>
      <c r="C982" s="89"/>
      <c r="D982" s="89" t="s">
        <v>2614</v>
      </c>
      <c r="E982" s="89"/>
    </row>
    <row r="983" spans="1:5" ht="14.25" customHeight="1"/>
    <row r="984" spans="1:5" ht="14.25" customHeight="1"/>
    <row r="985" spans="1:5" ht="14.25" customHeight="1"/>
    <row r="986" spans="1:5" ht="14.25" customHeight="1"/>
    <row r="987" spans="1:5" ht="14.25" customHeight="1"/>
    <row r="988" spans="1:5" ht="14.25" customHeight="1"/>
    <row r="989" spans="1:5" ht="14.25" customHeight="1"/>
    <row r="990" spans="1:5" ht="14.25" customHeight="1"/>
    <row r="991" spans="1:5" ht="14.25" customHeight="1"/>
    <row r="992" spans="1:5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B2:E982" xr:uid="{00000000-0009-0000-0000-00001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 Sheet</vt:lpstr>
      <vt:lpstr>Process Flow</vt:lpstr>
      <vt:lpstr>Dashboard</vt:lpstr>
      <vt:lpstr>Production Team</vt:lpstr>
      <vt:lpstr>Input 1</vt:lpstr>
      <vt:lpstr>Site Engineers</vt:lpstr>
      <vt:lpstr>CSB ID</vt:lpstr>
      <vt:lpstr>TAB ID</vt:lpstr>
      <vt:lpstr>Input 2</vt:lpstr>
      <vt:lpstr>Data Validation</vt:lpstr>
      <vt:lpstr>Location Tracker</vt:lpstr>
      <vt:lpstr>Substructure ID</vt:lpstr>
      <vt:lpstr>Staff List</vt:lpstr>
      <vt:lpstr>MCW Segment ID</vt:lpstr>
      <vt:lpstr>IC Merger Segment</vt:lpstr>
      <vt:lpstr>IC Girder</vt:lpstr>
      <vt:lpstr>MCW Substruture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Kurian</cp:lastModifiedBy>
  <dcterms:modified xsi:type="dcterms:W3CDTF">2026-05-15T06:40:12Z</dcterms:modified>
</cp:coreProperties>
</file>